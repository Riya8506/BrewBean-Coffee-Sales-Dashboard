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priya\Downloads\"/>
    </mc:Choice>
  </mc:AlternateContent>
  <xr:revisionPtr revIDLastSave="0" documentId="13_ncr:1_{46331220-93E6-40E7-A766-49F224E302F1}" xr6:coauthVersionLast="47" xr6:coauthVersionMax="47" xr10:uidLastSave="{00000000-0000-0000-0000-000000000000}"/>
  <bookViews>
    <workbookView xWindow="-98" yWindow="-98" windowWidth="24196" windowHeight="14476" activeTab="4" xr2:uid="{00000000-000D-0000-FFFF-FFFF00000000}"/>
  </bookViews>
  <sheets>
    <sheet name="Orders" sheetId="1" r:id="rId1"/>
    <sheet name="Store_Master" sheetId="2" r:id="rId2"/>
    <sheet name="Sheet2" sheetId="3" r:id="rId3"/>
    <sheet name="DASHBOARD" sheetId="4" r:id="rId4"/>
    <sheet name="BUSINESS INSIGHTS" sheetId="5" r:id="rId5"/>
  </sheets>
  <definedNames>
    <definedName name="Slicer_Category">#N/A</definedName>
    <definedName name="Slicer_City">#N/A</definedName>
    <definedName name="Slicer_Customer_Type">#N/A</definedName>
    <definedName name="Slicer_Month">#N/A</definedName>
    <definedName name="Slicer_Payment_Mode">#N/A</definedName>
    <definedName name="Slicer_Store_Name">#N/A</definedName>
  </definedNames>
  <calcPr calcId="191029"/>
  <pivotCaches>
    <pivotCache cacheId="3"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3" i="3" l="1"/>
  <c r="A30" i="3"/>
  <c r="A27" i="3"/>
  <c r="A24" i="3"/>
  <c r="A21" i="3"/>
  <c r="A18" i="3"/>
</calcChain>
</file>

<file path=xl/sharedStrings.xml><?xml version="1.0" encoding="utf-8"?>
<sst xmlns="http://schemas.openxmlformats.org/spreadsheetml/2006/main" count="20762" uniqueCount="2158">
  <si>
    <t>Order_ID</t>
  </si>
  <si>
    <t>Order_Date</t>
  </si>
  <si>
    <t>Order_Time</t>
  </si>
  <si>
    <t>Day_Name</t>
  </si>
  <si>
    <t>Month</t>
  </si>
  <si>
    <t>Quarter</t>
  </si>
  <si>
    <t>Season</t>
  </si>
  <si>
    <t>Store_ID</t>
  </si>
  <si>
    <t>Store_Name</t>
  </si>
  <si>
    <t>City</t>
  </si>
  <si>
    <t>Region</t>
  </si>
  <si>
    <t>Customer_ID</t>
  </si>
  <si>
    <t>Customer_Type</t>
  </si>
  <si>
    <t>Loyalty_Tier</t>
  </si>
  <si>
    <t>Product_ID</t>
  </si>
  <si>
    <t>Product</t>
  </si>
  <si>
    <t>Category</t>
  </si>
  <si>
    <t>Size</t>
  </si>
  <si>
    <t>Quantity</t>
  </si>
  <si>
    <t>Ingredient_Cost</t>
  </si>
  <si>
    <t>Packaging_Cost</t>
  </si>
  <si>
    <t>Labour_Cost</t>
  </si>
  <si>
    <t>Total_Cost</t>
  </si>
  <si>
    <t>Selling_Price</t>
  </si>
  <si>
    <t>Discount_%</t>
  </si>
  <si>
    <t>Sales</t>
  </si>
  <si>
    <t>Profit</t>
  </si>
  <si>
    <t>Profit_Margin_%</t>
  </si>
  <si>
    <t>Payment_Mode</t>
  </si>
  <si>
    <t>Order_Type</t>
  </si>
  <si>
    <t>Employee</t>
  </si>
  <si>
    <t>Customer_Rating</t>
  </si>
  <si>
    <t>Order_Status</t>
  </si>
  <si>
    <t>BB100001</t>
  </si>
  <si>
    <t>14:15</t>
  </si>
  <si>
    <t>Friday</t>
  </si>
  <si>
    <t>October</t>
  </si>
  <si>
    <t>Q4</t>
  </si>
  <si>
    <t>Autumn</t>
  </si>
  <si>
    <t>S01</t>
  </si>
  <si>
    <t>Connaught Place</t>
  </si>
  <si>
    <t>Delhi</t>
  </si>
  <si>
    <t>North</t>
  </si>
  <si>
    <t>C2000</t>
  </si>
  <si>
    <t>New</t>
  </si>
  <si>
    <t>Silver</t>
  </si>
  <si>
    <t>P034</t>
  </si>
  <si>
    <t>Iced Latte</t>
  </si>
  <si>
    <t>Cold</t>
  </si>
  <si>
    <t>Large</t>
  </si>
  <si>
    <t>Wallet</t>
  </si>
  <si>
    <t>Dine-In</t>
  </si>
  <si>
    <t>Aarav</t>
  </si>
  <si>
    <t>Completed</t>
  </si>
  <si>
    <t>BB100002</t>
  </si>
  <si>
    <t>17:00</t>
  </si>
  <si>
    <t>Thursday</t>
  </si>
  <si>
    <t>November</t>
  </si>
  <si>
    <t>S10</t>
  </si>
  <si>
    <t>Banjara Hills</t>
  </si>
  <si>
    <t>Hyderabad</t>
  </si>
  <si>
    <t>South</t>
  </si>
  <si>
    <t>C2001</t>
  </si>
  <si>
    <t>Returning</t>
  </si>
  <si>
    <t>P001</t>
  </si>
  <si>
    <t>Espresso</t>
  </si>
  <si>
    <t>Coffee</t>
  </si>
  <si>
    <t>Small</t>
  </si>
  <si>
    <t>Kabir</t>
  </si>
  <si>
    <t>BB100003</t>
  </si>
  <si>
    <t>18:30</t>
  </si>
  <si>
    <t>Saturday</t>
  </si>
  <si>
    <t>September</t>
  </si>
  <si>
    <t>Q3</t>
  </si>
  <si>
    <t>Monsoon</t>
  </si>
  <si>
    <t>S12</t>
  </si>
  <si>
    <t>Park Street</t>
  </si>
  <si>
    <t>Kolkata</t>
  </si>
  <si>
    <t>East</t>
  </si>
  <si>
    <t>C2002</t>
  </si>
  <si>
    <t>Member</t>
  </si>
  <si>
    <t>Gold</t>
  </si>
  <si>
    <t>P002</t>
  </si>
  <si>
    <t>Latte</t>
  </si>
  <si>
    <t>Medium</t>
  </si>
  <si>
    <t>Cash</t>
  </si>
  <si>
    <t>Takeaway</t>
  </si>
  <si>
    <t>BB100004</t>
  </si>
  <si>
    <t>14:00</t>
  </si>
  <si>
    <t>Sunday</t>
  </si>
  <si>
    <t>February</t>
  </si>
  <si>
    <t>Q1</t>
  </si>
  <si>
    <t>Winter</t>
  </si>
  <si>
    <t>C2003</t>
  </si>
  <si>
    <t>P003</t>
  </si>
  <si>
    <t>Cappuccino</t>
  </si>
  <si>
    <t>Rohan</t>
  </si>
  <si>
    <t>BB100005</t>
  </si>
  <si>
    <t>08:15</t>
  </si>
  <si>
    <t>August</t>
  </si>
  <si>
    <t>C2004</t>
  </si>
  <si>
    <t>P014</t>
  </si>
  <si>
    <t>Green Tea</t>
  </si>
  <si>
    <t>Tea</t>
  </si>
  <si>
    <t>UPI</t>
  </si>
  <si>
    <t>Diya</t>
  </si>
  <si>
    <t>BB100006</t>
  </si>
  <si>
    <t>17:45</t>
  </si>
  <si>
    <t>March</t>
  </si>
  <si>
    <t>C2005</t>
  </si>
  <si>
    <t>Platinum</t>
  </si>
  <si>
    <t>Card</t>
  </si>
  <si>
    <t>BB100007</t>
  </si>
  <si>
    <t>09:15</t>
  </si>
  <si>
    <t>July</t>
  </si>
  <si>
    <t>S07</t>
  </si>
  <si>
    <t>Koramangala</t>
  </si>
  <si>
    <t>Bangalore</t>
  </si>
  <si>
    <t>C2006</t>
  </si>
  <si>
    <t>P013</t>
  </si>
  <si>
    <t>Masala Tea</t>
  </si>
  <si>
    <t>BB100008</t>
  </si>
  <si>
    <t>C2007</t>
  </si>
  <si>
    <t>P028</t>
  </si>
  <si>
    <t>Paneer Sandwich</t>
  </si>
  <si>
    <t>Sandwich</t>
  </si>
  <si>
    <t>Meera</t>
  </si>
  <si>
    <t>BB100009</t>
  </si>
  <si>
    <t>18:15</t>
  </si>
  <si>
    <t>Wednesday</t>
  </si>
  <si>
    <t>May</t>
  </si>
  <si>
    <t>Q2</t>
  </si>
  <si>
    <t>Summer</t>
  </si>
  <si>
    <t>S14</t>
  </si>
  <si>
    <t>C-Scheme</t>
  </si>
  <si>
    <t>Jaipur</t>
  </si>
  <si>
    <t>C2008</t>
  </si>
  <si>
    <t>P019</t>
  </si>
  <si>
    <t>Brownie</t>
  </si>
  <si>
    <t>Bakery</t>
  </si>
  <si>
    <t>BB100010</t>
  </si>
  <si>
    <t>17:15</t>
  </si>
  <si>
    <t>S04</t>
  </si>
  <si>
    <t>Bandra</t>
  </si>
  <si>
    <t>Mumbai</t>
  </si>
  <si>
    <t>West</t>
  </si>
  <si>
    <t>C2009</t>
  </si>
  <si>
    <t>BB100941</t>
  </si>
  <si>
    <t>09:30</t>
  </si>
  <si>
    <t>December</t>
  </si>
  <si>
    <t>C2010</t>
  </si>
  <si>
    <t>BB100012</t>
  </si>
  <si>
    <t>January</t>
  </si>
  <si>
    <t>C2011</t>
  </si>
  <si>
    <t>BB100013</t>
  </si>
  <si>
    <t>09:45</t>
  </si>
  <si>
    <t>Tuesday</t>
  </si>
  <si>
    <t>C2012</t>
  </si>
  <si>
    <t>Delivery</t>
  </si>
  <si>
    <t>BB100014</t>
  </si>
  <si>
    <t>13:15</t>
  </si>
  <si>
    <t>C2013</t>
  </si>
  <si>
    <t>P033</t>
  </si>
  <si>
    <t>Cold Coffee</t>
  </si>
  <si>
    <t>BB100015</t>
  </si>
  <si>
    <t>C2014</t>
  </si>
  <si>
    <t>BB100016</t>
  </si>
  <si>
    <t>C2015</t>
  </si>
  <si>
    <t>P020</t>
  </si>
  <si>
    <t>Muffin</t>
  </si>
  <si>
    <t>BB100017</t>
  </si>
  <si>
    <t>09:00</t>
  </si>
  <si>
    <t>C2016</t>
  </si>
  <si>
    <t>BB100018</t>
  </si>
  <si>
    <t>June</t>
  </si>
  <si>
    <t>C2017</t>
  </si>
  <si>
    <t>P004</t>
  </si>
  <si>
    <t>Americano</t>
  </si>
  <si>
    <t>BB100019</t>
  </si>
  <si>
    <t>08:30</t>
  </si>
  <si>
    <t>C2018</t>
  </si>
  <si>
    <t>BB100020</t>
  </si>
  <si>
    <t>13:00</t>
  </si>
  <si>
    <t>C2019</t>
  </si>
  <si>
    <t>BB100021</t>
  </si>
  <si>
    <t>08:00</t>
  </si>
  <si>
    <t>C2020</t>
  </si>
  <si>
    <t>BB100022</t>
  </si>
  <si>
    <t>C2021</t>
  </si>
  <si>
    <t>P036</t>
  </si>
  <si>
    <t>Lemonade</t>
  </si>
  <si>
    <t>BB100023</t>
  </si>
  <si>
    <t>C2022</t>
  </si>
  <si>
    <t>BB100024</t>
  </si>
  <si>
    <t>08:45</t>
  </si>
  <si>
    <t>C2023</t>
  </si>
  <si>
    <t>BB100025</t>
  </si>
  <si>
    <t>C2024</t>
  </si>
  <si>
    <t>BB100026</t>
  </si>
  <si>
    <t>14:45</t>
  </si>
  <si>
    <t>C2025</t>
  </si>
  <si>
    <t>BB100027</t>
  </si>
  <si>
    <t>C2026</t>
  </si>
  <si>
    <t>BB100028</t>
  </si>
  <si>
    <t>C2027</t>
  </si>
  <si>
    <t>BB100029</t>
  </si>
  <si>
    <t>Monday</t>
  </si>
  <si>
    <t>C2028</t>
  </si>
  <si>
    <t>BB100030</t>
  </si>
  <si>
    <t>C2029</t>
  </si>
  <si>
    <t>BB100031</t>
  </si>
  <si>
    <t>17:30</t>
  </si>
  <si>
    <t>C2030</t>
  </si>
  <si>
    <t>P041</t>
  </si>
  <si>
    <t>Cheesecake</t>
  </si>
  <si>
    <t>Dessert</t>
  </si>
  <si>
    <t>BB100032</t>
  </si>
  <si>
    <t>C2031</t>
  </si>
  <si>
    <t>BB100033</t>
  </si>
  <si>
    <t>18:00</t>
  </si>
  <si>
    <t>C2032</t>
  </si>
  <si>
    <t>BB100034</t>
  </si>
  <si>
    <t>C2033</t>
  </si>
  <si>
    <t>BB100035</t>
  </si>
  <si>
    <t>C2034</t>
  </si>
  <si>
    <t>BB100036</t>
  </si>
  <si>
    <t>C2035</t>
  </si>
  <si>
    <t>BB100037</t>
  </si>
  <si>
    <t>C2036</t>
  </si>
  <si>
    <t>BB100038</t>
  </si>
  <si>
    <t>C2037</t>
  </si>
  <si>
    <t>BB100039</t>
  </si>
  <si>
    <t>C2038</t>
  </si>
  <si>
    <t>BB100040</t>
  </si>
  <si>
    <t>C2039</t>
  </si>
  <si>
    <t>BB100041</t>
  </si>
  <si>
    <t>C2040</t>
  </si>
  <si>
    <t>BB100042</t>
  </si>
  <si>
    <t>C2041</t>
  </si>
  <si>
    <t>BB100043</t>
  </si>
  <si>
    <t>C2042</t>
  </si>
  <si>
    <t>BB100044</t>
  </si>
  <si>
    <t>C2043</t>
  </si>
  <si>
    <t>BB100045</t>
  </si>
  <si>
    <t>C2044</t>
  </si>
  <si>
    <t>BB100046</t>
  </si>
  <si>
    <t>C2045</t>
  </si>
  <si>
    <t>BB100047</t>
  </si>
  <si>
    <t>C2046</t>
  </si>
  <si>
    <t>BB100048</t>
  </si>
  <si>
    <t>C2047</t>
  </si>
  <si>
    <t>BB100049</t>
  </si>
  <si>
    <t>C2048</t>
  </si>
  <si>
    <t>BB100050</t>
  </si>
  <si>
    <t>C2049</t>
  </si>
  <si>
    <t>BB100051</t>
  </si>
  <si>
    <t>C2050</t>
  </si>
  <si>
    <t>BB100052</t>
  </si>
  <si>
    <t>C2051</t>
  </si>
  <si>
    <t>BB100053</t>
  </si>
  <si>
    <t>C2052</t>
  </si>
  <si>
    <t>BB100054</t>
  </si>
  <si>
    <t>C2053</t>
  </si>
  <si>
    <t>BB100055</t>
  </si>
  <si>
    <t>C2054</t>
  </si>
  <si>
    <t>BB100056</t>
  </si>
  <si>
    <t>C2055</t>
  </si>
  <si>
    <t>BB100057</t>
  </si>
  <si>
    <t>C2056</t>
  </si>
  <si>
    <t>BB100058</t>
  </si>
  <si>
    <t>C2057</t>
  </si>
  <si>
    <t>BB100059</t>
  </si>
  <si>
    <t>C2058</t>
  </si>
  <si>
    <t>BB100060</t>
  </si>
  <si>
    <t>C2059</t>
  </si>
  <si>
    <t>P027</t>
  </si>
  <si>
    <t>Veg Sandwich</t>
  </si>
  <si>
    <t>BB100061</t>
  </si>
  <si>
    <t>C2060</t>
  </si>
  <si>
    <t>BB100062</t>
  </si>
  <si>
    <t>April</t>
  </si>
  <si>
    <t>C2061</t>
  </si>
  <si>
    <t>BB100063</t>
  </si>
  <si>
    <t>C2062</t>
  </si>
  <si>
    <t>BB100064</t>
  </si>
  <si>
    <t>C2063</t>
  </si>
  <si>
    <t>BB100065</t>
  </si>
  <si>
    <t>C2064</t>
  </si>
  <si>
    <t>BB100066</t>
  </si>
  <si>
    <t>C2065</t>
  </si>
  <si>
    <t>BB100067</t>
  </si>
  <si>
    <t>C2066</t>
  </si>
  <si>
    <t>BB100068</t>
  </si>
  <si>
    <t>C2067</t>
  </si>
  <si>
    <t>BB100069</t>
  </si>
  <si>
    <t>C2068</t>
  </si>
  <si>
    <t>BB100070</t>
  </si>
  <si>
    <t>C2069</t>
  </si>
  <si>
    <t>BB100071</t>
  </si>
  <si>
    <t>C2070</t>
  </si>
  <si>
    <t>BB100072</t>
  </si>
  <si>
    <t>C2071</t>
  </si>
  <si>
    <t>BB100073</t>
  </si>
  <si>
    <t>C2072</t>
  </si>
  <si>
    <t>BB100490</t>
  </si>
  <si>
    <t>C2073</t>
  </si>
  <si>
    <t>BB100075</t>
  </si>
  <si>
    <t>13:45</t>
  </si>
  <si>
    <t>C2074</t>
  </si>
  <si>
    <t>BB100076</t>
  </si>
  <si>
    <t>13:30</t>
  </si>
  <si>
    <t>C2075</t>
  </si>
  <si>
    <t>BB100077</t>
  </si>
  <si>
    <t>C2076</t>
  </si>
  <si>
    <t>BB100078</t>
  </si>
  <si>
    <t>C2077</t>
  </si>
  <si>
    <t>BB100079</t>
  </si>
  <si>
    <t>C2078</t>
  </si>
  <si>
    <t>BB100080</t>
  </si>
  <si>
    <t>C2079</t>
  </si>
  <si>
    <t>BB100081</t>
  </si>
  <si>
    <t>C2080</t>
  </si>
  <si>
    <t>BB100082</t>
  </si>
  <si>
    <t>C2081</t>
  </si>
  <si>
    <t>BB100083</t>
  </si>
  <si>
    <t>C2082</t>
  </si>
  <si>
    <t>BB100084</t>
  </si>
  <si>
    <t>C2083</t>
  </si>
  <si>
    <t>BB100085</t>
  </si>
  <si>
    <t>C2084</t>
  </si>
  <si>
    <t>BB100086</t>
  </si>
  <si>
    <t>C2085</t>
  </si>
  <si>
    <t>BB100087</t>
  </si>
  <si>
    <t>C2086</t>
  </si>
  <si>
    <t>BB100088</t>
  </si>
  <si>
    <t>C2087</t>
  </si>
  <si>
    <t>BB100089</t>
  </si>
  <si>
    <t>C2088</t>
  </si>
  <si>
    <t>BB100090</t>
  </si>
  <si>
    <t>18:45</t>
  </si>
  <si>
    <t>C2089</t>
  </si>
  <si>
    <t>BB100150</t>
  </si>
  <si>
    <t>C2090</t>
  </si>
  <si>
    <t>BB100092</t>
  </si>
  <si>
    <t>C2091</t>
  </si>
  <si>
    <t>BB100093</t>
  </si>
  <si>
    <t>C2092</t>
  </si>
  <si>
    <t>BB100094</t>
  </si>
  <si>
    <t>C2093</t>
  </si>
  <si>
    <t>BB100095</t>
  </si>
  <si>
    <t>C2094</t>
  </si>
  <si>
    <t>BB100096</t>
  </si>
  <si>
    <t>C2095</t>
  </si>
  <si>
    <t>BB100097</t>
  </si>
  <si>
    <t>C2096</t>
  </si>
  <si>
    <t>BB100098</t>
  </si>
  <si>
    <t>C2097</t>
  </si>
  <si>
    <t>BB100099</t>
  </si>
  <si>
    <t>C2098</t>
  </si>
  <si>
    <t>BB100100</t>
  </si>
  <si>
    <t>C2099</t>
  </si>
  <si>
    <t>BB100101</t>
  </si>
  <si>
    <t>C2100</t>
  </si>
  <si>
    <t>BB100102</t>
  </si>
  <si>
    <t>C2101</t>
  </si>
  <si>
    <t>BB100103</t>
  </si>
  <si>
    <t>C2102</t>
  </si>
  <si>
    <t>BB100104</t>
  </si>
  <si>
    <t>C2103</t>
  </si>
  <si>
    <t>BB100105</t>
  </si>
  <si>
    <t>C2104</t>
  </si>
  <si>
    <t>BB100106</t>
  </si>
  <si>
    <t>C2105</t>
  </si>
  <si>
    <t>BB100107</t>
  </si>
  <si>
    <t>C2106</t>
  </si>
  <si>
    <t>BB100108</t>
  </si>
  <si>
    <t>C2107</t>
  </si>
  <si>
    <t>BB100109</t>
  </si>
  <si>
    <t>C2108</t>
  </si>
  <si>
    <t>BB100110</t>
  </si>
  <si>
    <t>C2109</t>
  </si>
  <si>
    <t>BB100111</t>
  </si>
  <si>
    <t>C2110</t>
  </si>
  <si>
    <t>BB100112</t>
  </si>
  <si>
    <t>C2111</t>
  </si>
  <si>
    <t>BB100113</t>
  </si>
  <si>
    <t>C2112</t>
  </si>
  <si>
    <t>BB100114</t>
  </si>
  <si>
    <t>C2113</t>
  </si>
  <si>
    <t>BB100115</t>
  </si>
  <si>
    <t>14:30</t>
  </si>
  <si>
    <t>C2114</t>
  </si>
  <si>
    <t>BB100116</t>
  </si>
  <si>
    <t>C2115</t>
  </si>
  <si>
    <t>BB100117</t>
  </si>
  <si>
    <t>C2116</t>
  </si>
  <si>
    <t>BB100118</t>
  </si>
  <si>
    <t>C2117</t>
  </si>
  <si>
    <t>BB100119</t>
  </si>
  <si>
    <t>C2118</t>
  </si>
  <si>
    <t>BB100120</t>
  </si>
  <si>
    <t>C2119</t>
  </si>
  <si>
    <t>BB100121</t>
  </si>
  <si>
    <t>C2120</t>
  </si>
  <si>
    <t>BB100122</t>
  </si>
  <si>
    <t>C2121</t>
  </si>
  <si>
    <t>BB100123</t>
  </si>
  <si>
    <t>C2122</t>
  </si>
  <si>
    <t>BB100124</t>
  </si>
  <si>
    <t>C2123</t>
  </si>
  <si>
    <t>BB100125</t>
  </si>
  <si>
    <t>C2124</t>
  </si>
  <si>
    <t>BB100126</t>
  </si>
  <si>
    <t>C2125</t>
  </si>
  <si>
    <t>BB100127</t>
  </si>
  <si>
    <t>C2126</t>
  </si>
  <si>
    <t>BB100128</t>
  </si>
  <si>
    <t>C2127</t>
  </si>
  <si>
    <t>BB100129</t>
  </si>
  <si>
    <t>C2128</t>
  </si>
  <si>
    <t>BB100130</t>
  </si>
  <si>
    <t>C2129</t>
  </si>
  <si>
    <t>BB100131</t>
  </si>
  <si>
    <t>C2130</t>
  </si>
  <si>
    <t>BB100132</t>
  </si>
  <si>
    <t>C2131</t>
  </si>
  <si>
    <t>BB100133</t>
  </si>
  <si>
    <t>C2132</t>
  </si>
  <si>
    <t>BB100134</t>
  </si>
  <si>
    <t>C2133</t>
  </si>
  <si>
    <t>BB100135</t>
  </si>
  <si>
    <t>C2134</t>
  </si>
  <si>
    <t>BB100136</t>
  </si>
  <si>
    <t>C2135</t>
  </si>
  <si>
    <t>BB100137</t>
  </si>
  <si>
    <t>C2136</t>
  </si>
  <si>
    <t>BB100138</t>
  </si>
  <si>
    <t>C2137</t>
  </si>
  <si>
    <t>BB100139</t>
  </si>
  <si>
    <t>C2138</t>
  </si>
  <si>
    <t>BB100140</t>
  </si>
  <si>
    <t>C2139</t>
  </si>
  <si>
    <t>BB100141</t>
  </si>
  <si>
    <t>C2140</t>
  </si>
  <si>
    <t>BB100142</t>
  </si>
  <si>
    <t>C2141</t>
  </si>
  <si>
    <t>BB100143</t>
  </si>
  <si>
    <t>C2142</t>
  </si>
  <si>
    <t>BB100144</t>
  </si>
  <si>
    <t>C2143</t>
  </si>
  <si>
    <t>BB100145</t>
  </si>
  <si>
    <t>C2144</t>
  </si>
  <si>
    <t>P042</t>
  </si>
  <si>
    <t>Tiramisu</t>
  </si>
  <si>
    <t>BB100146</t>
  </si>
  <si>
    <t>C2145</t>
  </si>
  <si>
    <t>BB100147</t>
  </si>
  <si>
    <t>C2146</t>
  </si>
  <si>
    <t>BB100148</t>
  </si>
  <si>
    <t>C2147</t>
  </si>
  <si>
    <t>BB100149</t>
  </si>
  <si>
    <t>C2148</t>
  </si>
  <si>
    <t>BB100151</t>
  </si>
  <si>
    <t>C2150</t>
  </si>
  <si>
    <t>BB100152</t>
  </si>
  <si>
    <t>C2151</t>
  </si>
  <si>
    <t>BB100153</t>
  </si>
  <si>
    <t>C2152</t>
  </si>
  <si>
    <t>BB100154</t>
  </si>
  <si>
    <t>C2153</t>
  </si>
  <si>
    <t>BB100155</t>
  </si>
  <si>
    <t>C2154</t>
  </si>
  <si>
    <t>BB100156</t>
  </si>
  <si>
    <t>C2155</t>
  </si>
  <si>
    <t>BB100157</t>
  </si>
  <si>
    <t>C2156</t>
  </si>
  <si>
    <t>BB100158</t>
  </si>
  <si>
    <t>C2157</t>
  </si>
  <si>
    <t>BB100159</t>
  </si>
  <si>
    <t>C2158</t>
  </si>
  <si>
    <t>BB100160</t>
  </si>
  <si>
    <t>C2159</t>
  </si>
  <si>
    <t>BB100161</t>
  </si>
  <si>
    <t>C2160</t>
  </si>
  <si>
    <t>BB100162</t>
  </si>
  <si>
    <t>C2161</t>
  </si>
  <si>
    <t>BB100163</t>
  </si>
  <si>
    <t>C2162</t>
  </si>
  <si>
    <t>BB100164</t>
  </si>
  <si>
    <t>C2163</t>
  </si>
  <si>
    <t>BB100165</t>
  </si>
  <si>
    <t>C2164</t>
  </si>
  <si>
    <t>BB100166</t>
  </si>
  <si>
    <t>C2165</t>
  </si>
  <si>
    <t>BB100167</t>
  </si>
  <si>
    <t>C2166</t>
  </si>
  <si>
    <t>BB100168</t>
  </si>
  <si>
    <t>C2167</t>
  </si>
  <si>
    <t>BB100169</t>
  </si>
  <si>
    <t>C2168</t>
  </si>
  <si>
    <t>BB100170</t>
  </si>
  <si>
    <t>C2169</t>
  </si>
  <si>
    <t>BB100171</t>
  </si>
  <si>
    <t>C2170</t>
  </si>
  <si>
    <t>BB100172</t>
  </si>
  <si>
    <t>C2171</t>
  </si>
  <si>
    <t>BB100173</t>
  </si>
  <si>
    <t>C2172</t>
  </si>
  <si>
    <t>BB100174</t>
  </si>
  <si>
    <t>C2173</t>
  </si>
  <si>
    <t>BB100322</t>
  </si>
  <si>
    <t>C2174</t>
  </si>
  <si>
    <t>BB100176</t>
  </si>
  <si>
    <t>C2175</t>
  </si>
  <si>
    <t>BB100177</t>
  </si>
  <si>
    <t>C2176</t>
  </si>
  <si>
    <t>BB100178</t>
  </si>
  <si>
    <t>C2177</t>
  </si>
  <si>
    <t>BB100179</t>
  </si>
  <si>
    <t>C2178</t>
  </si>
  <si>
    <t>BB100180</t>
  </si>
  <si>
    <t>C2179</t>
  </si>
  <si>
    <t>BB100181</t>
  </si>
  <si>
    <t>C2180</t>
  </si>
  <si>
    <t>BB100182</t>
  </si>
  <si>
    <t>C2181</t>
  </si>
  <si>
    <t>BB100183</t>
  </si>
  <si>
    <t>C2182</t>
  </si>
  <si>
    <t>BB100184</t>
  </si>
  <si>
    <t>C2183</t>
  </si>
  <si>
    <t>BB100185</t>
  </si>
  <si>
    <t>C2184</t>
  </si>
  <si>
    <t>BB100186</t>
  </si>
  <si>
    <t>C2185</t>
  </si>
  <si>
    <t>BB100187</t>
  </si>
  <si>
    <t>C2186</t>
  </si>
  <si>
    <t>BB100188</t>
  </si>
  <si>
    <t>C2187</t>
  </si>
  <si>
    <t>BB100189</t>
  </si>
  <si>
    <t>C2188</t>
  </si>
  <si>
    <t>BB100190</t>
  </si>
  <si>
    <t>C2189</t>
  </si>
  <si>
    <t>BB100191</t>
  </si>
  <si>
    <t>C2190</t>
  </si>
  <si>
    <t>BB100192</t>
  </si>
  <si>
    <t>C2191</t>
  </si>
  <si>
    <t>BB100193</t>
  </si>
  <si>
    <t>C2192</t>
  </si>
  <si>
    <t>BB100194</t>
  </si>
  <si>
    <t>C2193</t>
  </si>
  <si>
    <t>BB100195</t>
  </si>
  <si>
    <t>C2194</t>
  </si>
  <si>
    <t>BB100196</t>
  </si>
  <si>
    <t>C2195</t>
  </si>
  <si>
    <t>BB100197</t>
  </si>
  <si>
    <t>C2196</t>
  </si>
  <si>
    <t>BB100198</t>
  </si>
  <si>
    <t>C2197</t>
  </si>
  <si>
    <t>BB100199</t>
  </si>
  <si>
    <t>C2198</t>
  </si>
  <si>
    <t>BB100200</t>
  </si>
  <si>
    <t>C2199</t>
  </si>
  <si>
    <t>BB100201</t>
  </si>
  <si>
    <t>C2200</t>
  </si>
  <si>
    <t>BB100202</t>
  </si>
  <si>
    <t>C2201</t>
  </si>
  <si>
    <t>BB100203</t>
  </si>
  <si>
    <t>C2202</t>
  </si>
  <si>
    <t>BB100204</t>
  </si>
  <si>
    <t>C2203</t>
  </si>
  <si>
    <t>BB100205</t>
  </si>
  <si>
    <t>C2204</t>
  </si>
  <si>
    <t>BB100206</t>
  </si>
  <si>
    <t>C2205</t>
  </si>
  <si>
    <t>BB100207</t>
  </si>
  <si>
    <t>C2206</t>
  </si>
  <si>
    <t>BB100208</t>
  </si>
  <si>
    <t>C2207</t>
  </si>
  <si>
    <t>BB100209</t>
  </si>
  <si>
    <t>C2208</t>
  </si>
  <si>
    <t>BB100210</t>
  </si>
  <si>
    <t>C2209</t>
  </si>
  <si>
    <t>BB100211</t>
  </si>
  <si>
    <t>C2210</t>
  </si>
  <si>
    <t>BB100212</t>
  </si>
  <si>
    <t>C2211</t>
  </si>
  <si>
    <t>BB100213</t>
  </si>
  <si>
    <t>C2212</t>
  </si>
  <si>
    <t>BB100214</t>
  </si>
  <si>
    <t>C2213</t>
  </si>
  <si>
    <t>BB100215</t>
  </si>
  <si>
    <t>C2214</t>
  </si>
  <si>
    <t>BB100216</t>
  </si>
  <si>
    <t>C2215</t>
  </si>
  <si>
    <t>BB100217</t>
  </si>
  <si>
    <t>C2216</t>
  </si>
  <si>
    <t>BB100218</t>
  </si>
  <si>
    <t>C2217</t>
  </si>
  <si>
    <t>BB100219</t>
  </si>
  <si>
    <t>C2218</t>
  </si>
  <si>
    <t>BB100220</t>
  </si>
  <si>
    <t>C2219</t>
  </si>
  <si>
    <t>BB100221</t>
  </si>
  <si>
    <t>C2220</t>
  </si>
  <si>
    <t>BB100222</t>
  </si>
  <si>
    <t>C2221</t>
  </si>
  <si>
    <t>BB100223</t>
  </si>
  <si>
    <t>C2222</t>
  </si>
  <si>
    <t>BB100224</t>
  </si>
  <si>
    <t>C2223</t>
  </si>
  <si>
    <t>BB100225</t>
  </si>
  <si>
    <t>C2224</t>
  </si>
  <si>
    <t>BB100226</t>
  </si>
  <si>
    <t>C2225</t>
  </si>
  <si>
    <t>BB100227</t>
  </si>
  <si>
    <t>C2226</t>
  </si>
  <si>
    <t>BB100228</t>
  </si>
  <si>
    <t>C2227</t>
  </si>
  <si>
    <t>BB100229</t>
  </si>
  <si>
    <t>C2228</t>
  </si>
  <si>
    <t>BB100230</t>
  </si>
  <si>
    <t>C2229</t>
  </si>
  <si>
    <t>BB100231</t>
  </si>
  <si>
    <t>C2230</t>
  </si>
  <si>
    <t>BB100232</t>
  </si>
  <si>
    <t>C2231</t>
  </si>
  <si>
    <t>BB100233</t>
  </si>
  <si>
    <t>C2232</t>
  </si>
  <si>
    <t>BB100234</t>
  </si>
  <si>
    <t>C2233</t>
  </si>
  <si>
    <t>BB100235</t>
  </si>
  <si>
    <t>C2234</t>
  </si>
  <si>
    <t>BB100236</t>
  </si>
  <si>
    <t>C2235</t>
  </si>
  <si>
    <t>BB100237</t>
  </si>
  <si>
    <t>C2236</t>
  </si>
  <si>
    <t>BB100238</t>
  </si>
  <si>
    <t>C2237</t>
  </si>
  <si>
    <t>BB100239</t>
  </si>
  <si>
    <t>C2238</t>
  </si>
  <si>
    <t>BB100240</t>
  </si>
  <si>
    <t>C2239</t>
  </si>
  <si>
    <t>BB100241</t>
  </si>
  <si>
    <t>C2240</t>
  </si>
  <si>
    <t>BB100242</t>
  </si>
  <si>
    <t>C2241</t>
  </si>
  <si>
    <t>BB100243</t>
  </si>
  <si>
    <t>C2242</t>
  </si>
  <si>
    <t>BB100244</t>
  </si>
  <si>
    <t>C2243</t>
  </si>
  <si>
    <t>BB100245</t>
  </si>
  <si>
    <t>C2244</t>
  </si>
  <si>
    <t>BB100246</t>
  </si>
  <si>
    <t>C2245</t>
  </si>
  <si>
    <t>BB100247</t>
  </si>
  <si>
    <t>C2246</t>
  </si>
  <si>
    <t>BB100248</t>
  </si>
  <si>
    <t>C2247</t>
  </si>
  <si>
    <t>BB100249</t>
  </si>
  <si>
    <t>C2248</t>
  </si>
  <si>
    <t>BB100250</t>
  </si>
  <si>
    <t>C2249</t>
  </si>
  <si>
    <t>BB100251</t>
  </si>
  <si>
    <t>C2250</t>
  </si>
  <si>
    <t>BB100252</t>
  </si>
  <si>
    <t>C2251</t>
  </si>
  <si>
    <t>BB100253</t>
  </si>
  <si>
    <t>C2252</t>
  </si>
  <si>
    <t>BB100254</t>
  </si>
  <si>
    <t>C2253</t>
  </si>
  <si>
    <t>BB100255</t>
  </si>
  <si>
    <t>C2254</t>
  </si>
  <si>
    <t>BB100256</t>
  </si>
  <si>
    <t>C2255</t>
  </si>
  <si>
    <t>BB100257</t>
  </si>
  <si>
    <t>C2256</t>
  </si>
  <si>
    <t>BB100258</t>
  </si>
  <si>
    <t>C2257</t>
  </si>
  <si>
    <t>BB100259</t>
  </si>
  <si>
    <t>C2258</t>
  </si>
  <si>
    <t>BB100260</t>
  </si>
  <si>
    <t>C2259</t>
  </si>
  <si>
    <t>BB100261</t>
  </si>
  <si>
    <t>C2260</t>
  </si>
  <si>
    <t>BB100262</t>
  </si>
  <si>
    <t>C2261</t>
  </si>
  <si>
    <t>BB100263</t>
  </si>
  <si>
    <t>C2262</t>
  </si>
  <si>
    <t>BB100264</t>
  </si>
  <si>
    <t>C2263</t>
  </si>
  <si>
    <t>BB100265</t>
  </si>
  <si>
    <t>C2264</t>
  </si>
  <si>
    <t>BB100266</t>
  </si>
  <si>
    <t>C2265</t>
  </si>
  <si>
    <t>BB100267</t>
  </si>
  <si>
    <t>C2266</t>
  </si>
  <si>
    <t>BB100268</t>
  </si>
  <si>
    <t>C2267</t>
  </si>
  <si>
    <t>BB100269</t>
  </si>
  <si>
    <t>C2268</t>
  </si>
  <si>
    <t>BB100270</t>
  </si>
  <si>
    <t>C2269</t>
  </si>
  <si>
    <t>BB100271</t>
  </si>
  <si>
    <t>C2270</t>
  </si>
  <si>
    <t>BB100272</t>
  </si>
  <si>
    <t>C2271</t>
  </si>
  <si>
    <t>BB100273</t>
  </si>
  <si>
    <t>C2272</t>
  </si>
  <si>
    <t>BB100274</t>
  </si>
  <si>
    <t>C2273</t>
  </si>
  <si>
    <t>BB100275</t>
  </si>
  <si>
    <t>C2274</t>
  </si>
  <si>
    <t>BB100276</t>
  </si>
  <si>
    <t>C2275</t>
  </si>
  <si>
    <t>BB100277</t>
  </si>
  <si>
    <t>C2276</t>
  </si>
  <si>
    <t>BB100278</t>
  </si>
  <si>
    <t>C2277</t>
  </si>
  <si>
    <t>BB100279</t>
  </si>
  <si>
    <t>C2278</t>
  </si>
  <si>
    <t>BB100280</t>
  </si>
  <si>
    <t>C2279</t>
  </si>
  <si>
    <t>BB100281</t>
  </si>
  <si>
    <t>C2280</t>
  </si>
  <si>
    <t>BB100282</t>
  </si>
  <si>
    <t>C2281</t>
  </si>
  <si>
    <t>BB100283</t>
  </si>
  <si>
    <t>C2282</t>
  </si>
  <si>
    <t>BB100284</t>
  </si>
  <si>
    <t>C2283</t>
  </si>
  <si>
    <t>BB100285</t>
  </si>
  <si>
    <t>C2284</t>
  </si>
  <si>
    <t>BB100286</t>
  </si>
  <si>
    <t>C2285</t>
  </si>
  <si>
    <t>BB100287</t>
  </si>
  <si>
    <t>C2286</t>
  </si>
  <si>
    <t>BB100288</t>
  </si>
  <si>
    <t>C2287</t>
  </si>
  <si>
    <t>BB100289</t>
  </si>
  <si>
    <t>C2288</t>
  </si>
  <si>
    <t>BB100290</t>
  </si>
  <si>
    <t>C2289</t>
  </si>
  <si>
    <t>BB100291</t>
  </si>
  <si>
    <t>C2290</t>
  </si>
  <si>
    <t>BB100292</t>
  </si>
  <si>
    <t>C2291</t>
  </si>
  <si>
    <t>BB100293</t>
  </si>
  <si>
    <t>C2292</t>
  </si>
  <si>
    <t>BB100404</t>
  </si>
  <si>
    <t>C2293</t>
  </si>
  <si>
    <t>BB100295</t>
  </si>
  <si>
    <t>C2294</t>
  </si>
  <si>
    <t>BB100296</t>
  </si>
  <si>
    <t>C2295</t>
  </si>
  <si>
    <t>BB100297</t>
  </si>
  <si>
    <t>C2296</t>
  </si>
  <si>
    <t>BB100298</t>
  </si>
  <si>
    <t>C2297</t>
  </si>
  <si>
    <t>BB100299</t>
  </si>
  <si>
    <t>C2298</t>
  </si>
  <si>
    <t>BB100300</t>
  </si>
  <si>
    <t>C2299</t>
  </si>
  <si>
    <t>BB100301</t>
  </si>
  <si>
    <t>C2300</t>
  </si>
  <si>
    <t>BB100302</t>
  </si>
  <si>
    <t>C2301</t>
  </si>
  <si>
    <t>BB100303</t>
  </si>
  <si>
    <t>C2302</t>
  </si>
  <si>
    <t>BB100304</t>
  </si>
  <si>
    <t>C2303</t>
  </si>
  <si>
    <t>BB100305</t>
  </si>
  <si>
    <t>C2304</t>
  </si>
  <si>
    <t>BB100306</t>
  </si>
  <si>
    <t>C2305</t>
  </si>
  <si>
    <t>BB100307</t>
  </si>
  <si>
    <t>C2306</t>
  </si>
  <si>
    <t>BB100308</t>
  </si>
  <si>
    <t>C2307</t>
  </si>
  <si>
    <t>BB100309</t>
  </si>
  <si>
    <t>C2308</t>
  </si>
  <si>
    <t>BB100310</t>
  </si>
  <si>
    <t>C2309</t>
  </si>
  <si>
    <t>BB100311</t>
  </si>
  <si>
    <t>C2310</t>
  </si>
  <si>
    <t>BB100312</t>
  </si>
  <si>
    <t>C2311</t>
  </si>
  <si>
    <t>BB100313</t>
  </si>
  <si>
    <t>C2312</t>
  </si>
  <si>
    <t>BB100314</t>
  </si>
  <si>
    <t>C2313</t>
  </si>
  <si>
    <t>BB100315</t>
  </si>
  <si>
    <t>C2314</t>
  </si>
  <si>
    <t>BB100316</t>
  </si>
  <si>
    <t>C2315</t>
  </si>
  <si>
    <t>BB100416</t>
  </si>
  <si>
    <t>C2316</t>
  </si>
  <si>
    <t>BB100318</t>
  </si>
  <si>
    <t>C2317</t>
  </si>
  <si>
    <t>BB100319</t>
  </si>
  <si>
    <t>C2318</t>
  </si>
  <si>
    <t>BB100320</t>
  </si>
  <si>
    <t>C2319</t>
  </si>
  <si>
    <t>BB100321</t>
  </si>
  <si>
    <t>C2320</t>
  </si>
  <si>
    <t>BB100323</t>
  </si>
  <si>
    <t>C2322</t>
  </si>
  <si>
    <t>BB100324</t>
  </si>
  <si>
    <t>C2323</t>
  </si>
  <si>
    <t>BB100325</t>
  </si>
  <si>
    <t>C2324</t>
  </si>
  <si>
    <t>BB100326</t>
  </si>
  <si>
    <t>C2325</t>
  </si>
  <si>
    <t>BB100327</t>
  </si>
  <si>
    <t>C2326</t>
  </si>
  <si>
    <t>BB100328</t>
  </si>
  <si>
    <t>C2327</t>
  </si>
  <si>
    <t>BB100329</t>
  </si>
  <si>
    <t>C2328</t>
  </si>
  <si>
    <t>BB100330</t>
  </si>
  <si>
    <t>C2329</t>
  </si>
  <si>
    <t>BB100331</t>
  </si>
  <si>
    <t>C2330</t>
  </si>
  <si>
    <t>BB100332</t>
  </si>
  <si>
    <t>C2331</t>
  </si>
  <si>
    <t>BB100333</t>
  </si>
  <si>
    <t>C2332</t>
  </si>
  <si>
    <t>BB100334</t>
  </si>
  <si>
    <t>C2333</t>
  </si>
  <si>
    <t>BB100335</t>
  </si>
  <si>
    <t>C2334</t>
  </si>
  <si>
    <t>BB100336</t>
  </si>
  <si>
    <t>C2335</t>
  </si>
  <si>
    <t>BB100337</t>
  </si>
  <si>
    <t>C2336</t>
  </si>
  <si>
    <t>BB100338</t>
  </si>
  <si>
    <t>C2337</t>
  </si>
  <si>
    <t>BB100339</t>
  </si>
  <si>
    <t>C2338</t>
  </si>
  <si>
    <t>BB100340</t>
  </si>
  <si>
    <t>C2339</t>
  </si>
  <si>
    <t>BB100341</t>
  </si>
  <si>
    <t>C2340</t>
  </si>
  <si>
    <t>BB100560</t>
  </si>
  <si>
    <t>C2341</t>
  </si>
  <si>
    <t>BB100343</t>
  </si>
  <si>
    <t>C2342</t>
  </si>
  <si>
    <t>BB100344</t>
  </si>
  <si>
    <t>C2343</t>
  </si>
  <si>
    <t>BB100345</t>
  </si>
  <si>
    <t>C2344</t>
  </si>
  <si>
    <t>BB100346</t>
  </si>
  <si>
    <t>C2345</t>
  </si>
  <si>
    <t>BB100347</t>
  </si>
  <si>
    <t>C2346</t>
  </si>
  <si>
    <t>BB100348</t>
  </si>
  <si>
    <t>C2347</t>
  </si>
  <si>
    <t>BB100349</t>
  </si>
  <si>
    <t>C2348</t>
  </si>
  <si>
    <t>BB100350</t>
  </si>
  <si>
    <t>C2349</t>
  </si>
  <si>
    <t>BB100351</t>
  </si>
  <si>
    <t>C2350</t>
  </si>
  <si>
    <t>BB100352</t>
  </si>
  <si>
    <t>C2351</t>
  </si>
  <si>
    <t>BB100353</t>
  </si>
  <si>
    <t>C2352</t>
  </si>
  <si>
    <t>BB100354</t>
  </si>
  <si>
    <t>C2353</t>
  </si>
  <si>
    <t>BB100355</t>
  </si>
  <si>
    <t>C2354</t>
  </si>
  <si>
    <t>BB100356</t>
  </si>
  <si>
    <t>C2355</t>
  </si>
  <si>
    <t>BB100357</t>
  </si>
  <si>
    <t>C2356</t>
  </si>
  <si>
    <t>BB100358</t>
  </si>
  <si>
    <t>C2357</t>
  </si>
  <si>
    <t>BB100359</t>
  </si>
  <si>
    <t>C2358</t>
  </si>
  <si>
    <t>BB100360</t>
  </si>
  <si>
    <t>C2359</t>
  </si>
  <si>
    <t>BB100361</t>
  </si>
  <si>
    <t>C2360</t>
  </si>
  <si>
    <t>BB100362</t>
  </si>
  <si>
    <t>C2361</t>
  </si>
  <si>
    <t>BB100363</t>
  </si>
  <si>
    <t>C2362</t>
  </si>
  <si>
    <t>BB100364</t>
  </si>
  <si>
    <t>C2363</t>
  </si>
  <si>
    <t>BB100365</t>
  </si>
  <si>
    <t>C2364</t>
  </si>
  <si>
    <t>BB100366</t>
  </si>
  <si>
    <t>C2365</t>
  </si>
  <si>
    <t>BB100367</t>
  </si>
  <si>
    <t>C2366</t>
  </si>
  <si>
    <t>BB100368</t>
  </si>
  <si>
    <t>C2367</t>
  </si>
  <si>
    <t>BB100369</t>
  </si>
  <si>
    <t>C2368</t>
  </si>
  <si>
    <t>BB100370</t>
  </si>
  <si>
    <t>C2369</t>
  </si>
  <si>
    <t>BB100371</t>
  </si>
  <si>
    <t>C2370</t>
  </si>
  <si>
    <t>BB100372</t>
  </si>
  <si>
    <t>C2371</t>
  </si>
  <si>
    <t>BB100373</t>
  </si>
  <si>
    <t>C2372</t>
  </si>
  <si>
    <t>BB100374</t>
  </si>
  <si>
    <t>C2373</t>
  </si>
  <si>
    <t>BB100375</t>
  </si>
  <si>
    <t>C2374</t>
  </si>
  <si>
    <t>BB100376</t>
  </si>
  <si>
    <t>C2375</t>
  </si>
  <si>
    <t>BB100377</t>
  </si>
  <si>
    <t>C2376</t>
  </si>
  <si>
    <t>BB100378</t>
  </si>
  <si>
    <t>C2377</t>
  </si>
  <si>
    <t>BB100379</t>
  </si>
  <si>
    <t>C2378</t>
  </si>
  <si>
    <t>BB100380</t>
  </si>
  <si>
    <t>C2379</t>
  </si>
  <si>
    <t>BB100381</t>
  </si>
  <si>
    <t>C2380</t>
  </si>
  <si>
    <t>BB100382</t>
  </si>
  <si>
    <t>C2381</t>
  </si>
  <si>
    <t>BB100383</t>
  </si>
  <si>
    <t>C2382</t>
  </si>
  <si>
    <t>BB100384</t>
  </si>
  <si>
    <t>C2383</t>
  </si>
  <si>
    <t>BB100385</t>
  </si>
  <si>
    <t>C2384</t>
  </si>
  <si>
    <t>BB100386</t>
  </si>
  <si>
    <t>C2385</t>
  </si>
  <si>
    <t>BB100387</t>
  </si>
  <si>
    <t>C2386</t>
  </si>
  <si>
    <t>BB100388</t>
  </si>
  <si>
    <t>C2387</t>
  </si>
  <si>
    <t>BB100389</t>
  </si>
  <si>
    <t>C2388</t>
  </si>
  <si>
    <t>BB100390</t>
  </si>
  <si>
    <t>C2389</t>
  </si>
  <si>
    <t>BB100391</t>
  </si>
  <si>
    <t>C2390</t>
  </si>
  <si>
    <t>BB100392</t>
  </si>
  <si>
    <t>C2391</t>
  </si>
  <si>
    <t>BB100393</t>
  </si>
  <si>
    <t>C2392</t>
  </si>
  <si>
    <t>BB100394</t>
  </si>
  <si>
    <t>C2393</t>
  </si>
  <si>
    <t>BB100395</t>
  </si>
  <si>
    <t>C2394</t>
  </si>
  <si>
    <t>BB100396</t>
  </si>
  <si>
    <t>C2395</t>
  </si>
  <si>
    <t>BB100397</t>
  </si>
  <si>
    <t>C2396</t>
  </si>
  <si>
    <t>BB100398</t>
  </si>
  <si>
    <t>C2397</t>
  </si>
  <si>
    <t>BB100399</t>
  </si>
  <si>
    <t>C2398</t>
  </si>
  <si>
    <t>BB100400</t>
  </si>
  <si>
    <t>C2399</t>
  </si>
  <si>
    <t>BB100401</t>
  </si>
  <si>
    <t>C2400</t>
  </si>
  <si>
    <t>BB100402</t>
  </si>
  <si>
    <t>C2401</t>
  </si>
  <si>
    <t>BB100403</t>
  </si>
  <si>
    <t>C2402</t>
  </si>
  <si>
    <t>BB100405</t>
  </si>
  <si>
    <t>C2404</t>
  </si>
  <si>
    <t>BB100407</t>
  </si>
  <si>
    <t>C2406</t>
  </si>
  <si>
    <t>BB100408</t>
  </si>
  <si>
    <t>C2407</t>
  </si>
  <si>
    <t>BB100409</t>
  </si>
  <si>
    <t>C2408</t>
  </si>
  <si>
    <t>BB100957</t>
  </si>
  <si>
    <t>C2409</t>
  </si>
  <si>
    <t>BB100411</t>
  </si>
  <si>
    <t>C2410</t>
  </si>
  <si>
    <t>BB100412</t>
  </si>
  <si>
    <t>C2411</t>
  </si>
  <si>
    <t>BB100413</t>
  </si>
  <si>
    <t>C2412</t>
  </si>
  <si>
    <t>BB100414</t>
  </si>
  <si>
    <t>C2413</t>
  </si>
  <si>
    <t>BB100415</t>
  </si>
  <si>
    <t>C2414</t>
  </si>
  <si>
    <t>BB100417</t>
  </si>
  <si>
    <t>C2416</t>
  </si>
  <si>
    <t>BB100418</t>
  </si>
  <si>
    <t>C2417</t>
  </si>
  <si>
    <t>BB100419</t>
  </si>
  <si>
    <t>C2418</t>
  </si>
  <si>
    <t>BB100420</t>
  </si>
  <si>
    <t>C2419</t>
  </si>
  <si>
    <t>BB100421</t>
  </si>
  <si>
    <t>C2420</t>
  </si>
  <si>
    <t>BB100422</t>
  </si>
  <si>
    <t>C2421</t>
  </si>
  <si>
    <t>BB100423</t>
  </si>
  <si>
    <t>C2422</t>
  </si>
  <si>
    <t>BB100424</t>
  </si>
  <si>
    <t>C2423</t>
  </si>
  <si>
    <t>BB100425</t>
  </si>
  <si>
    <t>C2424</t>
  </si>
  <si>
    <t>BB100426</t>
  </si>
  <si>
    <t>C2425</t>
  </si>
  <si>
    <t>BB100427</t>
  </si>
  <si>
    <t>C2426</t>
  </si>
  <si>
    <t>BB100428</t>
  </si>
  <si>
    <t>C2427</t>
  </si>
  <si>
    <t>BB100429</t>
  </si>
  <si>
    <t>C2428</t>
  </si>
  <si>
    <t>BB100430</t>
  </si>
  <si>
    <t>C2429</t>
  </si>
  <si>
    <t>BB100431</t>
  </si>
  <si>
    <t>C2430</t>
  </si>
  <si>
    <t>BB100432</t>
  </si>
  <si>
    <t>C2431</t>
  </si>
  <si>
    <t>BB100433</t>
  </si>
  <si>
    <t>C2432</t>
  </si>
  <si>
    <t>BB100434</t>
  </si>
  <si>
    <t>C2433</t>
  </si>
  <si>
    <t>BB100435</t>
  </si>
  <si>
    <t>C2434</t>
  </si>
  <si>
    <t>BB100436</t>
  </si>
  <si>
    <t>C2435</t>
  </si>
  <si>
    <t>BB100437</t>
  </si>
  <si>
    <t>C2436</t>
  </si>
  <si>
    <t>BB100438</t>
  </si>
  <si>
    <t>C2437</t>
  </si>
  <si>
    <t>BB100439</t>
  </si>
  <si>
    <t>C2438</t>
  </si>
  <si>
    <t>BB100440</t>
  </si>
  <si>
    <t>C2439</t>
  </si>
  <si>
    <t>BB100441</t>
  </si>
  <si>
    <t>C2440</t>
  </si>
  <si>
    <t>BB100442</t>
  </si>
  <si>
    <t>C2441</t>
  </si>
  <si>
    <t>BB100443</t>
  </si>
  <si>
    <t>C2442</t>
  </si>
  <si>
    <t>BB100444</t>
  </si>
  <si>
    <t>C2443</t>
  </si>
  <si>
    <t>BB100445</t>
  </si>
  <si>
    <t>C2444</t>
  </si>
  <si>
    <t>BB100446</t>
  </si>
  <si>
    <t>C2445</t>
  </si>
  <si>
    <t>BB100447</t>
  </si>
  <si>
    <t>C2446</t>
  </si>
  <si>
    <t>BB100448</t>
  </si>
  <si>
    <t>C2447</t>
  </si>
  <si>
    <t>BB100449</t>
  </si>
  <si>
    <t>C2448</t>
  </si>
  <si>
    <t>BB100450</t>
  </si>
  <si>
    <t>C2449</t>
  </si>
  <si>
    <t>BB100451</t>
  </si>
  <si>
    <t>C2450</t>
  </si>
  <si>
    <t>BB100452</t>
  </si>
  <si>
    <t>C2451</t>
  </si>
  <si>
    <t>BB100453</t>
  </si>
  <si>
    <t>C2452</t>
  </si>
  <si>
    <t>BB100454</t>
  </si>
  <si>
    <t>C2453</t>
  </si>
  <si>
    <t>BB100455</t>
  </si>
  <si>
    <t>C2454</t>
  </si>
  <si>
    <t>BB100456</t>
  </si>
  <si>
    <t>C2455</t>
  </si>
  <si>
    <t>BB100457</t>
  </si>
  <si>
    <t>C2456</t>
  </si>
  <si>
    <t>BB100458</t>
  </si>
  <si>
    <t>C2457</t>
  </si>
  <si>
    <t>BB100459</t>
  </si>
  <si>
    <t>C2458</t>
  </si>
  <si>
    <t>BB100460</t>
  </si>
  <si>
    <t>C2459</t>
  </si>
  <si>
    <t>BB100461</t>
  </si>
  <si>
    <t>C2460</t>
  </si>
  <si>
    <t>BB100462</t>
  </si>
  <si>
    <t>C2461</t>
  </si>
  <si>
    <t>BB100463</t>
  </si>
  <si>
    <t>C2462</t>
  </si>
  <si>
    <t>BB100464</t>
  </si>
  <si>
    <t>C2463</t>
  </si>
  <si>
    <t>BB100465</t>
  </si>
  <si>
    <t>C2464</t>
  </si>
  <si>
    <t>BB100466</t>
  </si>
  <si>
    <t>C2465</t>
  </si>
  <si>
    <t>BB100467</t>
  </si>
  <si>
    <t>C2466</t>
  </si>
  <si>
    <t>BB100468</t>
  </si>
  <si>
    <t>C2467</t>
  </si>
  <si>
    <t>BB100469</t>
  </si>
  <si>
    <t>C2468</t>
  </si>
  <si>
    <t>BB100470</t>
  </si>
  <si>
    <t>C2469</t>
  </si>
  <si>
    <t>BB100471</t>
  </si>
  <si>
    <t>C2470</t>
  </si>
  <si>
    <t>BB100472</t>
  </si>
  <si>
    <t>C2471</t>
  </si>
  <si>
    <t>BB100473</t>
  </si>
  <si>
    <t>C2472</t>
  </si>
  <si>
    <t>BB100474</t>
  </si>
  <si>
    <t>C2473</t>
  </si>
  <si>
    <t>BB100475</t>
  </si>
  <si>
    <t>C2474</t>
  </si>
  <si>
    <t>BB100476</t>
  </si>
  <si>
    <t>C2475</t>
  </si>
  <si>
    <t>BB100477</t>
  </si>
  <si>
    <t>C2476</t>
  </si>
  <si>
    <t>BB100478</t>
  </si>
  <si>
    <t>C2477</t>
  </si>
  <si>
    <t>BB100479</t>
  </si>
  <si>
    <t>C2478</t>
  </si>
  <si>
    <t>BB100480</t>
  </si>
  <si>
    <t>C2479</t>
  </si>
  <si>
    <t>BB100481</t>
  </si>
  <si>
    <t>C2480</t>
  </si>
  <si>
    <t>BB100482</t>
  </si>
  <si>
    <t>C2481</t>
  </si>
  <si>
    <t>BB100483</t>
  </si>
  <si>
    <t>C2482</t>
  </si>
  <si>
    <t>BB100484</t>
  </si>
  <si>
    <t>C2483</t>
  </si>
  <si>
    <t>BB100485</t>
  </si>
  <si>
    <t>C2484</t>
  </si>
  <si>
    <t>BB100486</t>
  </si>
  <si>
    <t>C2485</t>
  </si>
  <si>
    <t>BB100487</t>
  </si>
  <si>
    <t>C2486</t>
  </si>
  <si>
    <t>BB100488</t>
  </si>
  <si>
    <t>C2487</t>
  </si>
  <si>
    <t>BB100489</t>
  </si>
  <si>
    <t>C2488</t>
  </si>
  <si>
    <t>BB100491</t>
  </si>
  <si>
    <t>C2490</t>
  </si>
  <si>
    <t>BB100492</t>
  </si>
  <si>
    <t>C2491</t>
  </si>
  <si>
    <t>BB100493</t>
  </si>
  <si>
    <t>C2492</t>
  </si>
  <si>
    <t>BB100494</t>
  </si>
  <si>
    <t>C2493</t>
  </si>
  <si>
    <t>BB100495</t>
  </si>
  <si>
    <t>C2494</t>
  </si>
  <si>
    <t>BB100496</t>
  </si>
  <si>
    <t>C2495</t>
  </si>
  <si>
    <t>BB100497</t>
  </si>
  <si>
    <t>C2496</t>
  </si>
  <si>
    <t>BB100498</t>
  </si>
  <si>
    <t>C2497</t>
  </si>
  <si>
    <t>BB100499</t>
  </si>
  <si>
    <t>C2498</t>
  </si>
  <si>
    <t>BB100500</t>
  </si>
  <si>
    <t>C2499</t>
  </si>
  <si>
    <t>BB100501</t>
  </si>
  <si>
    <t>C2500</t>
  </si>
  <si>
    <t>BB100502</t>
  </si>
  <si>
    <t>C2501</t>
  </si>
  <si>
    <t>BB100503</t>
  </si>
  <si>
    <t>C2502</t>
  </si>
  <si>
    <t>BB100504</t>
  </si>
  <si>
    <t>C2503</t>
  </si>
  <si>
    <t>BB100657</t>
  </si>
  <si>
    <t>C2504</t>
  </si>
  <si>
    <t>BB100506</t>
  </si>
  <si>
    <t>C2505</t>
  </si>
  <si>
    <t>BB100507</t>
  </si>
  <si>
    <t>C2506</t>
  </si>
  <si>
    <t>BB100508</t>
  </si>
  <si>
    <t>C2507</t>
  </si>
  <si>
    <t>BB100509</t>
  </si>
  <si>
    <t>C2508</t>
  </si>
  <si>
    <t>BB100510</t>
  </si>
  <si>
    <t>C2509</t>
  </si>
  <si>
    <t>BB100511</t>
  </si>
  <si>
    <t>C2510</t>
  </si>
  <si>
    <t>BB100512</t>
  </si>
  <si>
    <t>C2511</t>
  </si>
  <si>
    <t>BB100513</t>
  </si>
  <si>
    <t>C2512</t>
  </si>
  <si>
    <t>BB100514</t>
  </si>
  <si>
    <t>C2513</t>
  </si>
  <si>
    <t>BB100515</t>
  </si>
  <si>
    <t>C2514</t>
  </si>
  <si>
    <t>BB100516</t>
  </si>
  <si>
    <t>C2515</t>
  </si>
  <si>
    <t>BB100517</t>
  </si>
  <si>
    <t>C2516</t>
  </si>
  <si>
    <t>BB100518</t>
  </si>
  <si>
    <t>C2517</t>
  </si>
  <si>
    <t>BB100519</t>
  </si>
  <si>
    <t>C2518</t>
  </si>
  <si>
    <t>BB100520</t>
  </si>
  <si>
    <t>C2519</t>
  </si>
  <si>
    <t>BB100521</t>
  </si>
  <si>
    <t>C2520</t>
  </si>
  <si>
    <t>BB100522</t>
  </si>
  <si>
    <t>C2521</t>
  </si>
  <si>
    <t>BB100523</t>
  </si>
  <si>
    <t>C2522</t>
  </si>
  <si>
    <t>BB100524</t>
  </si>
  <si>
    <t>C2523</t>
  </si>
  <si>
    <t>BB100525</t>
  </si>
  <si>
    <t>C2524</t>
  </si>
  <si>
    <t>BB100526</t>
  </si>
  <si>
    <t>C2525</t>
  </si>
  <si>
    <t>BB100527</t>
  </si>
  <si>
    <t>C2526</t>
  </si>
  <si>
    <t>BB100528</t>
  </si>
  <si>
    <t>C2527</t>
  </si>
  <si>
    <t>BB100529</t>
  </si>
  <si>
    <t>C2528</t>
  </si>
  <si>
    <t>BB100530</t>
  </si>
  <si>
    <t>C2529</t>
  </si>
  <si>
    <t>BB100531</t>
  </si>
  <si>
    <t>C2530</t>
  </si>
  <si>
    <t>BB100532</t>
  </si>
  <si>
    <t>C2531</t>
  </si>
  <si>
    <t>BB100533</t>
  </si>
  <si>
    <t>C2532</t>
  </si>
  <si>
    <t>BB100534</t>
  </si>
  <si>
    <t>C2533</t>
  </si>
  <si>
    <t>BB100535</t>
  </si>
  <si>
    <t>C2534</t>
  </si>
  <si>
    <t>BB100536</t>
  </si>
  <si>
    <t>C2535</t>
  </si>
  <si>
    <t>BB100537</t>
  </si>
  <si>
    <t>C2536</t>
  </si>
  <si>
    <t>BB100538</t>
  </si>
  <si>
    <t>C2537</t>
  </si>
  <si>
    <t>BB100539</t>
  </si>
  <si>
    <t>C2538</t>
  </si>
  <si>
    <t>BB100540</t>
  </si>
  <si>
    <t>C2539</t>
  </si>
  <si>
    <t>BB100541</t>
  </si>
  <si>
    <t>C2540</t>
  </si>
  <si>
    <t>BB100542</t>
  </si>
  <si>
    <t>C2541</t>
  </si>
  <si>
    <t>BB100543</t>
  </si>
  <si>
    <t>C2542</t>
  </si>
  <si>
    <t>BB100544</t>
  </si>
  <si>
    <t>C2543</t>
  </si>
  <si>
    <t>BB100545</t>
  </si>
  <si>
    <t>C2544</t>
  </si>
  <si>
    <t>BB100546</t>
  </si>
  <si>
    <t>C2545</t>
  </si>
  <si>
    <t>BB100547</t>
  </si>
  <si>
    <t>C2546</t>
  </si>
  <si>
    <t>BB100548</t>
  </si>
  <si>
    <t>C2547</t>
  </si>
  <si>
    <t>BB100549</t>
  </si>
  <si>
    <t>C2548</t>
  </si>
  <si>
    <t>BB100550</t>
  </si>
  <si>
    <t>C2549</t>
  </si>
  <si>
    <t>BB100551</t>
  </si>
  <si>
    <t>C2550</t>
  </si>
  <si>
    <t>BB100552</t>
  </si>
  <si>
    <t>C2551</t>
  </si>
  <si>
    <t>BB100553</t>
  </si>
  <si>
    <t>C2552</t>
  </si>
  <si>
    <t>BB100554</t>
  </si>
  <si>
    <t>C2553</t>
  </si>
  <si>
    <t>BB100555</t>
  </si>
  <si>
    <t>C2554</t>
  </si>
  <si>
    <t>BB100556</t>
  </si>
  <si>
    <t>C2555</t>
  </si>
  <si>
    <t>BB100557</t>
  </si>
  <si>
    <t>C2556</t>
  </si>
  <si>
    <t>BB100558</t>
  </si>
  <si>
    <t>C2557</t>
  </si>
  <si>
    <t>BB100559</t>
  </si>
  <si>
    <t>C2558</t>
  </si>
  <si>
    <t>BB100561</t>
  </si>
  <si>
    <t>C2560</t>
  </si>
  <si>
    <t>BB100562</t>
  </si>
  <si>
    <t>C2561</t>
  </si>
  <si>
    <t>BB100563</t>
  </si>
  <si>
    <t>C2562</t>
  </si>
  <si>
    <t>BB100564</t>
  </si>
  <si>
    <t>C2563</t>
  </si>
  <si>
    <t>BB100565</t>
  </si>
  <si>
    <t>C2564</t>
  </si>
  <si>
    <t>BB100566</t>
  </si>
  <si>
    <t>C2565</t>
  </si>
  <si>
    <t>BB100567</t>
  </si>
  <si>
    <t>C2566</t>
  </si>
  <si>
    <t>BB100568</t>
  </si>
  <si>
    <t>C2567</t>
  </si>
  <si>
    <t>BB100569</t>
  </si>
  <si>
    <t>C2568</t>
  </si>
  <si>
    <t>BB100570</t>
  </si>
  <si>
    <t>C2569</t>
  </si>
  <si>
    <t>BB100571</t>
  </si>
  <si>
    <t>C2570</t>
  </si>
  <si>
    <t>BB100572</t>
  </si>
  <si>
    <t>C2571</t>
  </si>
  <si>
    <t>BB100573</t>
  </si>
  <si>
    <t>C2572</t>
  </si>
  <si>
    <t>BB100574</t>
  </si>
  <si>
    <t>C2573</t>
  </si>
  <si>
    <t>BB100575</t>
  </si>
  <si>
    <t>C2574</t>
  </si>
  <si>
    <t>BB100576</t>
  </si>
  <si>
    <t>C2575</t>
  </si>
  <si>
    <t>BB100577</t>
  </si>
  <si>
    <t>C2576</t>
  </si>
  <si>
    <t>BB100578</t>
  </si>
  <si>
    <t>C2577</t>
  </si>
  <si>
    <t>BB100579</t>
  </si>
  <si>
    <t>C2578</t>
  </si>
  <si>
    <t>BB100580</t>
  </si>
  <si>
    <t>C2579</t>
  </si>
  <si>
    <t>BB100581</t>
  </si>
  <si>
    <t>C2580</t>
  </si>
  <si>
    <t>BB100582</t>
  </si>
  <si>
    <t>C2581</t>
  </si>
  <si>
    <t>BB100583</t>
  </si>
  <si>
    <t>C2582</t>
  </si>
  <si>
    <t>BB100584</t>
  </si>
  <si>
    <t>C2583</t>
  </si>
  <si>
    <t>BB100585</t>
  </si>
  <si>
    <t>C2584</t>
  </si>
  <si>
    <t>BB100586</t>
  </si>
  <si>
    <t>C2585</t>
  </si>
  <si>
    <t>BB100587</t>
  </si>
  <si>
    <t>C2586</t>
  </si>
  <si>
    <t>BB100588</t>
  </si>
  <si>
    <t>C2587</t>
  </si>
  <si>
    <t>BB100589</t>
  </si>
  <si>
    <t>C2588</t>
  </si>
  <si>
    <t>BB100590</t>
  </si>
  <si>
    <t>C2589</t>
  </si>
  <si>
    <t>BB100591</t>
  </si>
  <si>
    <t>C2590</t>
  </si>
  <si>
    <t>BB100592</t>
  </si>
  <si>
    <t>C2591</t>
  </si>
  <si>
    <t>BB100593</t>
  </si>
  <si>
    <t>C2592</t>
  </si>
  <si>
    <t>BB100594</t>
  </si>
  <si>
    <t>C2593</t>
  </si>
  <si>
    <t>BB100595</t>
  </si>
  <si>
    <t>C2594</t>
  </si>
  <si>
    <t>BB100596</t>
  </si>
  <si>
    <t>C2595</t>
  </si>
  <si>
    <t>BB100597</t>
  </si>
  <si>
    <t>C2596</t>
  </si>
  <si>
    <t>BB100598</t>
  </si>
  <si>
    <t>C2597</t>
  </si>
  <si>
    <t>BB100599</t>
  </si>
  <si>
    <t>C2598</t>
  </si>
  <si>
    <t>BB100600</t>
  </si>
  <si>
    <t>C2599</t>
  </si>
  <si>
    <t>BB100601</t>
  </si>
  <si>
    <t>C2600</t>
  </si>
  <si>
    <t>BB100602</t>
  </si>
  <si>
    <t>C2601</t>
  </si>
  <si>
    <t>BB100603</t>
  </si>
  <si>
    <t>C2602</t>
  </si>
  <si>
    <t>BB100604</t>
  </si>
  <si>
    <t>C2603</t>
  </si>
  <si>
    <t>BB100605</t>
  </si>
  <si>
    <t>C2604</t>
  </si>
  <si>
    <t>BB100606</t>
  </si>
  <si>
    <t>C2605</t>
  </si>
  <si>
    <t>BB100607</t>
  </si>
  <si>
    <t>C2606</t>
  </si>
  <si>
    <t>BB100608</t>
  </si>
  <si>
    <t>C2607</t>
  </si>
  <si>
    <t>BB100609</t>
  </si>
  <si>
    <t>C2608</t>
  </si>
  <si>
    <t>BB100610</t>
  </si>
  <si>
    <t>C2609</t>
  </si>
  <si>
    <t>BB100611</t>
  </si>
  <si>
    <t>C2610</t>
  </si>
  <si>
    <t>BB100612</t>
  </si>
  <si>
    <t>C2611</t>
  </si>
  <si>
    <t>BB100613</t>
  </si>
  <si>
    <t>C2612</t>
  </si>
  <si>
    <t>BB100614</t>
  </si>
  <si>
    <t>C2613</t>
  </si>
  <si>
    <t>BB100615</t>
  </si>
  <si>
    <t>C2614</t>
  </si>
  <si>
    <t>BB100616</t>
  </si>
  <si>
    <t>C2615</t>
  </si>
  <si>
    <t>BB100617</t>
  </si>
  <si>
    <t>C2616</t>
  </si>
  <si>
    <t>BB100618</t>
  </si>
  <si>
    <t>C2617</t>
  </si>
  <si>
    <t>BB100619</t>
  </si>
  <si>
    <t>C2618</t>
  </si>
  <si>
    <t>BB100620</t>
  </si>
  <si>
    <t>C2619</t>
  </si>
  <si>
    <t>BB100621</t>
  </si>
  <si>
    <t>C2620</t>
  </si>
  <si>
    <t>BB100622</t>
  </si>
  <si>
    <t>C2621</t>
  </si>
  <si>
    <t>BB100623</t>
  </si>
  <si>
    <t>C2622</t>
  </si>
  <si>
    <t>BB100624</t>
  </si>
  <si>
    <t>C2623</t>
  </si>
  <si>
    <t>BB100625</t>
  </si>
  <si>
    <t>C2624</t>
  </si>
  <si>
    <t>BB100626</t>
  </si>
  <si>
    <t>C2625</t>
  </si>
  <si>
    <t>BB100627</t>
  </si>
  <si>
    <t>C2626</t>
  </si>
  <si>
    <t>BB100628</t>
  </si>
  <si>
    <t>C2627</t>
  </si>
  <si>
    <t>BB100629</t>
  </si>
  <si>
    <t>C2628</t>
  </si>
  <si>
    <t>BB100630</t>
  </si>
  <si>
    <t>C2629</t>
  </si>
  <si>
    <t>BB100631</t>
  </si>
  <si>
    <t>C2630</t>
  </si>
  <si>
    <t>BB100632</t>
  </si>
  <si>
    <t>C2631</t>
  </si>
  <si>
    <t>BB100633</t>
  </si>
  <si>
    <t>C2632</t>
  </si>
  <si>
    <t>BB100634</t>
  </si>
  <si>
    <t>C2633</t>
  </si>
  <si>
    <t>BB100635</t>
  </si>
  <si>
    <t>C2634</t>
  </si>
  <si>
    <t>BB100636</t>
  </si>
  <si>
    <t>C2635</t>
  </si>
  <si>
    <t>BB100637</t>
  </si>
  <si>
    <t>C2636</t>
  </si>
  <si>
    <t>BB100638</t>
  </si>
  <si>
    <t>C2637</t>
  </si>
  <si>
    <t>BB100639</t>
  </si>
  <si>
    <t>C2638</t>
  </si>
  <si>
    <t>BB100641</t>
  </si>
  <si>
    <t>C2640</t>
  </si>
  <si>
    <t>BB100642</t>
  </si>
  <si>
    <t>C2641</t>
  </si>
  <si>
    <t>BB100643</t>
  </si>
  <si>
    <t>C2642</t>
  </si>
  <si>
    <t>BB100644</t>
  </si>
  <si>
    <t>C2643</t>
  </si>
  <si>
    <t>BB100645</t>
  </si>
  <si>
    <t>C2644</t>
  </si>
  <si>
    <t>BB100646</t>
  </si>
  <si>
    <t>C2645</t>
  </si>
  <si>
    <t>BB100647</t>
  </si>
  <si>
    <t>C2646</t>
  </si>
  <si>
    <t>BB100648</t>
  </si>
  <si>
    <t>C2647</t>
  </si>
  <si>
    <t>BB100649</t>
  </si>
  <si>
    <t>C2648</t>
  </si>
  <si>
    <t>BB100650</t>
  </si>
  <si>
    <t>C2649</t>
  </si>
  <si>
    <t>BB100651</t>
  </si>
  <si>
    <t>C2650</t>
  </si>
  <si>
    <t>BB100652</t>
  </si>
  <si>
    <t>C2651</t>
  </si>
  <si>
    <t>BB100653</t>
  </si>
  <si>
    <t>C2652</t>
  </si>
  <si>
    <t>BB100654</t>
  </si>
  <si>
    <t>C2653</t>
  </si>
  <si>
    <t>BB100655</t>
  </si>
  <si>
    <t>C2654</t>
  </si>
  <si>
    <t>BB100656</t>
  </si>
  <si>
    <t>C2655</t>
  </si>
  <si>
    <t>BB100658</t>
  </si>
  <si>
    <t>C2657</t>
  </si>
  <si>
    <t>BB100659</t>
  </si>
  <si>
    <t>C2658</t>
  </si>
  <si>
    <t>BB100660</t>
  </si>
  <si>
    <t>C2659</t>
  </si>
  <si>
    <t>BB100661</t>
  </si>
  <si>
    <t>C2660</t>
  </si>
  <si>
    <t>BB100662</t>
  </si>
  <si>
    <t>C2661</t>
  </si>
  <si>
    <t>BB100663</t>
  </si>
  <si>
    <t>C2662</t>
  </si>
  <si>
    <t>BB100664</t>
  </si>
  <si>
    <t>C2663</t>
  </si>
  <si>
    <t>BB100665</t>
  </si>
  <si>
    <t>C2664</t>
  </si>
  <si>
    <t>BB100666</t>
  </si>
  <si>
    <t>C2665</t>
  </si>
  <si>
    <t>BB100667</t>
  </si>
  <si>
    <t>C2666</t>
  </si>
  <si>
    <t>BB100668</t>
  </si>
  <si>
    <t>C2667</t>
  </si>
  <si>
    <t>BB100669</t>
  </si>
  <si>
    <t>C2668</t>
  </si>
  <si>
    <t>BB100670</t>
  </si>
  <si>
    <t>C2669</t>
  </si>
  <si>
    <t>BB100671</t>
  </si>
  <si>
    <t>C2670</t>
  </si>
  <si>
    <t>BB100672</t>
  </si>
  <si>
    <t>C2671</t>
  </si>
  <si>
    <t>BB100673</t>
  </si>
  <si>
    <t>C2672</t>
  </si>
  <si>
    <t>BB100674</t>
  </si>
  <si>
    <t>C2673</t>
  </si>
  <si>
    <t>BB100675</t>
  </si>
  <si>
    <t>C2674</t>
  </si>
  <si>
    <t>BB100676</t>
  </si>
  <si>
    <t>C2675</t>
  </si>
  <si>
    <t>BB100677</t>
  </si>
  <si>
    <t>C2676</t>
  </si>
  <si>
    <t>BB100678</t>
  </si>
  <si>
    <t>C2677</t>
  </si>
  <si>
    <t>BB100679</t>
  </si>
  <si>
    <t>C2678</t>
  </si>
  <si>
    <t>BB100680</t>
  </si>
  <si>
    <t>C2679</t>
  </si>
  <si>
    <t>BB100681</t>
  </si>
  <si>
    <t>C2680</t>
  </si>
  <si>
    <t>BB100682</t>
  </si>
  <si>
    <t>C2681</t>
  </si>
  <si>
    <t>BB100683</t>
  </si>
  <si>
    <t>C2682</t>
  </si>
  <si>
    <t>BB100684</t>
  </si>
  <si>
    <t>C2683</t>
  </si>
  <si>
    <t>BB100685</t>
  </si>
  <si>
    <t>C2684</t>
  </si>
  <si>
    <t>BB100686</t>
  </si>
  <si>
    <t>C2685</t>
  </si>
  <si>
    <t>BB100687</t>
  </si>
  <si>
    <t>C2686</t>
  </si>
  <si>
    <t>BB100688</t>
  </si>
  <si>
    <t>C2687</t>
  </si>
  <si>
    <t>BB100689</t>
  </si>
  <si>
    <t>C2688</t>
  </si>
  <si>
    <t>BB100690</t>
  </si>
  <si>
    <t>C2689</t>
  </si>
  <si>
    <t>BB100691</t>
  </si>
  <si>
    <t>C2690</t>
  </si>
  <si>
    <t>BB100693</t>
  </si>
  <si>
    <t>C2692</t>
  </si>
  <si>
    <t>BB100694</t>
  </si>
  <si>
    <t>C2693</t>
  </si>
  <si>
    <t>BB100818</t>
  </si>
  <si>
    <t>C2694</t>
  </si>
  <si>
    <t>BB100981</t>
  </si>
  <si>
    <t>C2695</t>
  </si>
  <si>
    <t>BB100697</t>
  </si>
  <si>
    <t>C2696</t>
  </si>
  <si>
    <t>BB100698</t>
  </si>
  <si>
    <t>C2697</t>
  </si>
  <si>
    <t>BB100699</t>
  </si>
  <si>
    <t>C2698</t>
  </si>
  <si>
    <t>BB100700</t>
  </si>
  <si>
    <t>C2699</t>
  </si>
  <si>
    <t>BB100701</t>
  </si>
  <si>
    <t>C2700</t>
  </si>
  <si>
    <t>BB100702</t>
  </si>
  <si>
    <t>C2701</t>
  </si>
  <si>
    <t>BB100703</t>
  </si>
  <si>
    <t>C2702</t>
  </si>
  <si>
    <t>BB100704</t>
  </si>
  <si>
    <t>C2703</t>
  </si>
  <si>
    <t>BB100705</t>
  </si>
  <si>
    <t>C2704</t>
  </si>
  <si>
    <t>BB100706</t>
  </si>
  <si>
    <t>C2705</t>
  </si>
  <si>
    <t>BB100707</t>
  </si>
  <si>
    <t>C2706</t>
  </si>
  <si>
    <t>BB100708</t>
  </si>
  <si>
    <t>C2707</t>
  </si>
  <si>
    <t>BB100709</t>
  </si>
  <si>
    <t>C2708</t>
  </si>
  <si>
    <t>BB100710</t>
  </si>
  <si>
    <t>C2709</t>
  </si>
  <si>
    <t>BB100711</t>
  </si>
  <si>
    <t>C2710</t>
  </si>
  <si>
    <t>BB100712</t>
  </si>
  <si>
    <t>C2711</t>
  </si>
  <si>
    <t>BB100713</t>
  </si>
  <si>
    <t>C2712</t>
  </si>
  <si>
    <t>BB100714</t>
  </si>
  <si>
    <t>C2713</t>
  </si>
  <si>
    <t>BB100715</t>
  </si>
  <si>
    <t>C2714</t>
  </si>
  <si>
    <t>BB100716</t>
  </si>
  <si>
    <t>C2715</t>
  </si>
  <si>
    <t>BB100717</t>
  </si>
  <si>
    <t>C2716</t>
  </si>
  <si>
    <t>BB100718</t>
  </si>
  <si>
    <t>C2717</t>
  </si>
  <si>
    <t>BB100978</t>
  </si>
  <si>
    <t>C2718</t>
  </si>
  <si>
    <t>BB100720</t>
  </si>
  <si>
    <t>C2719</t>
  </si>
  <si>
    <t>BB100721</t>
  </si>
  <si>
    <t>C2720</t>
  </si>
  <si>
    <t>BB100722</t>
  </si>
  <si>
    <t>C2721</t>
  </si>
  <si>
    <t>BB100723</t>
  </si>
  <si>
    <t>C2722</t>
  </si>
  <si>
    <t>BB100724</t>
  </si>
  <si>
    <t>C2723</t>
  </si>
  <si>
    <t>BB100725</t>
  </si>
  <si>
    <t>C2724</t>
  </si>
  <si>
    <t>BB100726</t>
  </si>
  <si>
    <t>C2725</t>
  </si>
  <si>
    <t>BB100727</t>
  </si>
  <si>
    <t>C2726</t>
  </si>
  <si>
    <t>BB100728</t>
  </si>
  <si>
    <t>C2727</t>
  </si>
  <si>
    <t>BB100729</t>
  </si>
  <si>
    <t>C2728</t>
  </si>
  <si>
    <t>BB100730</t>
  </si>
  <si>
    <t>C2729</t>
  </si>
  <si>
    <t>BB100731</t>
  </si>
  <si>
    <t>C2730</t>
  </si>
  <si>
    <t>BB100732</t>
  </si>
  <si>
    <t>C2731</t>
  </si>
  <si>
    <t>BB100733</t>
  </si>
  <si>
    <t>C2732</t>
  </si>
  <si>
    <t>BB100734</t>
  </si>
  <si>
    <t>C2733</t>
  </si>
  <si>
    <t>BB100735</t>
  </si>
  <si>
    <t>C2734</t>
  </si>
  <si>
    <t>BB100736</t>
  </si>
  <si>
    <t>C2735</t>
  </si>
  <si>
    <t>BB100737</t>
  </si>
  <si>
    <t>C2736</t>
  </si>
  <si>
    <t>BB100738</t>
  </si>
  <si>
    <t>C2737</t>
  </si>
  <si>
    <t>BB100739</t>
  </si>
  <si>
    <t>C2738</t>
  </si>
  <si>
    <t>BB100740</t>
  </si>
  <si>
    <t>C2739</t>
  </si>
  <si>
    <t>BB100741</t>
  </si>
  <si>
    <t>C2740</t>
  </si>
  <si>
    <t>BB100742</t>
  </si>
  <si>
    <t>C2741</t>
  </si>
  <si>
    <t>BB100743</t>
  </si>
  <si>
    <t>C2742</t>
  </si>
  <si>
    <t>BB100744</t>
  </si>
  <si>
    <t>C2743</t>
  </si>
  <si>
    <t>BB100745</t>
  </si>
  <si>
    <t>C2744</t>
  </si>
  <si>
    <t>BB100746</t>
  </si>
  <si>
    <t>C2745</t>
  </si>
  <si>
    <t>BB100747</t>
  </si>
  <si>
    <t>C2746</t>
  </si>
  <si>
    <t>BB100748</t>
  </si>
  <si>
    <t>C2747</t>
  </si>
  <si>
    <t>BB100749</t>
  </si>
  <si>
    <t>C2748</t>
  </si>
  <si>
    <t>BB100750</t>
  </si>
  <si>
    <t>C2749</t>
  </si>
  <si>
    <t>BB100751</t>
  </si>
  <si>
    <t>C2750</t>
  </si>
  <si>
    <t>BB100753</t>
  </si>
  <si>
    <t>C2752</t>
  </si>
  <si>
    <t>BB100754</t>
  </si>
  <si>
    <t>C2753</t>
  </si>
  <si>
    <t>BB100755</t>
  </si>
  <si>
    <t>C2754</t>
  </si>
  <si>
    <t>BB100756</t>
  </si>
  <si>
    <t>C2755</t>
  </si>
  <si>
    <t>BB100757</t>
  </si>
  <si>
    <t>C2756</t>
  </si>
  <si>
    <t>BB100758</t>
  </si>
  <si>
    <t>C2757</t>
  </si>
  <si>
    <t>BB100759</t>
  </si>
  <si>
    <t>C2758</t>
  </si>
  <si>
    <t>BB100760</t>
  </si>
  <si>
    <t>C2759</t>
  </si>
  <si>
    <t>BB100761</t>
  </si>
  <si>
    <t>C2760</t>
  </si>
  <si>
    <t>BB100762</t>
  </si>
  <si>
    <t>C2761</t>
  </si>
  <si>
    <t>BB100763</t>
  </si>
  <si>
    <t>C2762</t>
  </si>
  <si>
    <t>BB100764</t>
  </si>
  <si>
    <t>C2763</t>
  </si>
  <si>
    <t>BB100765</t>
  </si>
  <si>
    <t>C2764</t>
  </si>
  <si>
    <t>BB100766</t>
  </si>
  <si>
    <t>C2765</t>
  </si>
  <si>
    <t>BB100767</t>
  </si>
  <si>
    <t>C2766</t>
  </si>
  <si>
    <t>BB100768</t>
  </si>
  <si>
    <t>C2767</t>
  </si>
  <si>
    <t>BB100769</t>
  </si>
  <si>
    <t>C2768</t>
  </si>
  <si>
    <t>BB100770</t>
  </si>
  <si>
    <t>C2769</t>
  </si>
  <si>
    <t>BB100771</t>
  </si>
  <si>
    <t>C2770</t>
  </si>
  <si>
    <t>BB100772</t>
  </si>
  <si>
    <t>C2771</t>
  </si>
  <si>
    <t>BB100773</t>
  </si>
  <si>
    <t>C2772</t>
  </si>
  <si>
    <t>BB100774</t>
  </si>
  <si>
    <t>C2773</t>
  </si>
  <si>
    <t>BB100775</t>
  </si>
  <si>
    <t>C2774</t>
  </si>
  <si>
    <t>BB100776</t>
  </si>
  <si>
    <t>C2775</t>
  </si>
  <si>
    <t>BB100777</t>
  </si>
  <si>
    <t>C2776</t>
  </si>
  <si>
    <t>BB100778</t>
  </si>
  <si>
    <t>C2777</t>
  </si>
  <si>
    <t>BB100779</t>
  </si>
  <si>
    <t>C2778</t>
  </si>
  <si>
    <t>BB100780</t>
  </si>
  <si>
    <t>C2779</t>
  </si>
  <si>
    <t>BB100781</t>
  </si>
  <si>
    <t>C2780</t>
  </si>
  <si>
    <t>BB100782</t>
  </si>
  <si>
    <t>C2781</t>
  </si>
  <si>
    <t>BB100783</t>
  </si>
  <si>
    <t>C2782</t>
  </si>
  <si>
    <t>BB100784</t>
  </si>
  <si>
    <t>C2783</t>
  </si>
  <si>
    <t>BB100785</t>
  </si>
  <si>
    <t>C2784</t>
  </si>
  <si>
    <t>BB100786</t>
  </si>
  <si>
    <t>C2785</t>
  </si>
  <si>
    <t>BB100787</t>
  </si>
  <si>
    <t>C2786</t>
  </si>
  <si>
    <t>BB100788</t>
  </si>
  <si>
    <t>C2787</t>
  </si>
  <si>
    <t>BB100789</t>
  </si>
  <si>
    <t>C2788</t>
  </si>
  <si>
    <t>BB100790</t>
  </si>
  <si>
    <t>C2789</t>
  </si>
  <si>
    <t>BB100791</t>
  </si>
  <si>
    <t>C2790</t>
  </si>
  <si>
    <t>BB100792</t>
  </si>
  <si>
    <t>C2791</t>
  </si>
  <si>
    <t>BB100793</t>
  </si>
  <si>
    <t>C2792</t>
  </si>
  <si>
    <t>BB100794</t>
  </si>
  <si>
    <t>C2793</t>
  </si>
  <si>
    <t>BB100795</t>
  </si>
  <si>
    <t>C2794</t>
  </si>
  <si>
    <t>BB100796</t>
  </si>
  <si>
    <t>C2795</t>
  </si>
  <si>
    <t>BB100797</t>
  </si>
  <si>
    <t>C2796</t>
  </si>
  <si>
    <t>BB100798</t>
  </si>
  <si>
    <t>C2797</t>
  </si>
  <si>
    <t>BB100799</t>
  </si>
  <si>
    <t>C2798</t>
  </si>
  <si>
    <t>BB100800</t>
  </si>
  <si>
    <t>C2799</t>
  </si>
  <si>
    <t>BB100801</t>
  </si>
  <si>
    <t>C2800</t>
  </si>
  <si>
    <t>BB100802</t>
  </si>
  <si>
    <t>C2801</t>
  </si>
  <si>
    <t>BB100803</t>
  </si>
  <si>
    <t>C2802</t>
  </si>
  <si>
    <t>BB100804</t>
  </si>
  <si>
    <t>C2803</t>
  </si>
  <si>
    <t>BB100805</t>
  </si>
  <si>
    <t>C2804</t>
  </si>
  <si>
    <t>BB100806</t>
  </si>
  <si>
    <t>C2805</t>
  </si>
  <si>
    <t>BB100807</t>
  </si>
  <si>
    <t>C2806</t>
  </si>
  <si>
    <t>BB100808</t>
  </si>
  <si>
    <t>C2807</t>
  </si>
  <si>
    <t>BB100809</t>
  </si>
  <si>
    <t>C2808</t>
  </si>
  <si>
    <t>BB100810</t>
  </si>
  <si>
    <t>C2809</t>
  </si>
  <si>
    <t>BB100811</t>
  </si>
  <si>
    <t>C2810</t>
  </si>
  <si>
    <t>BB100812</t>
  </si>
  <si>
    <t>C2811</t>
  </si>
  <si>
    <t>BB100813</t>
  </si>
  <si>
    <t>C2812</t>
  </si>
  <si>
    <t>BB100814</t>
  </si>
  <si>
    <t>C2813</t>
  </si>
  <si>
    <t>BB100815</t>
  </si>
  <si>
    <t>C2814</t>
  </si>
  <si>
    <t>BB100816</t>
  </si>
  <si>
    <t>C2815</t>
  </si>
  <si>
    <t>BB100817</t>
  </si>
  <si>
    <t>C2816</t>
  </si>
  <si>
    <t>BB100819</t>
  </si>
  <si>
    <t>C2818</t>
  </si>
  <si>
    <t>BB100820</t>
  </si>
  <si>
    <t>C2819</t>
  </si>
  <si>
    <t>BB100821</t>
  </si>
  <si>
    <t>C2820</t>
  </si>
  <si>
    <t>BB100822</t>
  </si>
  <si>
    <t>C2821</t>
  </si>
  <si>
    <t>BB100823</t>
  </si>
  <si>
    <t>C2822</t>
  </si>
  <si>
    <t>BB100824</t>
  </si>
  <si>
    <t>C2823</t>
  </si>
  <si>
    <t>BB100825</t>
  </si>
  <si>
    <t>C2824</t>
  </si>
  <si>
    <t>BB100826</t>
  </si>
  <si>
    <t>C2825</t>
  </si>
  <si>
    <t>BB100827</t>
  </si>
  <si>
    <t>C2826</t>
  </si>
  <si>
    <t>BB100828</t>
  </si>
  <si>
    <t>C2827</t>
  </si>
  <si>
    <t>BB100829</t>
  </si>
  <si>
    <t>C2828</t>
  </si>
  <si>
    <t>BB100830</t>
  </si>
  <si>
    <t>C2829</t>
  </si>
  <si>
    <t>BB100831</t>
  </si>
  <si>
    <t>C2830</t>
  </si>
  <si>
    <t>BB100832</t>
  </si>
  <si>
    <t>C2831</t>
  </si>
  <si>
    <t>BB100833</t>
  </si>
  <si>
    <t>C2832</t>
  </si>
  <si>
    <t>BB100834</t>
  </si>
  <si>
    <t>C2833</t>
  </si>
  <si>
    <t>BB100835</t>
  </si>
  <si>
    <t>C2834</t>
  </si>
  <si>
    <t>BB100836</t>
  </si>
  <si>
    <t>C2835</t>
  </si>
  <si>
    <t>BB100837</t>
  </si>
  <si>
    <t>C2836</t>
  </si>
  <si>
    <t>BB100839</t>
  </si>
  <si>
    <t>C2838</t>
  </si>
  <si>
    <t>BB100840</t>
  </si>
  <si>
    <t>C2839</t>
  </si>
  <si>
    <t>BB100841</t>
  </si>
  <si>
    <t>C2840</t>
  </si>
  <si>
    <t>BB100842</t>
  </si>
  <si>
    <t>C2841</t>
  </si>
  <si>
    <t>BB100843</t>
  </si>
  <si>
    <t>C2842</t>
  </si>
  <si>
    <t>BB100844</t>
  </si>
  <si>
    <t>C2843</t>
  </si>
  <si>
    <t>BB100845</t>
  </si>
  <si>
    <t>C2844</t>
  </si>
  <si>
    <t>BB100846</t>
  </si>
  <si>
    <t>C2845</t>
  </si>
  <si>
    <t>BB100847</t>
  </si>
  <si>
    <t>C2846</t>
  </si>
  <si>
    <t>BB100848</t>
  </si>
  <si>
    <t>C2847</t>
  </si>
  <si>
    <t>BB100849</t>
  </si>
  <si>
    <t>C2848</t>
  </si>
  <si>
    <t>BB100850</t>
  </si>
  <si>
    <t>C2849</t>
  </si>
  <si>
    <t>BB100851</t>
  </si>
  <si>
    <t>C2850</t>
  </si>
  <si>
    <t>BB100852</t>
  </si>
  <si>
    <t>C2851</t>
  </si>
  <si>
    <t>BB100853</t>
  </si>
  <si>
    <t>C2852</t>
  </si>
  <si>
    <t>BB100854</t>
  </si>
  <si>
    <t>C2853</t>
  </si>
  <si>
    <t>BB100855</t>
  </si>
  <si>
    <t>C2854</t>
  </si>
  <si>
    <t>BB100856</t>
  </si>
  <si>
    <t>C2855</t>
  </si>
  <si>
    <t>BB100857</t>
  </si>
  <si>
    <t>C2856</t>
  </si>
  <si>
    <t>BB100858</t>
  </si>
  <si>
    <t>C2857</t>
  </si>
  <si>
    <t>BB100859</t>
  </si>
  <si>
    <t>C2858</t>
  </si>
  <si>
    <t>BB100860</t>
  </si>
  <si>
    <t>C2859</t>
  </si>
  <si>
    <t>BB100861</t>
  </si>
  <si>
    <t>C2860</t>
  </si>
  <si>
    <t>BB100862</t>
  </si>
  <si>
    <t>C2861</t>
  </si>
  <si>
    <t>BB100863</t>
  </si>
  <si>
    <t>C2862</t>
  </si>
  <si>
    <t>BB100864</t>
  </si>
  <si>
    <t>C2863</t>
  </si>
  <si>
    <t>BB100865</t>
  </si>
  <si>
    <t>C2864</t>
  </si>
  <si>
    <t>BB100866</t>
  </si>
  <si>
    <t>C2865</t>
  </si>
  <si>
    <t>BB100867</t>
  </si>
  <si>
    <t>C2866</t>
  </si>
  <si>
    <t>BB100868</t>
  </si>
  <si>
    <t>C2867</t>
  </si>
  <si>
    <t>BB100870</t>
  </si>
  <si>
    <t>C2869</t>
  </si>
  <si>
    <t>BB100871</t>
  </si>
  <si>
    <t>C2870</t>
  </si>
  <si>
    <t>BB100872</t>
  </si>
  <si>
    <t>C2871</t>
  </si>
  <si>
    <t>BB100873</t>
  </si>
  <si>
    <t>C2872</t>
  </si>
  <si>
    <t>BB100874</t>
  </si>
  <si>
    <t>C2873</t>
  </si>
  <si>
    <t>BB100875</t>
  </si>
  <si>
    <t>C2874</t>
  </si>
  <si>
    <t>BB100876</t>
  </si>
  <si>
    <t>C2875</t>
  </si>
  <si>
    <t>BB100877</t>
  </si>
  <si>
    <t>C2876</t>
  </si>
  <si>
    <t>BB100878</t>
  </si>
  <si>
    <t>C2877</t>
  </si>
  <si>
    <t>BB100879</t>
  </si>
  <si>
    <t>C2878</t>
  </si>
  <si>
    <t>BB100880</t>
  </si>
  <si>
    <t>C2879</t>
  </si>
  <si>
    <t>BB100881</t>
  </si>
  <si>
    <t>C2880</t>
  </si>
  <si>
    <t>BB100882</t>
  </si>
  <si>
    <t>C2881</t>
  </si>
  <si>
    <t>BB100883</t>
  </si>
  <si>
    <t>C2882</t>
  </si>
  <si>
    <t>BB100884</t>
  </si>
  <si>
    <t>C2883</t>
  </si>
  <si>
    <t>BB100885</t>
  </si>
  <si>
    <t>C2884</t>
  </si>
  <si>
    <t>BB100886</t>
  </si>
  <si>
    <t>C2885</t>
  </si>
  <si>
    <t>BB100887</t>
  </si>
  <si>
    <t>C2886</t>
  </si>
  <si>
    <t>BB100888</t>
  </si>
  <si>
    <t>C2887</t>
  </si>
  <si>
    <t>BB100889</t>
  </si>
  <si>
    <t>C2888</t>
  </si>
  <si>
    <t>BB100890</t>
  </si>
  <si>
    <t>C2889</t>
  </si>
  <si>
    <t>BB100891</t>
  </si>
  <si>
    <t>C2890</t>
  </si>
  <si>
    <t>BB100892</t>
  </si>
  <si>
    <t>C2891</t>
  </si>
  <si>
    <t>BB100893</t>
  </si>
  <si>
    <t>C2892</t>
  </si>
  <si>
    <t>BB100894</t>
  </si>
  <si>
    <t>C2893</t>
  </si>
  <si>
    <t>BB100895</t>
  </si>
  <si>
    <t>C2894</t>
  </si>
  <si>
    <t>BB100896</t>
  </si>
  <si>
    <t>C2895</t>
  </si>
  <si>
    <t>BB100897</t>
  </si>
  <si>
    <t>C2896</t>
  </si>
  <si>
    <t>BB100898</t>
  </si>
  <si>
    <t>C2897</t>
  </si>
  <si>
    <t>BB100899</t>
  </si>
  <si>
    <t>C2898</t>
  </si>
  <si>
    <t>BB100900</t>
  </si>
  <si>
    <t>C2899</t>
  </si>
  <si>
    <t>BB100968</t>
  </si>
  <si>
    <t>C2900</t>
  </si>
  <si>
    <t>BB100902</t>
  </si>
  <si>
    <t>C2901</t>
  </si>
  <si>
    <t>BB100903</t>
  </si>
  <si>
    <t>C2902</t>
  </si>
  <si>
    <t>BB100904</t>
  </si>
  <si>
    <t>C2903</t>
  </si>
  <si>
    <t>BB100905</t>
  </si>
  <si>
    <t>C2904</t>
  </si>
  <si>
    <t>BB100906</t>
  </si>
  <si>
    <t>C2905</t>
  </si>
  <si>
    <t>BB100907</t>
  </si>
  <si>
    <t>C2906</t>
  </si>
  <si>
    <t>BB100908</t>
  </si>
  <si>
    <t>C2907</t>
  </si>
  <si>
    <t>BB100909</t>
  </si>
  <si>
    <t>C2908</t>
  </si>
  <si>
    <t>BB100910</t>
  </si>
  <si>
    <t>C2909</t>
  </si>
  <si>
    <t>BB100911</t>
  </si>
  <si>
    <t>C2910</t>
  </si>
  <si>
    <t>BB100912</t>
  </si>
  <si>
    <t>C2911</t>
  </si>
  <si>
    <t>BB100913</t>
  </si>
  <si>
    <t>C2912</t>
  </si>
  <si>
    <t>BB100914</t>
  </si>
  <si>
    <t>C2913</t>
  </si>
  <si>
    <t>BB100915</t>
  </si>
  <si>
    <t>C2914</t>
  </si>
  <si>
    <t>BB100916</t>
  </si>
  <si>
    <t>C2915</t>
  </si>
  <si>
    <t>BB100917</t>
  </si>
  <si>
    <t>C2916</t>
  </si>
  <si>
    <t>BB100918</t>
  </si>
  <si>
    <t>C2917</t>
  </si>
  <si>
    <t>BB100919</t>
  </si>
  <si>
    <t>C2918</t>
  </si>
  <si>
    <t>BB100920</t>
  </si>
  <si>
    <t>C2919</t>
  </si>
  <si>
    <t>BB100921</t>
  </si>
  <si>
    <t>C2920</t>
  </si>
  <si>
    <t>BB100922</t>
  </si>
  <si>
    <t>C2921</t>
  </si>
  <si>
    <t>BB100923</t>
  </si>
  <si>
    <t>C2922</t>
  </si>
  <si>
    <t>BB100924</t>
  </si>
  <si>
    <t>C2923</t>
  </si>
  <si>
    <t>BB100925</t>
  </si>
  <si>
    <t>C2924</t>
  </si>
  <si>
    <t>BB100926</t>
  </si>
  <si>
    <t>C2925</t>
  </si>
  <si>
    <t>BB100927</t>
  </si>
  <si>
    <t>C2926</t>
  </si>
  <si>
    <t>BB100928</t>
  </si>
  <si>
    <t>C2927</t>
  </si>
  <si>
    <t>BB100929</t>
  </si>
  <si>
    <t>C2928</t>
  </si>
  <si>
    <t>BB100930</t>
  </si>
  <si>
    <t>C2929</t>
  </si>
  <si>
    <t>BB100931</t>
  </si>
  <si>
    <t>C2930</t>
  </si>
  <si>
    <t>BB100932</t>
  </si>
  <si>
    <t>C2931</t>
  </si>
  <si>
    <t>BB100933</t>
  </si>
  <si>
    <t>C2932</t>
  </si>
  <si>
    <t>BB100934</t>
  </si>
  <si>
    <t>C2933</t>
  </si>
  <si>
    <t>BB100935</t>
  </si>
  <si>
    <t>C2934</t>
  </si>
  <si>
    <t>BB100936</t>
  </si>
  <si>
    <t>C2935</t>
  </si>
  <si>
    <t>BB100937</t>
  </si>
  <si>
    <t>C2936</t>
  </si>
  <si>
    <t>BB100938</t>
  </si>
  <si>
    <t>C2937</t>
  </si>
  <si>
    <t>BB100939</t>
  </si>
  <si>
    <t>C2938</t>
  </si>
  <si>
    <t>BB100940</t>
  </si>
  <si>
    <t>C2939</t>
  </si>
  <si>
    <t>BB100942</t>
  </si>
  <si>
    <t>C2941</t>
  </si>
  <si>
    <t>BB100943</t>
  </si>
  <si>
    <t>C2942</t>
  </si>
  <si>
    <t>BB100944</t>
  </si>
  <si>
    <t>C2943</t>
  </si>
  <si>
    <t>BB100945</t>
  </si>
  <si>
    <t>C2944</t>
  </si>
  <si>
    <t>BB100946</t>
  </si>
  <si>
    <t>C2945</t>
  </si>
  <si>
    <t>BB100947</t>
  </si>
  <si>
    <t>C2946</t>
  </si>
  <si>
    <t>BB100948</t>
  </si>
  <si>
    <t>C2947</t>
  </si>
  <si>
    <t>BB100949</t>
  </si>
  <si>
    <t>C2948</t>
  </si>
  <si>
    <t>BB100950</t>
  </si>
  <si>
    <t>C2949</t>
  </si>
  <si>
    <t>BB100951</t>
  </si>
  <si>
    <t>C2950</t>
  </si>
  <si>
    <t>BB100952</t>
  </si>
  <si>
    <t>C2951</t>
  </si>
  <si>
    <t>BB100953</t>
  </si>
  <si>
    <t>C2952</t>
  </si>
  <si>
    <t>BB100954</t>
  </si>
  <si>
    <t>C2953</t>
  </si>
  <si>
    <t>BB100955</t>
  </si>
  <si>
    <t>C2954</t>
  </si>
  <si>
    <t>BB100958</t>
  </si>
  <si>
    <t>C2957</t>
  </si>
  <si>
    <t>BB100959</t>
  </si>
  <si>
    <t>C2958</t>
  </si>
  <si>
    <t>BB100960</t>
  </si>
  <si>
    <t>C2959</t>
  </si>
  <si>
    <t>BB100961</t>
  </si>
  <si>
    <t>C2960</t>
  </si>
  <si>
    <t>BB100962</t>
  </si>
  <si>
    <t>C2961</t>
  </si>
  <si>
    <t>BB100963</t>
  </si>
  <si>
    <t>C2962</t>
  </si>
  <si>
    <t>BB100964</t>
  </si>
  <si>
    <t>C2963</t>
  </si>
  <si>
    <t>BB100965</t>
  </si>
  <si>
    <t>C2964</t>
  </si>
  <si>
    <t>BB100966</t>
  </si>
  <si>
    <t>C2965</t>
  </si>
  <si>
    <t>BB100967</t>
  </si>
  <si>
    <t>C2966</t>
  </si>
  <si>
    <t>BB100969</t>
  </si>
  <si>
    <t>C2968</t>
  </si>
  <si>
    <t>BB100970</t>
  </si>
  <si>
    <t>C2969</t>
  </si>
  <si>
    <t>BB100971</t>
  </si>
  <si>
    <t>C2970</t>
  </si>
  <si>
    <t>BB100972</t>
  </si>
  <si>
    <t>C2971</t>
  </si>
  <si>
    <t>BB100973</t>
  </si>
  <si>
    <t>C2972</t>
  </si>
  <si>
    <t>BB100974</t>
  </si>
  <si>
    <t>C2973</t>
  </si>
  <si>
    <t>BB100975</t>
  </si>
  <si>
    <t>C2974</t>
  </si>
  <si>
    <t>BB100976</t>
  </si>
  <si>
    <t>C2975</t>
  </si>
  <si>
    <t>BB100977</t>
  </si>
  <si>
    <t>C2976</t>
  </si>
  <si>
    <t>BB100979</t>
  </si>
  <si>
    <t>C2978</t>
  </si>
  <si>
    <t>BB100980</t>
  </si>
  <si>
    <t>C2979</t>
  </si>
  <si>
    <t>BB100982</t>
  </si>
  <si>
    <t>C2981</t>
  </si>
  <si>
    <t>BB100983</t>
  </si>
  <si>
    <t>C2982</t>
  </si>
  <si>
    <t>BB100984</t>
  </si>
  <si>
    <t>C2983</t>
  </si>
  <si>
    <t>BB100985</t>
  </si>
  <si>
    <t>C2984</t>
  </si>
  <si>
    <t>BB100986</t>
  </si>
  <si>
    <t>C2985</t>
  </si>
  <si>
    <t>BB100987</t>
  </si>
  <si>
    <t>C2986</t>
  </si>
  <si>
    <t>BB100988</t>
  </si>
  <si>
    <t>C2987</t>
  </si>
  <si>
    <t>BB100989</t>
  </si>
  <si>
    <t>C2988</t>
  </si>
  <si>
    <t>BB100990</t>
  </si>
  <si>
    <t>C2989</t>
  </si>
  <si>
    <t>BB100991</t>
  </si>
  <si>
    <t>C2990</t>
  </si>
  <si>
    <t>BB100992</t>
  </si>
  <si>
    <t>C2991</t>
  </si>
  <si>
    <t>BB100993</t>
  </si>
  <si>
    <t>C2992</t>
  </si>
  <si>
    <t>BB100994</t>
  </si>
  <si>
    <t>C2993</t>
  </si>
  <si>
    <t>BB100995</t>
  </si>
  <si>
    <t>C2994</t>
  </si>
  <si>
    <t>BB100996</t>
  </si>
  <si>
    <t>C2995</t>
  </si>
  <si>
    <t>BB100997</t>
  </si>
  <si>
    <t>C2996</t>
  </si>
  <si>
    <t>BB100998</t>
  </si>
  <si>
    <t>C2997</t>
  </si>
  <si>
    <t>BB100999</t>
  </si>
  <si>
    <t>C2998</t>
  </si>
  <si>
    <t>BB101000</t>
  </si>
  <si>
    <t>C2999</t>
  </si>
  <si>
    <t>Not Rated</t>
    <phoneticPr fontId="2"/>
  </si>
  <si>
    <t>Malviya Nagar</t>
  </si>
  <si>
    <t>S15</t>
  </si>
  <si>
    <t>Salt Lake</t>
  </si>
  <si>
    <t>S13</t>
  </si>
  <si>
    <t>Gachibowli</t>
  </si>
  <si>
    <t>S11</t>
  </si>
  <si>
    <t>Whitefield</t>
  </si>
  <si>
    <t>S09</t>
  </si>
  <si>
    <t>Indiranagar</t>
  </si>
  <si>
    <t>S08</t>
  </si>
  <si>
    <t>Andheri</t>
  </si>
  <si>
    <t>S06</t>
  </si>
  <si>
    <t>Powai</t>
  </si>
  <si>
    <t>S05</t>
  </si>
  <si>
    <t>Rajouri Garden</t>
  </si>
  <si>
    <t>S03</t>
  </si>
  <si>
    <t>Saket</t>
  </si>
  <si>
    <t>S02</t>
  </si>
  <si>
    <t>Connaught place</t>
  </si>
  <si>
    <t>Not Specified</t>
  </si>
  <si>
    <t>Not Specified</t>
    <phoneticPr fontId="2"/>
  </si>
  <si>
    <t>Sum of Sales</t>
  </si>
  <si>
    <t>Sum of Profit</t>
  </si>
  <si>
    <t>Row Labels</t>
  </si>
  <si>
    <t>Grand Total</t>
  </si>
  <si>
    <t>Count of Order_ID</t>
  </si>
  <si>
    <t>Count of Customer_Rating</t>
  </si>
  <si>
    <t xml:space="preserve">AVERAGE CUSTOMER RATING </t>
    <phoneticPr fontId="2"/>
  </si>
  <si>
    <t>AVERAGE ORDER VALUE</t>
    <phoneticPr fontId="2"/>
  </si>
  <si>
    <t>PROFIT MARGIN %</t>
    <phoneticPr fontId="2"/>
  </si>
  <si>
    <t>Sum of Sales</t>
    <phoneticPr fontId="2"/>
  </si>
  <si>
    <t>Sum of Profit</t>
    <phoneticPr fontId="2"/>
  </si>
  <si>
    <t>Total Orders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</si>
</sst>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Red]\-&quot;£&quot;#,##0.00"/>
    <numFmt numFmtId="176" formatCode="[$-F400]h:mm:ss\ AM/PM"/>
    <numFmt numFmtId="177" formatCode="_ [$₹-4009]\ * #,##0.0_ ;_ [$₹-4009]\ * \-#,##0.0_ ;_ [$₹-4009]\ * &quot;-&quot;?_ ;_ @_ "/>
    <numFmt numFmtId="178" formatCode="_ [$₹-4009]\ * #,##0_ ;_ [$₹-4009]\ * \-#,##0_ ;_ [$₹-4009]\ * &quot;-&quot;_ ;_ @_ "/>
    <numFmt numFmtId="179" formatCode="dd/mmm/yyyy"/>
    <numFmt numFmtId="180" formatCode="\ \₹#,##0.00"/>
    <numFmt numFmtId="181" formatCode="_ [$₹-4009]\ * #,##0.00_ ;_ [$₹-4009]\ * \-#,##0.00_ ;_ [$₹-4009]\ * &quot;-&quot;?_ ;_ @_ "/>
    <numFmt numFmtId="182" formatCode="0\%"/>
    <numFmt numFmtId="183" formatCode="0.00\%"/>
    <numFmt numFmtId="184" formatCode="0.0"/>
    <numFmt numFmtId="185" formatCode="[$₹-4009]\ #,##0.00;[Red][$₹-4009]\ \-#,##0.00"/>
  </numFmts>
  <fonts count="4">
    <font>
      <sz val="11"/>
      <color theme="1"/>
      <name val="ＭＳ Ｐゴシック"/>
      <family val="2"/>
      <scheme val="minor"/>
    </font>
    <font>
      <b/>
      <sz val="11"/>
      <name val="ＭＳ Ｐゴシック"/>
    </font>
    <font>
      <sz val="6"/>
      <name val="ＭＳ Ｐゴシック"/>
      <family val="3"/>
      <charset val="128"/>
      <scheme val="minor"/>
    </font>
    <font>
      <sz val="11"/>
      <color theme="1"/>
      <name val="ＭＳ Ｐゴシック"/>
      <family val="2"/>
      <scheme val="minor"/>
    </font>
  </fonts>
  <fills count="2">
    <fill>
      <patternFill patternType="none"/>
    </fill>
    <fill>
      <patternFill patternType="gray125"/>
    </fill>
  </fills>
  <borders count="1">
    <border>
      <left/>
      <right/>
      <top/>
      <bottom/>
      <diagonal/>
    </border>
  </borders>
  <cellStyleXfs count="2">
    <xf numFmtId="0" fontId="0" fillId="0" borderId="0"/>
    <xf numFmtId="8" fontId="3" fillId="0" borderId="0" applyFont="0" applyFill="0" applyBorder="0" applyAlignment="0" applyProtection="0">
      <alignment vertical="center"/>
    </xf>
  </cellStyleXfs>
  <cellXfs count="24">
    <xf numFmtId="0" fontId="0" fillId="0" borderId="0" xfId="0"/>
    <xf numFmtId="0" fontId="1" fillId="0" borderId="0" xfId="0" applyFont="1"/>
    <xf numFmtId="176" fontId="1" fillId="0" borderId="0" xfId="0" applyNumberFormat="1" applyFont="1"/>
    <xf numFmtId="176" fontId="0" fillId="0" borderId="0" xfId="0" applyNumberFormat="1"/>
    <xf numFmtId="177" fontId="1" fillId="0" borderId="0" xfId="0" applyNumberFormat="1" applyFont="1"/>
    <xf numFmtId="177" fontId="0" fillId="0" borderId="0" xfId="0" applyNumberFormat="1"/>
    <xf numFmtId="178" fontId="1" fillId="0" borderId="0" xfId="0" applyNumberFormat="1" applyFont="1"/>
    <xf numFmtId="178" fontId="0" fillId="0" borderId="0" xfId="0" applyNumberFormat="1"/>
    <xf numFmtId="10" fontId="0" fillId="0" borderId="0" xfId="0" applyNumberFormat="1"/>
    <xf numFmtId="179" fontId="1" fillId="0" borderId="0" xfId="0" applyNumberFormat="1" applyFont="1"/>
    <xf numFmtId="179" fontId="0" fillId="0" borderId="0" xfId="0" applyNumberFormat="1"/>
    <xf numFmtId="180" fontId="1" fillId="0" borderId="0" xfId="0" applyNumberFormat="1" applyFont="1"/>
    <xf numFmtId="180" fontId="0" fillId="0" borderId="0" xfId="0" applyNumberFormat="1"/>
    <xf numFmtId="181" fontId="1" fillId="0" borderId="0" xfId="0" applyNumberFormat="1" applyFont="1"/>
    <xf numFmtId="181" fontId="0" fillId="0" borderId="0" xfId="0" applyNumberFormat="1"/>
    <xf numFmtId="182" fontId="1" fillId="0" borderId="0" xfId="0" applyNumberFormat="1" applyFont="1"/>
    <xf numFmtId="182" fontId="0" fillId="0" borderId="0" xfId="0" applyNumberFormat="1"/>
    <xf numFmtId="183" fontId="1" fillId="0" borderId="0" xfId="0" applyNumberFormat="1" applyFont="1"/>
    <xf numFmtId="183" fontId="0" fillId="0" borderId="0" xfId="0" applyNumberFormat="1"/>
    <xf numFmtId="0" fontId="0" fillId="0" borderId="0" xfId="0" pivotButton="1"/>
    <xf numFmtId="0" fontId="0" fillId="0" borderId="0" xfId="0" applyAlignment="1">
      <alignment horizontal="left"/>
    </xf>
    <xf numFmtId="184" fontId="0" fillId="0" borderId="0" xfId="0" applyNumberFormat="1"/>
    <xf numFmtId="185" fontId="0" fillId="0" borderId="0" xfId="1" applyNumberFormat="1" applyFont="1" applyAlignment="1"/>
    <xf numFmtId="185" fontId="0" fillId="0" borderId="0" xfId="0" applyNumberFormat="1"/>
  </cellXfs>
  <cellStyles count="2">
    <cellStyle name="Currency" xfId="1" builtinId="4"/>
    <cellStyle name="Normal" xfId="0" builtinId="0"/>
  </cellStyles>
  <dxfs count="13">
    <dxf>
      <numFmt numFmtId="183" formatCode="0.00\%"/>
    </dxf>
    <dxf>
      <numFmt numFmtId="177" formatCode="_ [$₹-4009]\ * #,##0.0_ ;_ [$₹-4009]\ * \-#,##0.0_ ;_ [$₹-4009]\ * &quot;-&quot;?_ ;_ @_ "/>
    </dxf>
    <dxf>
      <numFmt numFmtId="180" formatCode="\ \₹#,##0.00"/>
    </dxf>
    <dxf>
      <numFmt numFmtId="182" formatCode="0\%"/>
    </dxf>
    <dxf>
      <numFmt numFmtId="181" formatCode="_ [$₹-4009]\ * #,##0.00_ ;_ [$₹-4009]\ * \-#,##0.00_ ;_ [$₹-4009]\ * &quot;-&quot;?_ ;_ @_ "/>
    </dxf>
    <dxf>
      <numFmt numFmtId="181" formatCode="_ [$₹-4009]\ * #,##0.00_ ;_ [$₹-4009]\ * \-#,##0.00_ ;_ [$₹-4009]\ * &quot;-&quot;?_ ;_ @_ "/>
    </dxf>
    <dxf>
      <numFmt numFmtId="178" formatCode="_ [$₹-4009]\ * #,##0_ ;_ [$₹-4009]\ * \-#,##0_ ;_ [$₹-4009]\ * &quot;-&quot;_ ;_ @_ "/>
    </dxf>
    <dxf>
      <numFmt numFmtId="178" formatCode="_ [$₹-4009]\ * #,##0_ ;_ [$₹-4009]\ * \-#,##0_ ;_ [$₹-4009]\ * &quot;-&quot;_ ;_ @_ "/>
    </dxf>
    <dxf>
      <numFmt numFmtId="181" formatCode="_ [$₹-4009]\ * #,##0.00_ ;_ [$₹-4009]\ * \-#,##0.00_ ;_ [$₹-4009]\ * &quot;-&quot;?_ ;_ @_ "/>
    </dxf>
    <dxf>
      <numFmt numFmtId="176" formatCode="[$-F400]h:mm:ss\ AM/PM"/>
    </dxf>
    <dxf>
      <numFmt numFmtId="179" formatCode="dd/mmm/yyyy"/>
    </dxf>
    <dxf>
      <font>
        <b/>
        <i val="0"/>
        <strike val="0"/>
        <condense val="0"/>
        <extend val="0"/>
        <outline val="0"/>
        <shadow val="0"/>
        <u val="none"/>
        <vertAlign val="baseline"/>
        <sz val="11"/>
        <color auto="1"/>
        <name val="ＭＳ Ｐゴシック"/>
        <scheme val="none"/>
      </font>
    </dxf>
    <dxf>
      <font>
        <color theme="0"/>
      </font>
      <fill>
        <gradientFill type="path" left="0.5" right="0.5" top="0.5" bottom="0.5">
          <stop position="0">
            <color rgb="FF8B5A2B"/>
          </stop>
          <stop position="1">
            <color rgb="FF4A2A16"/>
          </stop>
        </gradientFill>
      </fill>
    </dxf>
  </dxfs>
  <tableStyles count="1" defaultTableStyle="TableStyleMedium9" defaultPivotStyle="PivotStyleLight16">
    <tableStyle name="Slicer Style 1" pivot="0" table="0" count="3" xr9:uid="{EDDB693F-4E99-4930-B8AE-BD8F89B38F40}">
      <tableStyleElement type="wholeTable" dxfId="12"/>
    </tableStyle>
  </tableStyles>
  <colors>
    <mruColors>
      <color rgb="FF996633"/>
      <color rgb="FFBF7F3F"/>
      <color rgb="FFC68C52"/>
      <color rgb="FFCC9900"/>
      <color rgb="FFFFF8EE"/>
      <color rgb="FF4A2A16"/>
      <color rgb="FFF8F4EE"/>
      <color rgb="FFE7DCCB"/>
      <color rgb="FF3F3F3F"/>
      <color rgb="FFDFBE9D"/>
    </mruColors>
  </colors>
  <extLst>
    <ext xmlns:x14="http://schemas.microsoft.com/office/spreadsheetml/2009/9/main" uri="{46F421CA-312F-682f-3DD2-61675219B42D}">
      <x14:dxfs count="2">
        <dxf>
          <fill>
            <patternFill patternType="solid">
              <fgColor auto="1"/>
              <bgColor rgb="FF7E542A"/>
            </patternFill>
          </fill>
        </dxf>
        <dxf>
          <fill>
            <patternFill>
              <bgColor rgb="FF996633"/>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[BrewBean_Coffee_Sales_Dashboard.xlsm]Sheet2!PivotTable7</c:name>
    <c:fmtId val="3"/>
  </c:pivotSource>
  <c:chart>
    <c:title>
      <c:tx>
        <c:rich>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r>
              <a:rPr lang="en-US" altLang="ja-JP" sz="2000" b="1">
                <a:solidFill>
                  <a:srgbClr val="3F2414"/>
                </a:solidFill>
              </a:rPr>
              <a:t>Monthly</a:t>
            </a:r>
            <a:r>
              <a:rPr lang="en-US" altLang="ja-JP" sz="2000" b="1" baseline="0">
                <a:solidFill>
                  <a:srgbClr val="3F2414"/>
                </a:solidFill>
              </a:rPr>
              <a:t> Sales Trend</a:t>
            </a:r>
            <a:endParaRPr lang="en-US" altLang="ja-JP" sz="2000" b="1">
              <a:solidFill>
                <a:srgbClr val="3F241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endParaRPr lang="en-US" altLang="ja-JP"/>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7B4A22"/>
            </a:solidFill>
            <a:round/>
          </a:ln>
          <a:effectLst/>
        </c:spPr>
        <c:marker>
          <c:symbol val="circle"/>
          <c:size val="6"/>
          <c:spPr>
            <a:solidFill>
              <a:srgbClr val="F8F6F3"/>
            </a:solidFill>
            <a:ln w="25400" cap="rnd">
              <a:solidFill>
                <a:srgbClr val="7B4A2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7B4A22"/>
            </a:solidFill>
            <a:round/>
          </a:ln>
          <a:effectLst/>
        </c:spPr>
        <c:marker>
          <c:symbol val="circle"/>
          <c:size val="6"/>
          <c:spPr>
            <a:solidFill>
              <a:srgbClr val="F8F6F3"/>
            </a:solidFill>
            <a:ln w="25400" cap="rnd">
              <a:solidFill>
                <a:srgbClr val="7B4A22"/>
              </a:solidFill>
            </a:ln>
            <a:effectLst/>
          </c:spPr>
        </c:marker>
      </c:pivotFmt>
      <c:pivotFmt>
        <c:idx val="4"/>
        <c:spPr>
          <a:ln w="28575" cap="rnd">
            <a:solidFill>
              <a:srgbClr val="7B4A22"/>
            </a:solidFill>
            <a:round/>
          </a:ln>
          <a:effectLst/>
        </c:spPr>
        <c:marker>
          <c:symbol val="circle"/>
          <c:size val="6"/>
        </c:marker>
        <c:dLbl>
          <c:idx val="0"/>
          <c:layout>
            <c:manualLayout>
              <c:x val="-4.0466626772927505E-2"/>
              <c:y val="7.041311375223782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15:layout>
                <c:manualLayout>
                  <c:w val="8.0933123570597107E-2"/>
                  <c:h val="7.0300307111132734E-2"/>
                </c:manualLayout>
              </c15:layout>
            </c:ext>
          </c:extLst>
        </c:dLbl>
      </c:pivotFmt>
      <c:pivotFmt>
        <c:idx val="5"/>
        <c:spPr>
          <a:ln w="28575" cap="rnd">
            <a:solidFill>
              <a:srgbClr val="7B4A22"/>
            </a:solidFill>
            <a:round/>
          </a:ln>
          <a:effectLst/>
        </c:spPr>
        <c:marker>
          <c:symbol val="circle"/>
          <c:size val="6"/>
        </c:marker>
        <c:dLbl>
          <c:idx val="0"/>
          <c:layout>
            <c:manualLayout>
              <c:x val="-4.2117312548383287E-2"/>
              <c:y val="0.1106276917742584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7B4A22"/>
            </a:solidFill>
            <a:round/>
          </a:ln>
          <a:effectLst/>
        </c:spPr>
        <c:marker>
          <c:symbol val="circle"/>
          <c:size val="6"/>
        </c:marker>
        <c:dLbl>
          <c:idx val="0"/>
          <c:layout>
            <c:manualLayout>
              <c:x val="-4.5418684099294858E-2"/>
              <c:y val="9.05204027632481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7B4A22"/>
            </a:solidFill>
            <a:round/>
          </a:ln>
          <a:effectLst/>
        </c:spPr>
        <c:marker>
          <c:symbol val="circle"/>
          <c:size val="6"/>
        </c:marker>
        <c:dLbl>
          <c:idx val="0"/>
          <c:layout>
            <c:manualLayout>
              <c:x val="-5.0370741425662335E-2"/>
              <c:y val="0.1382752141643975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15:layout>
                <c:manualLayout>
                  <c:w val="8.0933123570597107E-2"/>
                  <c:h val="9.5434418374895663E-2"/>
                </c:manualLayout>
              </c15:layout>
            </c:ext>
          </c:extLst>
        </c:dLbl>
      </c:pivotFmt>
      <c:pivotFmt>
        <c:idx val="8"/>
        <c:spPr>
          <a:ln w="28575" cap="rnd">
            <a:solidFill>
              <a:srgbClr val="7B4A22"/>
            </a:solidFill>
            <a:round/>
          </a:ln>
          <a:effectLst/>
        </c:spPr>
        <c:marker>
          <c:symbol val="circle"/>
          <c:size val="6"/>
        </c:marker>
        <c:dLbl>
          <c:idx val="0"/>
          <c:layout>
            <c:manualLayout>
              <c:x val="-5.037074142566221E-2"/>
              <c:y val="9.05204027632481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7B4A22"/>
            </a:solidFill>
            <a:round/>
          </a:ln>
          <a:effectLst/>
        </c:spPr>
        <c:marker>
          <c:symbol val="circle"/>
          <c:size val="6"/>
        </c:marker>
        <c:dLbl>
          <c:idx val="0"/>
          <c:layout>
            <c:manualLayout>
              <c:x val="-5.0370741425662335E-2"/>
              <c:y val="0.1206813362797635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895431059550274E-2"/>
          <c:y val="0.19871028365130952"/>
          <c:w val="0.88029638543169397"/>
          <c:h val="0.68467614796589837"/>
        </c:manualLayout>
      </c:layout>
      <c:lineChart>
        <c:grouping val="standard"/>
        <c:varyColors val="0"/>
        <c:ser>
          <c:idx val="0"/>
          <c:order val="0"/>
          <c:tx>
            <c:strRef>
              <c:f>Sheet2!$D$3</c:f>
              <c:strCache>
                <c:ptCount val="1"/>
                <c:pt idx="0">
                  <c:v>Total</c:v>
                </c:pt>
              </c:strCache>
            </c:strRef>
          </c:tx>
          <c:spPr>
            <a:ln w="28575" cap="rnd">
              <a:solidFill>
                <a:srgbClr val="7B4A22"/>
              </a:solidFill>
              <a:round/>
            </a:ln>
            <a:effectLst/>
          </c:spPr>
          <c:marker>
            <c:symbol val="circle"/>
            <c:size val="6"/>
            <c:spPr>
              <a:solidFill>
                <a:srgbClr val="F8F6F3"/>
              </a:solidFill>
              <a:ln w="25400" cap="rnd">
                <a:solidFill>
                  <a:srgbClr val="7B4A22"/>
                </a:solidFill>
              </a:ln>
              <a:effectLst/>
            </c:spPr>
          </c:marker>
          <c:dPt>
            <c:idx val="1"/>
            <c:marker>
              <c:symbol val="circle"/>
              <c:size val="6"/>
              <c:spPr>
                <a:solidFill>
                  <a:srgbClr val="F8F6F3"/>
                </a:solidFill>
                <a:ln w="25400" cap="rnd">
                  <a:solidFill>
                    <a:srgbClr val="7B4A22"/>
                  </a:solidFill>
                </a:ln>
                <a:effectLst/>
              </c:spPr>
            </c:marker>
            <c:bubble3D val="0"/>
            <c:spPr>
              <a:ln w="28575" cap="rnd">
                <a:solidFill>
                  <a:srgbClr val="7B4A22"/>
                </a:solidFill>
                <a:round/>
              </a:ln>
              <a:effectLst/>
            </c:spPr>
            <c:extLst>
              <c:ext xmlns:c16="http://schemas.microsoft.com/office/drawing/2014/chart" uri="{C3380CC4-5D6E-409C-BE32-E72D297353CC}">
                <c16:uniqueId val="{00000001-BD32-4EF5-9E6A-68D733F7BD21}"/>
              </c:ext>
            </c:extLst>
          </c:dPt>
          <c:dPt>
            <c:idx val="3"/>
            <c:marker>
              <c:symbol val="circle"/>
              <c:size val="6"/>
              <c:spPr>
                <a:solidFill>
                  <a:srgbClr val="F8F6F3"/>
                </a:solidFill>
                <a:ln w="25400" cap="rnd">
                  <a:solidFill>
                    <a:srgbClr val="7B4A22"/>
                  </a:solidFill>
                </a:ln>
                <a:effectLst/>
              </c:spPr>
            </c:marker>
            <c:bubble3D val="0"/>
            <c:spPr>
              <a:ln w="28575" cap="rnd">
                <a:solidFill>
                  <a:srgbClr val="7B4A22"/>
                </a:solidFill>
                <a:round/>
              </a:ln>
              <a:effectLst/>
            </c:spPr>
            <c:extLst>
              <c:ext xmlns:c16="http://schemas.microsoft.com/office/drawing/2014/chart" uri="{C3380CC4-5D6E-409C-BE32-E72D297353CC}">
                <c16:uniqueId val="{00000003-BD32-4EF5-9E6A-68D733F7BD21}"/>
              </c:ext>
            </c:extLst>
          </c:dPt>
          <c:dPt>
            <c:idx val="4"/>
            <c:marker>
              <c:symbol val="circle"/>
              <c:size val="6"/>
              <c:spPr>
                <a:solidFill>
                  <a:srgbClr val="F8F6F3"/>
                </a:solidFill>
                <a:ln w="25400" cap="rnd">
                  <a:solidFill>
                    <a:srgbClr val="7B4A22"/>
                  </a:solidFill>
                </a:ln>
                <a:effectLst/>
              </c:spPr>
            </c:marker>
            <c:bubble3D val="0"/>
            <c:spPr>
              <a:ln w="28575" cap="rnd">
                <a:solidFill>
                  <a:srgbClr val="7B4A22"/>
                </a:solidFill>
                <a:round/>
              </a:ln>
              <a:effectLst/>
            </c:spPr>
            <c:extLst>
              <c:ext xmlns:c16="http://schemas.microsoft.com/office/drawing/2014/chart" uri="{C3380CC4-5D6E-409C-BE32-E72D297353CC}">
                <c16:uniqueId val="{00000002-BD32-4EF5-9E6A-68D733F7BD21}"/>
              </c:ext>
            </c:extLst>
          </c:dPt>
          <c:dPt>
            <c:idx val="6"/>
            <c:marker>
              <c:symbol val="circle"/>
              <c:size val="6"/>
              <c:spPr>
                <a:solidFill>
                  <a:srgbClr val="F8F6F3"/>
                </a:solidFill>
                <a:ln w="25400" cap="rnd">
                  <a:solidFill>
                    <a:srgbClr val="7B4A22"/>
                  </a:solidFill>
                </a:ln>
                <a:effectLst/>
              </c:spPr>
            </c:marker>
            <c:bubble3D val="0"/>
            <c:spPr>
              <a:ln w="28575" cap="rnd">
                <a:solidFill>
                  <a:srgbClr val="7B4A22"/>
                </a:solidFill>
                <a:round/>
              </a:ln>
              <a:effectLst/>
            </c:spPr>
            <c:extLst>
              <c:ext xmlns:c16="http://schemas.microsoft.com/office/drawing/2014/chart" uri="{C3380CC4-5D6E-409C-BE32-E72D297353CC}">
                <c16:uniqueId val="{00000004-BD32-4EF5-9E6A-68D733F7BD21}"/>
              </c:ext>
            </c:extLst>
          </c:dPt>
          <c:dPt>
            <c:idx val="8"/>
            <c:marker>
              <c:symbol val="circle"/>
              <c:size val="6"/>
              <c:spPr>
                <a:solidFill>
                  <a:srgbClr val="F8F6F3"/>
                </a:solidFill>
                <a:ln w="25400" cap="rnd">
                  <a:solidFill>
                    <a:srgbClr val="7B4A22"/>
                  </a:solidFill>
                </a:ln>
                <a:effectLst/>
              </c:spPr>
            </c:marker>
            <c:bubble3D val="0"/>
            <c:spPr>
              <a:ln w="28575" cap="rnd">
                <a:solidFill>
                  <a:srgbClr val="7B4A22"/>
                </a:solidFill>
                <a:round/>
              </a:ln>
              <a:effectLst/>
            </c:spPr>
            <c:extLst>
              <c:ext xmlns:c16="http://schemas.microsoft.com/office/drawing/2014/chart" uri="{C3380CC4-5D6E-409C-BE32-E72D297353CC}">
                <c16:uniqueId val="{00000005-BD32-4EF5-9E6A-68D733F7BD21}"/>
              </c:ext>
            </c:extLst>
          </c:dPt>
          <c:dPt>
            <c:idx val="10"/>
            <c:marker>
              <c:symbol val="circle"/>
              <c:size val="6"/>
              <c:spPr>
                <a:solidFill>
                  <a:srgbClr val="F8F6F3"/>
                </a:solidFill>
                <a:ln w="25400" cap="rnd">
                  <a:solidFill>
                    <a:srgbClr val="7B4A22"/>
                  </a:solidFill>
                </a:ln>
                <a:effectLst/>
              </c:spPr>
            </c:marker>
            <c:bubble3D val="0"/>
            <c:spPr>
              <a:ln w="28575" cap="rnd">
                <a:solidFill>
                  <a:srgbClr val="7B4A22"/>
                </a:solidFill>
                <a:round/>
              </a:ln>
              <a:effectLst/>
            </c:spPr>
            <c:extLst>
              <c:ext xmlns:c16="http://schemas.microsoft.com/office/drawing/2014/chart" uri="{C3380CC4-5D6E-409C-BE32-E72D297353CC}">
                <c16:uniqueId val="{00000006-BD32-4EF5-9E6A-68D733F7BD21}"/>
              </c:ext>
            </c:extLst>
          </c:dPt>
          <c:dLbls>
            <c:dLbl>
              <c:idx val="1"/>
              <c:layout>
                <c:manualLayout>
                  <c:x val="-4.0466626772927505E-2"/>
                  <c:y val="7.0413113752237827E-2"/>
                </c:manualLayout>
              </c:layout>
              <c:dLblPos val="r"/>
              <c:showLegendKey val="0"/>
              <c:showVal val="1"/>
              <c:showCatName val="0"/>
              <c:showSerName val="0"/>
              <c:showPercent val="0"/>
              <c:showBubbleSize val="0"/>
              <c:extLst>
                <c:ext xmlns:c15="http://schemas.microsoft.com/office/drawing/2012/chart" uri="{CE6537A1-D6FC-4f65-9D91-7224C49458BB}">
                  <c15:layout>
                    <c:manualLayout>
                      <c:w val="8.0933123570597107E-2"/>
                      <c:h val="7.0300307111132734E-2"/>
                    </c:manualLayout>
                  </c15:layout>
                </c:ext>
                <c:ext xmlns:c16="http://schemas.microsoft.com/office/drawing/2014/chart" uri="{C3380CC4-5D6E-409C-BE32-E72D297353CC}">
                  <c16:uniqueId val="{00000001-BD32-4EF5-9E6A-68D733F7BD21}"/>
                </c:ext>
              </c:extLst>
            </c:dLbl>
            <c:dLbl>
              <c:idx val="3"/>
              <c:layout>
                <c:manualLayout>
                  <c:x val="-4.5418684099294858E-2"/>
                  <c:y val="9.05204027632481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D32-4EF5-9E6A-68D733F7BD21}"/>
                </c:ext>
              </c:extLst>
            </c:dLbl>
            <c:dLbl>
              <c:idx val="4"/>
              <c:layout>
                <c:manualLayout>
                  <c:x val="-4.2117312548383287E-2"/>
                  <c:y val="0.1106276917742584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D32-4EF5-9E6A-68D733F7BD21}"/>
                </c:ext>
              </c:extLst>
            </c:dLbl>
            <c:dLbl>
              <c:idx val="6"/>
              <c:layout>
                <c:manualLayout>
                  <c:x val="-5.0370741425662335E-2"/>
                  <c:y val="0.1382752141643975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ja-JP"/>
                </a:p>
              </c:txPr>
              <c:dLblPos val="r"/>
              <c:showLegendKey val="0"/>
              <c:showVal val="1"/>
              <c:showCatName val="0"/>
              <c:showSerName val="0"/>
              <c:showPercent val="0"/>
              <c:showBubbleSize val="0"/>
              <c:extLst>
                <c:ext xmlns:c15="http://schemas.microsoft.com/office/drawing/2012/chart" uri="{CE6537A1-D6FC-4f65-9D91-7224C49458BB}">
                  <c15:layout>
                    <c:manualLayout>
                      <c:w val="8.0933123570597107E-2"/>
                      <c:h val="9.5434418374895663E-2"/>
                    </c:manualLayout>
                  </c15:layout>
                </c:ext>
                <c:ext xmlns:c16="http://schemas.microsoft.com/office/drawing/2014/chart" uri="{C3380CC4-5D6E-409C-BE32-E72D297353CC}">
                  <c16:uniqueId val="{00000004-BD32-4EF5-9E6A-68D733F7BD21}"/>
                </c:ext>
              </c:extLst>
            </c:dLbl>
            <c:dLbl>
              <c:idx val="8"/>
              <c:layout>
                <c:manualLayout>
                  <c:x val="-5.037074142566221E-2"/>
                  <c:y val="9.05204027632481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D32-4EF5-9E6A-68D733F7BD21}"/>
                </c:ext>
              </c:extLst>
            </c:dLbl>
            <c:dLbl>
              <c:idx val="10"/>
              <c:layout>
                <c:manualLayout>
                  <c:x val="-5.0370741425662335E-2"/>
                  <c:y val="0.1206813362797635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D32-4EF5-9E6A-68D733F7BD2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Sheet2!$C$4:$C$16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Sheet2!$D$4:$D$16</c:f>
              <c:numCache>
                <c:formatCode>\ \₹#,##0.00</c:formatCode>
                <c:ptCount val="12"/>
                <c:pt idx="0">
                  <c:v>34413.229999999981</c:v>
                </c:pt>
                <c:pt idx="1">
                  <c:v>32970.529999999992</c:v>
                </c:pt>
                <c:pt idx="2">
                  <c:v>45058.719999999987</c:v>
                </c:pt>
                <c:pt idx="3">
                  <c:v>30285.46</c:v>
                </c:pt>
                <c:pt idx="4">
                  <c:v>43666.94000000001</c:v>
                </c:pt>
                <c:pt idx="5">
                  <c:v>40333.499999999993</c:v>
                </c:pt>
                <c:pt idx="6">
                  <c:v>42490.83</c:v>
                </c:pt>
                <c:pt idx="7">
                  <c:v>40295.809999999983</c:v>
                </c:pt>
                <c:pt idx="8">
                  <c:v>38358.870000000003</c:v>
                </c:pt>
                <c:pt idx="9">
                  <c:v>39737.07</c:v>
                </c:pt>
                <c:pt idx="10">
                  <c:v>42186.669999999991</c:v>
                </c:pt>
                <c:pt idx="11">
                  <c:v>43138.93</c:v>
                </c:pt>
              </c:numCache>
            </c:numRef>
          </c:val>
          <c:smooth val="0"/>
          <c:extLst>
            <c:ext xmlns:c16="http://schemas.microsoft.com/office/drawing/2014/chart" uri="{C3380CC4-5D6E-409C-BE32-E72D297353CC}">
              <c16:uniqueId val="{00000000-BEE2-4B06-84E7-68140366B008}"/>
            </c:ext>
          </c:extLst>
        </c:ser>
        <c:dLbls>
          <c:showLegendKey val="0"/>
          <c:showVal val="0"/>
          <c:showCatName val="0"/>
          <c:showSerName val="0"/>
          <c:showPercent val="0"/>
          <c:showBubbleSize val="0"/>
        </c:dLbls>
        <c:marker val="1"/>
        <c:smooth val="0"/>
        <c:axId val="230512543"/>
        <c:axId val="229289231"/>
      </c:lineChart>
      <c:catAx>
        <c:axId val="2305125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229289231"/>
        <c:crosses val="autoZero"/>
        <c:auto val="1"/>
        <c:lblAlgn val="ctr"/>
        <c:lblOffset val="100"/>
        <c:noMultiLvlLbl val="0"/>
      </c:catAx>
      <c:valAx>
        <c:axId val="229289231"/>
        <c:scaling>
          <c:orientation val="minMax"/>
        </c:scaling>
        <c:delete val="0"/>
        <c:axPos val="l"/>
        <c:numFmt formatCode="\ \₹#,##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230512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[BrewBean_Coffee_Sales_Dashboard.xlsm]Sheet2!PivotTable8</c:name>
    <c:fmtId val="9"/>
  </c:pivotSource>
  <c:chart>
    <c:title>
      <c:tx>
        <c:rich>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r>
              <a:rPr lang="en-GB" altLang="ja-JP" sz="2000" b="1">
                <a:solidFill>
                  <a:srgbClr val="3F2414"/>
                </a:solidFill>
              </a:rPr>
              <a:t>Sales</a:t>
            </a:r>
            <a:r>
              <a:rPr lang="en-GB" altLang="ja-JP" sz="2000" b="1" baseline="0">
                <a:solidFill>
                  <a:srgbClr val="3F2414"/>
                </a:solidFill>
              </a:rPr>
              <a:t> By Category</a:t>
            </a:r>
            <a:endParaRPr lang="en-GB" altLang="ja-JP" sz="2000" b="1">
              <a:solidFill>
                <a:srgbClr val="3F241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endParaRPr lang="en-GB" altLang="ja-JP"/>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A623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7688512811642"/>
          <c:y val="0.18491229833248671"/>
          <c:w val="0.85918028113980449"/>
          <c:h val="0.59371489047988801"/>
        </c:manualLayout>
      </c:layout>
      <c:barChart>
        <c:barDir val="col"/>
        <c:grouping val="clustered"/>
        <c:varyColors val="0"/>
        <c:ser>
          <c:idx val="0"/>
          <c:order val="0"/>
          <c:tx>
            <c:strRef>
              <c:f>Sheet2!$G$3</c:f>
              <c:strCache>
                <c:ptCount val="1"/>
                <c:pt idx="0">
                  <c:v>Total</c:v>
                </c:pt>
              </c:strCache>
            </c:strRef>
          </c:tx>
          <c:spPr>
            <a:solidFill>
              <a:srgbClr val="9A623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Sheet2!$F$4:$F$10</c:f>
              <c:strCache>
                <c:ptCount val="6"/>
                <c:pt idx="0">
                  <c:v>Bakery</c:v>
                </c:pt>
                <c:pt idx="1">
                  <c:v>Sandwich</c:v>
                </c:pt>
                <c:pt idx="2">
                  <c:v>Tea</c:v>
                </c:pt>
                <c:pt idx="3">
                  <c:v>Dessert</c:v>
                </c:pt>
                <c:pt idx="4">
                  <c:v>Cold</c:v>
                </c:pt>
                <c:pt idx="5">
                  <c:v>Coffee</c:v>
                </c:pt>
              </c:strCache>
            </c:strRef>
          </c:cat>
          <c:val>
            <c:numRef>
              <c:f>Sheet2!$G$4:$G$10</c:f>
              <c:numCache>
                <c:formatCode>\ \₹#,##0.00</c:formatCode>
                <c:ptCount val="6"/>
                <c:pt idx="0">
                  <c:v>31483.59</c:v>
                </c:pt>
                <c:pt idx="1">
                  <c:v>36442.759999999995</c:v>
                </c:pt>
                <c:pt idx="2">
                  <c:v>41175.72</c:v>
                </c:pt>
                <c:pt idx="3">
                  <c:v>54756.72</c:v>
                </c:pt>
                <c:pt idx="4">
                  <c:v>81987.72</c:v>
                </c:pt>
                <c:pt idx="5">
                  <c:v>227090.05000000005</c:v>
                </c:pt>
              </c:numCache>
            </c:numRef>
          </c:val>
          <c:extLst>
            <c:ext xmlns:c16="http://schemas.microsoft.com/office/drawing/2014/chart" uri="{C3380CC4-5D6E-409C-BE32-E72D297353CC}">
              <c16:uniqueId val="{00000000-EDC2-46F2-BB9D-13AA872C6B72}"/>
            </c:ext>
          </c:extLst>
        </c:ser>
        <c:dLbls>
          <c:dLblPos val="outEnd"/>
          <c:showLegendKey val="0"/>
          <c:showVal val="1"/>
          <c:showCatName val="0"/>
          <c:showSerName val="0"/>
          <c:showPercent val="0"/>
          <c:showBubbleSize val="0"/>
        </c:dLbls>
        <c:gapWidth val="219"/>
        <c:overlap val="-27"/>
        <c:axId val="1257158639"/>
        <c:axId val="1600042959"/>
      </c:barChart>
      <c:catAx>
        <c:axId val="125715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1600042959"/>
        <c:crosses val="autoZero"/>
        <c:auto val="1"/>
        <c:lblAlgn val="ctr"/>
        <c:lblOffset val="100"/>
        <c:noMultiLvlLbl val="0"/>
      </c:catAx>
      <c:valAx>
        <c:axId val="1600042959"/>
        <c:scaling>
          <c:orientation val="minMax"/>
        </c:scaling>
        <c:delete val="0"/>
        <c:axPos val="l"/>
        <c:numFmt formatCode="\ \₹#,##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125715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[BrewBean_Coffee_Sales_Dashboard.xlsm]Sheet2!PivotTable8</c:name>
    <c:fmtId val="13"/>
  </c:pivotSource>
  <c:chart>
    <c:title>
      <c:tx>
        <c:rich>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r>
              <a:rPr lang="en-US" altLang="ja-JP" sz="1800" b="1">
                <a:solidFill>
                  <a:srgbClr val="3F2414"/>
                </a:solidFill>
              </a:rPr>
              <a:t>Top</a:t>
            </a:r>
            <a:r>
              <a:rPr lang="en-US" altLang="ja-JP" sz="1800" b="1" baseline="0">
                <a:solidFill>
                  <a:srgbClr val="3F2414"/>
                </a:solidFill>
              </a:rPr>
              <a:t> 5 Products By Sales</a:t>
            </a:r>
            <a:endParaRPr lang="en-US" altLang="ja-JP" sz="1800" b="1">
              <a:solidFill>
                <a:srgbClr val="3F241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endParaRPr lang="en-US" altLang="ja-JP"/>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C673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Sheet2!$G$3</c:f>
              <c:strCache>
                <c:ptCount val="1"/>
                <c:pt idx="0">
                  <c:v>Total</c:v>
                </c:pt>
              </c:strCache>
            </c:strRef>
          </c:tx>
          <c:spPr>
            <a:solidFill>
              <a:srgbClr val="9C673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Sheet2!$F$4:$F$10</c:f>
              <c:strCache>
                <c:ptCount val="6"/>
                <c:pt idx="0">
                  <c:v>Bakery</c:v>
                </c:pt>
                <c:pt idx="1">
                  <c:v>Sandwich</c:v>
                </c:pt>
                <c:pt idx="2">
                  <c:v>Tea</c:v>
                </c:pt>
                <c:pt idx="3">
                  <c:v>Dessert</c:v>
                </c:pt>
                <c:pt idx="4">
                  <c:v>Cold</c:v>
                </c:pt>
                <c:pt idx="5">
                  <c:v>Coffee</c:v>
                </c:pt>
              </c:strCache>
            </c:strRef>
          </c:cat>
          <c:val>
            <c:numRef>
              <c:f>Sheet2!$G$4:$G$10</c:f>
              <c:numCache>
                <c:formatCode>\ \₹#,##0.00</c:formatCode>
                <c:ptCount val="6"/>
                <c:pt idx="0">
                  <c:v>31483.59</c:v>
                </c:pt>
                <c:pt idx="1">
                  <c:v>36442.759999999995</c:v>
                </c:pt>
                <c:pt idx="2">
                  <c:v>41175.72</c:v>
                </c:pt>
                <c:pt idx="3">
                  <c:v>54756.72</c:v>
                </c:pt>
                <c:pt idx="4">
                  <c:v>81987.72</c:v>
                </c:pt>
                <c:pt idx="5">
                  <c:v>227090.05000000005</c:v>
                </c:pt>
              </c:numCache>
            </c:numRef>
          </c:val>
          <c:extLst>
            <c:ext xmlns:c16="http://schemas.microsoft.com/office/drawing/2014/chart" uri="{C3380CC4-5D6E-409C-BE32-E72D297353CC}">
              <c16:uniqueId val="{00000000-F0ED-4B2F-9BA1-F128981E4FFE}"/>
            </c:ext>
          </c:extLst>
        </c:ser>
        <c:dLbls>
          <c:dLblPos val="outEnd"/>
          <c:showLegendKey val="0"/>
          <c:showVal val="1"/>
          <c:showCatName val="0"/>
          <c:showSerName val="0"/>
          <c:showPercent val="0"/>
          <c:showBubbleSize val="0"/>
        </c:dLbls>
        <c:gapWidth val="182"/>
        <c:axId val="1692502863"/>
        <c:axId val="1599983439"/>
      </c:barChart>
      <c:catAx>
        <c:axId val="1692502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1599983439"/>
        <c:crosses val="autoZero"/>
        <c:auto val="1"/>
        <c:lblAlgn val="ctr"/>
        <c:lblOffset val="100"/>
        <c:noMultiLvlLbl val="0"/>
      </c:catAx>
      <c:valAx>
        <c:axId val="1599983439"/>
        <c:scaling>
          <c:orientation val="minMax"/>
        </c:scaling>
        <c:delete val="0"/>
        <c:axPos val="b"/>
        <c:numFmt formatCode="\ \₹#,##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1692502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[BrewBean_Coffee_Sales_Dashboard.xlsm]Sheet2!PivotTable10</c:name>
    <c:fmtId val="4"/>
  </c:pivotSource>
  <c:chart>
    <c:title>
      <c:tx>
        <c:rich>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r>
              <a:rPr lang="en-GB" altLang="ja-JP" sz="1800" b="1">
                <a:solidFill>
                  <a:srgbClr val="3F2414"/>
                </a:solidFill>
              </a:rPr>
              <a:t>Profit</a:t>
            </a:r>
            <a:r>
              <a:rPr lang="en-GB" altLang="ja-JP" sz="1800" b="1" baseline="0">
                <a:solidFill>
                  <a:srgbClr val="3F2414"/>
                </a:solidFill>
              </a:rPr>
              <a:t> By Top 5 Stores</a:t>
            </a:r>
            <a:endParaRPr lang="en-GB" altLang="ja-JP" sz="1800" b="1">
              <a:solidFill>
                <a:srgbClr val="3F2414"/>
              </a:solidFill>
            </a:endParaRPr>
          </a:p>
        </c:rich>
      </c:tx>
      <c:layout>
        <c:manualLayout>
          <c:xMode val="edge"/>
          <c:yMode val="edge"/>
          <c:x val="0.19535559028029106"/>
          <c:y val="2.80962173768625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endParaRPr lang="en-GB" altLang="ja-JP"/>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C673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26284526246887"/>
          <c:y val="0.15916397709396202"/>
          <c:w val="0.72217184553769243"/>
          <c:h val="0.67580975609959271"/>
        </c:manualLayout>
      </c:layout>
      <c:barChart>
        <c:barDir val="bar"/>
        <c:grouping val="clustered"/>
        <c:varyColors val="0"/>
        <c:ser>
          <c:idx val="0"/>
          <c:order val="0"/>
          <c:tx>
            <c:strRef>
              <c:f>Sheet2!$M$3</c:f>
              <c:strCache>
                <c:ptCount val="1"/>
                <c:pt idx="0">
                  <c:v>Total</c:v>
                </c:pt>
              </c:strCache>
            </c:strRef>
          </c:tx>
          <c:spPr>
            <a:solidFill>
              <a:srgbClr val="9C673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Sheet2!$L$4:$L$10</c:f>
              <c:strCache>
                <c:ptCount val="6"/>
                <c:pt idx="0">
                  <c:v>Park Street</c:v>
                </c:pt>
                <c:pt idx="1">
                  <c:v>Connaught place</c:v>
                </c:pt>
                <c:pt idx="2">
                  <c:v>Banjara Hills</c:v>
                </c:pt>
                <c:pt idx="3">
                  <c:v>Bandra</c:v>
                </c:pt>
                <c:pt idx="4">
                  <c:v>C-Scheme</c:v>
                </c:pt>
                <c:pt idx="5">
                  <c:v>Koramangala</c:v>
                </c:pt>
              </c:strCache>
            </c:strRef>
          </c:cat>
          <c:val>
            <c:numRef>
              <c:f>Sheet2!$M$4:$M$10</c:f>
              <c:numCache>
                <c:formatCode>_ [$₹-4009]\ * #,##0.0_ ;_ [$₹-4009]\ * \-#,##0.0_ ;_ [$₹-4009]\ * "-"?_ ;_ @_ </c:formatCode>
                <c:ptCount val="6"/>
                <c:pt idx="0">
                  <c:v>36716.009999999995</c:v>
                </c:pt>
                <c:pt idx="1">
                  <c:v>38555.879999999997</c:v>
                </c:pt>
                <c:pt idx="2">
                  <c:v>40259.129999999976</c:v>
                </c:pt>
                <c:pt idx="3">
                  <c:v>41755.520000000011</c:v>
                </c:pt>
                <c:pt idx="4">
                  <c:v>43465.220000000008</c:v>
                </c:pt>
                <c:pt idx="5">
                  <c:v>50631.900000000038</c:v>
                </c:pt>
              </c:numCache>
            </c:numRef>
          </c:val>
          <c:extLst>
            <c:ext xmlns:c16="http://schemas.microsoft.com/office/drawing/2014/chart" uri="{C3380CC4-5D6E-409C-BE32-E72D297353CC}">
              <c16:uniqueId val="{00000000-55FD-40E5-AF14-D493ABE91575}"/>
            </c:ext>
          </c:extLst>
        </c:ser>
        <c:dLbls>
          <c:dLblPos val="outEnd"/>
          <c:showLegendKey val="0"/>
          <c:showVal val="1"/>
          <c:showCatName val="0"/>
          <c:showSerName val="0"/>
          <c:showPercent val="0"/>
          <c:showBubbleSize val="0"/>
        </c:dLbls>
        <c:gapWidth val="182"/>
        <c:axId val="1608162367"/>
        <c:axId val="1600032399"/>
      </c:barChart>
      <c:catAx>
        <c:axId val="160816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1600032399"/>
        <c:crosses val="autoZero"/>
        <c:auto val="1"/>
        <c:lblAlgn val="ctr"/>
        <c:lblOffset val="100"/>
        <c:noMultiLvlLbl val="0"/>
      </c:catAx>
      <c:valAx>
        <c:axId val="1600032399"/>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GB" altLang="ja-JP" sz="1400" b="1" i="0" u="none" strike="noStrike" kern="1200" baseline="0">
                    <a:solidFill>
                      <a:schemeClr val="tx1"/>
                    </a:solidFill>
                  </a:rPr>
                  <a:t>Sales(₹)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ja-JP"/>
            </a:p>
          </c:txPr>
        </c:title>
        <c:numFmt formatCode="_ [$₹-4009]\ * #,##0.0_ ;_ [$₹-4009]\ * \-#,##0.0_ ;_ [$₹-4009]\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ja-JP"/>
          </a:p>
        </c:txPr>
        <c:crossAx val="1608162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[BrewBean_Coffee_Sales_Dashboard.xlsm]Sheet2!PivotTable11</c:name>
    <c:fmtId val="3"/>
  </c:pivotSource>
  <c:chart>
    <c:title>
      <c:tx>
        <c:rich>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r>
              <a:rPr lang="en-US" altLang="ja-JP" sz="1800" b="1">
                <a:solidFill>
                  <a:srgbClr val="3F2414"/>
                </a:solidFill>
              </a:rPr>
              <a:t>Payment</a:t>
            </a:r>
            <a:r>
              <a:rPr lang="en-US" altLang="ja-JP" sz="1800" b="1" baseline="0">
                <a:solidFill>
                  <a:srgbClr val="3F2414"/>
                </a:solidFill>
              </a:rPr>
              <a:t> Mode Distribution</a:t>
            </a:r>
            <a:endParaRPr lang="en-US" altLang="ja-JP" sz="1800" b="1">
              <a:solidFill>
                <a:srgbClr val="3F2414"/>
              </a:solidFill>
            </a:endParaRPr>
          </a:p>
        </c:rich>
      </c:tx>
      <c:layout>
        <c:manualLayout>
          <c:xMode val="edge"/>
          <c:yMode val="edge"/>
          <c:x val="0.13705314085187956"/>
          <c:y val="2.21684528950923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3F2414"/>
              </a:solidFill>
              <a:latin typeface="+mn-lt"/>
              <a:ea typeface="+mn-ea"/>
              <a:cs typeface="+mn-cs"/>
            </a:defRPr>
          </a:pPr>
          <a:endParaRPr lang="en-US" altLang="ja-JP"/>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8C5A2B"/>
          </a:solidFill>
          <a:ln w="19050">
            <a:solidFill>
              <a:schemeClr val="lt1"/>
            </a:solidFill>
          </a:ln>
          <a:effectLst/>
        </c:spPr>
        <c:dLbl>
          <c:idx val="0"/>
          <c:layout>
            <c:manualLayout>
              <c:x val="0.17523809523809511"/>
              <c:y val="-0.1284011778533244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B07A42"/>
          </a:solidFill>
          <a:ln w="19050">
            <a:solidFill>
              <a:schemeClr val="lt1"/>
            </a:solidFill>
          </a:ln>
          <a:effectLst/>
        </c:spPr>
        <c:dLbl>
          <c:idx val="0"/>
          <c:layout>
            <c:manualLayout>
              <c:x val="0.17904761904761904"/>
              <c:y val="-4.280039261777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rgbClr val="DFBE9D"/>
          </a:solidFill>
          <a:ln w="19050">
            <a:solidFill>
              <a:schemeClr val="lt1"/>
            </a:solidFill>
          </a:ln>
          <a:effectLst/>
        </c:spPr>
        <c:dLbl>
          <c:idx val="0"/>
          <c:layout>
            <c:manualLayout>
              <c:x val="-0.27047619047619054"/>
              <c:y val="9.63008833899933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rtl="0">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6B4322"/>
          </a:solidFill>
          <a:ln w="19050">
            <a:solidFill>
              <a:schemeClr val="lt1"/>
            </a:solidFill>
          </a:ln>
          <a:effectLst/>
        </c:spPr>
        <c:dLbl>
          <c:idx val="0"/>
          <c:layout>
            <c:manualLayout>
              <c:x val="-0.26666666666666666"/>
              <c:y val="-0.1123510306216589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D5A45A"/>
          </a:solidFill>
          <a:ln w="19050">
            <a:solidFill>
              <a:schemeClr val="lt1"/>
            </a:solidFill>
          </a:ln>
          <a:effectLst/>
        </c:spPr>
        <c:dLbl>
          <c:idx val="0"/>
          <c:layout>
            <c:manualLayout>
              <c:x val="-0.27809523809523812"/>
              <c:y val="-0.1391012760077681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9B447288-FDC2-4595-A207-178E0165F585}" type="CATEGORYNAME">
                  <a:rPr lang="en-US" altLang="ja-JP" sz="1000" b="1">
                    <a:solidFill>
                      <a:srgbClr val="1F2937"/>
                    </a:solidFill>
                  </a:rPr>
                  <a:pPr>
                    <a:defRPr/>
                  </a:pPr>
                  <a:t>[CATEGORY NAME]</a:t>
                </a:fld>
                <a:r>
                  <a:rPr lang="en-US" altLang="ja-JP" sz="1000" b="1" baseline="0"/>
                  <a:t>
</a:t>
                </a:r>
                <a:fld id="{F7A1B8BB-24C8-498D-A46D-8CC19D5ABC63}" type="PERCENTAGE">
                  <a:rPr lang="en-US" altLang="ja-JP" sz="1000" b="1" baseline="0"/>
                  <a:pPr>
                    <a:defRPr/>
                  </a:pPr>
                  <a:t>[PERCENTAGE]</a:t>
                </a:fld>
                <a:endParaRPr lang="en-US" altLang="ja-JP" sz="1000" b="1" baseline="0"/>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plotArea>
      <c:layout/>
      <c:doughnutChart>
        <c:varyColors val="1"/>
        <c:ser>
          <c:idx val="0"/>
          <c:order val="0"/>
          <c:tx>
            <c:strRef>
              <c:f>Sheet2!$P$3</c:f>
              <c:strCache>
                <c:ptCount val="1"/>
                <c:pt idx="0">
                  <c:v>Total</c:v>
                </c:pt>
              </c:strCache>
            </c:strRef>
          </c:tx>
          <c:dPt>
            <c:idx val="0"/>
            <c:bubble3D val="0"/>
            <c:spPr>
              <a:solidFill>
                <a:srgbClr val="8C5A2B"/>
              </a:solidFill>
              <a:ln w="19050">
                <a:solidFill>
                  <a:schemeClr val="lt1"/>
                </a:solidFill>
              </a:ln>
              <a:effectLst/>
            </c:spPr>
            <c:extLst>
              <c:ext xmlns:c16="http://schemas.microsoft.com/office/drawing/2014/chart" uri="{C3380CC4-5D6E-409C-BE32-E72D297353CC}">
                <c16:uniqueId val="{00000001-5E76-4ACB-B5AD-48912C77BC27}"/>
              </c:ext>
            </c:extLst>
          </c:dPt>
          <c:dPt>
            <c:idx val="1"/>
            <c:bubble3D val="0"/>
            <c:spPr>
              <a:solidFill>
                <a:srgbClr val="B07A42"/>
              </a:solidFill>
              <a:ln w="19050">
                <a:solidFill>
                  <a:schemeClr val="lt1"/>
                </a:solidFill>
              </a:ln>
              <a:effectLst/>
            </c:spPr>
            <c:extLst>
              <c:ext xmlns:c16="http://schemas.microsoft.com/office/drawing/2014/chart" uri="{C3380CC4-5D6E-409C-BE32-E72D297353CC}">
                <c16:uniqueId val="{00000003-5E76-4ACB-B5AD-48912C77BC27}"/>
              </c:ext>
            </c:extLst>
          </c:dPt>
          <c:dPt>
            <c:idx val="2"/>
            <c:bubble3D val="0"/>
            <c:spPr>
              <a:solidFill>
                <a:srgbClr val="DFBE9D"/>
              </a:solidFill>
              <a:ln w="19050">
                <a:solidFill>
                  <a:schemeClr val="lt1"/>
                </a:solidFill>
              </a:ln>
              <a:effectLst/>
            </c:spPr>
            <c:extLst>
              <c:ext xmlns:c16="http://schemas.microsoft.com/office/drawing/2014/chart" uri="{C3380CC4-5D6E-409C-BE32-E72D297353CC}">
                <c16:uniqueId val="{00000005-5E76-4ACB-B5AD-48912C77BC27}"/>
              </c:ext>
            </c:extLst>
          </c:dPt>
          <c:dPt>
            <c:idx val="3"/>
            <c:bubble3D val="0"/>
            <c:spPr>
              <a:solidFill>
                <a:srgbClr val="6B4322"/>
              </a:solidFill>
              <a:ln w="19050">
                <a:solidFill>
                  <a:schemeClr val="lt1"/>
                </a:solidFill>
              </a:ln>
              <a:effectLst/>
            </c:spPr>
            <c:extLst>
              <c:ext xmlns:c16="http://schemas.microsoft.com/office/drawing/2014/chart" uri="{C3380CC4-5D6E-409C-BE32-E72D297353CC}">
                <c16:uniqueId val="{00000007-5E76-4ACB-B5AD-48912C77BC27}"/>
              </c:ext>
            </c:extLst>
          </c:dPt>
          <c:dPt>
            <c:idx val="4"/>
            <c:bubble3D val="0"/>
            <c:spPr>
              <a:solidFill>
                <a:srgbClr val="D5A45A"/>
              </a:solidFill>
              <a:ln w="19050">
                <a:solidFill>
                  <a:schemeClr val="lt1"/>
                </a:solidFill>
              </a:ln>
              <a:effectLst/>
            </c:spPr>
            <c:extLst>
              <c:ext xmlns:c16="http://schemas.microsoft.com/office/drawing/2014/chart" uri="{C3380CC4-5D6E-409C-BE32-E72D297353CC}">
                <c16:uniqueId val="{00000009-5E76-4ACB-B5AD-48912C77BC27}"/>
              </c:ext>
            </c:extLst>
          </c:dPt>
          <c:dLbls>
            <c:dLbl>
              <c:idx val="0"/>
              <c:layout>
                <c:manualLayout>
                  <c:x val="0.17523809523809511"/>
                  <c:y val="-0.1284011778533244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5E76-4ACB-B5AD-48912C77BC27}"/>
                </c:ext>
              </c:extLst>
            </c:dLbl>
            <c:dLbl>
              <c:idx val="1"/>
              <c:layout>
                <c:manualLayout>
                  <c:x val="0.17904761904761904"/>
                  <c:y val="-4.280039261777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5E76-4ACB-B5AD-48912C77BC27}"/>
                </c:ext>
              </c:extLst>
            </c:dLbl>
            <c:dLbl>
              <c:idx val="2"/>
              <c:layout>
                <c:manualLayout>
                  <c:x val="-0.27047619047619054"/>
                  <c:y val="9.63008833899933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rtl="0">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5E76-4ACB-B5AD-48912C77BC27}"/>
                </c:ext>
              </c:extLst>
            </c:dLbl>
            <c:dLbl>
              <c:idx val="3"/>
              <c:layout>
                <c:manualLayout>
                  <c:x val="-0.26666666666666666"/>
                  <c:y val="-0.1123510306216589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5E76-4ACB-B5AD-48912C77BC27}"/>
                </c:ext>
              </c:extLst>
            </c:dLbl>
            <c:dLbl>
              <c:idx val="4"/>
              <c:layout>
                <c:manualLayout>
                  <c:x val="-0.27809523809523812"/>
                  <c:y val="-0.13910127600776812"/>
                </c:manualLayout>
              </c:layout>
              <c:tx>
                <c:rich>
                  <a:bodyPr/>
                  <a:lstStyle/>
                  <a:p>
                    <a:fld id="{9B447288-FDC2-4595-A207-178E0165F585}" type="CATEGORYNAME">
                      <a:rPr lang="en-US" altLang="ja-JP" sz="1000" b="1">
                        <a:solidFill>
                          <a:srgbClr val="1F2937"/>
                        </a:solidFill>
                      </a:rPr>
                      <a:pPr/>
                      <a:t>[CATEGORY NAME]</a:t>
                    </a:fld>
                    <a:r>
                      <a:rPr lang="en-US" altLang="ja-JP" sz="1000" b="1" baseline="0"/>
                      <a:t>
</a:t>
                    </a:r>
                    <a:fld id="{F7A1B8BB-24C8-498D-A46D-8CC19D5ABC63}" type="PERCENTAGE">
                      <a:rPr lang="en-US" altLang="ja-JP" sz="1000" b="1" baseline="0"/>
                      <a:pPr/>
                      <a:t>[PERCENTAGE]</a:t>
                    </a:fld>
                    <a:endParaRPr lang="en-US" altLang="ja-JP" sz="1000" b="1"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5E76-4ACB-B5AD-48912C77BC2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ja-JP"/>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Sheet2!$O$4:$O$9</c:f>
              <c:strCache>
                <c:ptCount val="5"/>
                <c:pt idx="0">
                  <c:v>Card</c:v>
                </c:pt>
                <c:pt idx="1">
                  <c:v>Cash</c:v>
                </c:pt>
                <c:pt idx="2">
                  <c:v>Not Specified</c:v>
                </c:pt>
                <c:pt idx="3">
                  <c:v>UPI</c:v>
                </c:pt>
                <c:pt idx="4">
                  <c:v>Wallet</c:v>
                </c:pt>
              </c:strCache>
            </c:strRef>
          </c:cat>
          <c:val>
            <c:numRef>
              <c:f>Sheet2!$P$4:$P$9</c:f>
              <c:numCache>
                <c:formatCode>\ \₹#,##0.00</c:formatCode>
                <c:ptCount val="5"/>
                <c:pt idx="0">
                  <c:v>128088.13000000011</c:v>
                </c:pt>
                <c:pt idx="1">
                  <c:v>122424.96000000002</c:v>
                </c:pt>
                <c:pt idx="2">
                  <c:v>6436.75</c:v>
                </c:pt>
                <c:pt idx="3">
                  <c:v>111873.99000000002</c:v>
                </c:pt>
                <c:pt idx="4">
                  <c:v>104112.73000000011</c:v>
                </c:pt>
              </c:numCache>
            </c:numRef>
          </c:val>
          <c:extLst>
            <c:ext xmlns:c16="http://schemas.microsoft.com/office/drawing/2014/chart" uri="{C3380CC4-5D6E-409C-BE32-E72D297353CC}">
              <c16:uniqueId val="{0000000A-5E76-4ACB-B5AD-48912C77BC27}"/>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[BrewBean_Coffee_Sales_Dashboard.xlsm]Sheet2!PivotTable12</c:name>
    <c:fmtId val="3"/>
  </c:pivotSource>
  <c:chart>
    <c:title>
      <c:tx>
        <c:rich>
          <a:bodyPr rot="0" spcFirstLastPara="1" vertOverflow="ellipsis" vert="horz" wrap="square" anchor="ctr" anchorCtr="1"/>
          <a:lstStyle/>
          <a:p>
            <a:pPr>
              <a:defRPr sz="1800" b="0" i="0" u="none" strike="noStrike" kern="1200" spc="0" baseline="0">
                <a:solidFill>
                  <a:srgbClr val="3F2414"/>
                </a:solidFill>
                <a:latin typeface="+mn-lt"/>
                <a:ea typeface="+mn-ea"/>
                <a:cs typeface="+mn-cs"/>
              </a:defRPr>
            </a:pPr>
            <a:r>
              <a:rPr lang="en-US" altLang="ja-JP" sz="2000" b="1">
                <a:solidFill>
                  <a:srgbClr val="3F2414"/>
                </a:solidFill>
              </a:rPr>
              <a:t>Customer</a:t>
            </a:r>
            <a:r>
              <a:rPr lang="en-US" altLang="ja-JP" sz="2000" b="1" baseline="0">
                <a:solidFill>
                  <a:srgbClr val="3F2414"/>
                </a:solidFill>
              </a:rPr>
              <a:t> Type Distribution</a:t>
            </a:r>
            <a:endParaRPr lang="en-US" altLang="ja-JP" sz="2000" b="1">
              <a:solidFill>
                <a:srgbClr val="3F2414"/>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3F2414"/>
              </a:solidFill>
              <a:latin typeface="+mn-lt"/>
              <a:ea typeface="+mn-ea"/>
              <a:cs typeface="+mn-cs"/>
            </a:defRPr>
          </a:pPr>
          <a:endParaRPr lang="en-US" altLang="ja-JP"/>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B07A42"/>
          </a:solidFill>
          <a:ln w="19050">
            <a:solidFill>
              <a:schemeClr val="lt1"/>
            </a:solidFill>
          </a:ln>
          <a:effectLst/>
        </c:spPr>
        <c:dLbl>
          <c:idx val="0"/>
          <c:layout>
            <c:manualLayout>
              <c:x val="0.1963067331348288"/>
              <c:y val="-6.743672242007568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8C5A2B"/>
          </a:solidFill>
          <a:ln w="19050">
            <a:solidFill>
              <a:schemeClr val="lt1"/>
            </a:solidFill>
          </a:ln>
          <a:effectLst/>
        </c:spPr>
        <c:dLbl>
          <c:idx val="0"/>
          <c:layout>
            <c:manualLayout>
              <c:x val="0.34854460781081875"/>
              <c:y val="1.0374880372319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6B4322"/>
          </a:solidFill>
          <a:ln w="19050">
            <a:solidFill>
              <a:schemeClr val="lt1"/>
            </a:solidFill>
          </a:ln>
          <a:effectLst/>
        </c:spPr>
        <c:dLbl>
          <c:idx val="0"/>
          <c:layout>
            <c:manualLayout>
              <c:x val="-0.20832551271451236"/>
              <c:y val="-5.70618420477563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Sheet2!$S$3</c:f>
              <c:strCache>
                <c:ptCount val="1"/>
                <c:pt idx="0">
                  <c:v>Total</c:v>
                </c:pt>
              </c:strCache>
            </c:strRef>
          </c:tx>
          <c:dPt>
            <c:idx val="0"/>
            <c:bubble3D val="0"/>
            <c:spPr>
              <a:solidFill>
                <a:srgbClr val="B07A42"/>
              </a:solidFill>
              <a:ln w="19050">
                <a:solidFill>
                  <a:schemeClr val="lt1"/>
                </a:solidFill>
              </a:ln>
              <a:effectLst/>
            </c:spPr>
            <c:extLst>
              <c:ext xmlns:c16="http://schemas.microsoft.com/office/drawing/2014/chart" uri="{C3380CC4-5D6E-409C-BE32-E72D297353CC}">
                <c16:uniqueId val="{00000001-4655-436F-8A70-4376C14B7E96}"/>
              </c:ext>
            </c:extLst>
          </c:dPt>
          <c:dPt>
            <c:idx val="1"/>
            <c:bubble3D val="0"/>
            <c:spPr>
              <a:solidFill>
                <a:srgbClr val="8C5A2B"/>
              </a:solidFill>
              <a:ln w="19050">
                <a:solidFill>
                  <a:schemeClr val="lt1"/>
                </a:solidFill>
              </a:ln>
              <a:effectLst/>
            </c:spPr>
            <c:extLst>
              <c:ext xmlns:c16="http://schemas.microsoft.com/office/drawing/2014/chart" uri="{C3380CC4-5D6E-409C-BE32-E72D297353CC}">
                <c16:uniqueId val="{00000003-4655-436F-8A70-4376C14B7E96}"/>
              </c:ext>
            </c:extLst>
          </c:dPt>
          <c:dPt>
            <c:idx val="2"/>
            <c:bubble3D val="0"/>
            <c:spPr>
              <a:solidFill>
                <a:srgbClr val="6B4322"/>
              </a:solidFill>
              <a:ln w="19050">
                <a:solidFill>
                  <a:schemeClr val="lt1"/>
                </a:solidFill>
              </a:ln>
              <a:effectLst/>
            </c:spPr>
            <c:extLst>
              <c:ext xmlns:c16="http://schemas.microsoft.com/office/drawing/2014/chart" uri="{C3380CC4-5D6E-409C-BE32-E72D297353CC}">
                <c16:uniqueId val="{00000005-4655-436F-8A70-4376C14B7E96}"/>
              </c:ext>
            </c:extLst>
          </c:dPt>
          <c:dLbls>
            <c:dLbl>
              <c:idx val="0"/>
              <c:layout>
                <c:manualLayout>
                  <c:x val="0.1963067331348288"/>
                  <c:y val="-6.743672242007568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655-436F-8A70-4376C14B7E96}"/>
                </c:ext>
              </c:extLst>
            </c:dLbl>
            <c:dLbl>
              <c:idx val="1"/>
              <c:layout>
                <c:manualLayout>
                  <c:x val="0.34854460781081875"/>
                  <c:y val="1.03748803723193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655-436F-8A70-4376C14B7E96}"/>
                </c:ext>
              </c:extLst>
            </c:dLbl>
            <c:dLbl>
              <c:idx val="2"/>
              <c:layout>
                <c:manualLayout>
                  <c:x val="-0.20832551271451236"/>
                  <c:y val="-5.706184204775630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655-436F-8A70-4376C14B7E9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altLang="ja-JP" sz="1000" b="1" i="0" u="none" strike="noStrike" kern="1200" baseline="0">
                    <a:solidFill>
                      <a:srgbClr val="1F2937"/>
                    </a:solidFill>
                    <a:latin typeface="+mn-lt"/>
                    <a:ea typeface="+mn-ea"/>
                    <a:cs typeface="+mn-cs"/>
                  </a:defRPr>
                </a:pPr>
                <a:endParaRPr lang="ja-JP"/>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Sheet2!$R$4:$R$7</c:f>
              <c:strCache>
                <c:ptCount val="3"/>
                <c:pt idx="0">
                  <c:v>Member</c:v>
                </c:pt>
                <c:pt idx="1">
                  <c:v>New</c:v>
                </c:pt>
                <c:pt idx="2">
                  <c:v>Returning</c:v>
                </c:pt>
              </c:strCache>
            </c:strRef>
          </c:cat>
          <c:val>
            <c:numRef>
              <c:f>Sheet2!$S$4:$S$7</c:f>
              <c:numCache>
                <c:formatCode>\ \₹#,##0.00</c:formatCode>
                <c:ptCount val="3"/>
                <c:pt idx="0">
                  <c:v>162206.51000000004</c:v>
                </c:pt>
                <c:pt idx="1">
                  <c:v>138291.65000000014</c:v>
                </c:pt>
                <c:pt idx="2">
                  <c:v>172438.39999999997</c:v>
                </c:pt>
              </c:numCache>
            </c:numRef>
          </c:val>
          <c:extLst>
            <c:ext xmlns:c16="http://schemas.microsoft.com/office/drawing/2014/chart" uri="{C3380CC4-5D6E-409C-BE32-E72D297353CC}">
              <c16:uniqueId val="{00000006-4655-436F-8A70-4376C14B7E96}"/>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3" Type="http://schemas.openxmlformats.org/officeDocument/2006/relationships/image" Target="../media/image2.jpeg"/><Relationship Id="rId7" Type="http://schemas.openxmlformats.org/officeDocument/2006/relationships/chart" Target="../charts/chart5.xml"/><Relationship Id="rId12"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image" Target="../media/image5.jpeg"/><Relationship Id="rId5" Type="http://schemas.openxmlformats.org/officeDocument/2006/relationships/chart" Target="../charts/chart3.xml"/><Relationship Id="rId10" Type="http://schemas.openxmlformats.org/officeDocument/2006/relationships/image" Target="../media/image4.png"/><Relationship Id="rId4" Type="http://schemas.openxmlformats.org/officeDocument/2006/relationships/chart" Target="../charts/chart2.xml"/><Relationship Id="rId9" Type="http://schemas.openxmlformats.org/officeDocument/2006/relationships/image" Target="../media/image3.jpeg"/><Relationship Id="rId14"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4.png"/><Relationship Id="rId1" Type="http://schemas.openxmlformats.org/officeDocument/2006/relationships/image" Target="../media/image9.jpe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26097</xdr:colOff>
      <xdr:row>0</xdr:row>
      <xdr:rowOff>0</xdr:rowOff>
    </xdr:from>
    <xdr:to>
      <xdr:col>31</xdr:col>
      <xdr:colOff>587156</xdr:colOff>
      <xdr:row>52</xdr:row>
      <xdr:rowOff>6524</xdr:rowOff>
    </xdr:to>
    <xdr:sp macro="" textlink="">
      <xdr:nvSpPr>
        <xdr:cNvPr id="2" name="Rectangle 1">
          <a:extLst>
            <a:ext uri="{FF2B5EF4-FFF2-40B4-BE49-F238E27FC236}">
              <a16:creationId xmlns:a16="http://schemas.microsoft.com/office/drawing/2014/main" id="{B549F212-C55F-5E73-5F14-0B2382783AD2}"/>
            </a:ext>
          </a:extLst>
        </xdr:cNvPr>
        <xdr:cNvSpPr/>
      </xdr:nvSpPr>
      <xdr:spPr>
        <a:xfrm>
          <a:off x="26097" y="0"/>
          <a:ext cx="20583132" cy="8487688"/>
        </a:xfrm>
        <a:prstGeom prst="rect">
          <a:avLst/>
        </a:prstGeom>
        <a:solidFill>
          <a:srgbClr val="F8F4EE"/>
        </a:solidFill>
        <a:effectLst>
          <a:glow rad="101600">
            <a:srgbClr val="EFE5D6">
              <a:alpha val="60000"/>
            </a:srgb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4800">
              <a:ln>
                <a:solidFill>
                  <a:schemeClr val="tx1"/>
                </a:solidFill>
              </a:ln>
              <a:solidFill>
                <a:srgbClr val="5A3E36"/>
              </a:solidFill>
              <a:latin typeface="+mn-lt"/>
              <a:ea typeface="+mn-ea"/>
              <a:cs typeface="+mn-cs"/>
            </a:rPr>
            <a:t>                              BrewBean Coffee Sales Dashboard</a:t>
          </a:r>
          <a:endParaRPr kumimoji="1" lang="ja-JP" altLang="en-US" sz="4800">
            <a:ln>
              <a:solidFill>
                <a:schemeClr val="tx1"/>
              </a:solidFill>
            </a:ln>
            <a:solidFill>
              <a:srgbClr val="5A3E36"/>
            </a:solidFill>
            <a:latin typeface="+mn-lt"/>
            <a:ea typeface="+mn-ea"/>
            <a:cs typeface="+mn-cs"/>
          </a:endParaRPr>
        </a:p>
      </xdr:txBody>
    </xdr:sp>
    <xdr:clientData/>
  </xdr:twoCellAnchor>
  <xdr:twoCellAnchor>
    <xdr:from>
      <xdr:col>28</xdr:col>
      <xdr:colOff>179487</xdr:colOff>
      <xdr:row>0</xdr:row>
      <xdr:rowOff>71764</xdr:rowOff>
    </xdr:from>
    <xdr:to>
      <xdr:col>31</xdr:col>
      <xdr:colOff>168148</xdr:colOff>
      <xdr:row>50</xdr:row>
      <xdr:rowOff>32620</xdr:rowOff>
    </xdr:to>
    <xdr:sp macro="" textlink="">
      <xdr:nvSpPr>
        <xdr:cNvPr id="4" name="Rectangle 3">
          <a:extLst>
            <a:ext uri="{FF2B5EF4-FFF2-40B4-BE49-F238E27FC236}">
              <a16:creationId xmlns:a16="http://schemas.microsoft.com/office/drawing/2014/main" id="{852CE0A0-1D64-893E-C96E-0FB78A07798E}"/>
            </a:ext>
          </a:extLst>
        </xdr:cNvPr>
        <xdr:cNvSpPr/>
      </xdr:nvSpPr>
      <xdr:spPr>
        <a:xfrm>
          <a:off x="18263939" y="71764"/>
          <a:ext cx="1926282" cy="8115822"/>
        </a:xfrm>
        <a:prstGeom prst="rect">
          <a:avLst/>
        </a:prstGeom>
        <a:solidFill>
          <a:srgbClr val="7E542A"/>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lt"/>
            <a:ea typeface="+mn-ea"/>
            <a:cs typeface="+mn-cs"/>
          </a:endParaRPr>
        </a:p>
      </xdr:txBody>
    </xdr:sp>
    <xdr:clientData/>
  </xdr:twoCellAnchor>
  <xdr:twoCellAnchor>
    <xdr:from>
      <xdr:col>0</xdr:col>
      <xdr:colOff>63232</xdr:colOff>
      <xdr:row>12</xdr:row>
      <xdr:rowOff>127775</xdr:rowOff>
    </xdr:from>
    <xdr:to>
      <xdr:col>12</xdr:col>
      <xdr:colOff>274008</xdr:colOff>
      <xdr:row>28</xdr:row>
      <xdr:rowOff>52335</xdr:rowOff>
    </xdr:to>
    <xdr:grpSp>
      <xdr:nvGrpSpPr>
        <xdr:cNvPr id="49" name="Group 48">
          <a:extLst>
            <a:ext uri="{FF2B5EF4-FFF2-40B4-BE49-F238E27FC236}">
              <a16:creationId xmlns:a16="http://schemas.microsoft.com/office/drawing/2014/main" id="{510EDE2B-0E9A-2956-7F7A-1C7FC200DC0F}"/>
            </a:ext>
          </a:extLst>
        </xdr:cNvPr>
        <xdr:cNvGrpSpPr/>
      </xdr:nvGrpSpPr>
      <xdr:grpSpPr>
        <a:xfrm>
          <a:off x="63232" y="2032775"/>
          <a:ext cx="7989526" cy="2464560"/>
          <a:chOff x="2157427" y="2084967"/>
          <a:chExt cx="7654628" cy="2534149"/>
        </a:xfrm>
      </xdr:grpSpPr>
      <xdr:sp macro="" textlink="">
        <xdr:nvSpPr>
          <xdr:cNvPr id="11" name="Rectangle 10">
            <a:extLst>
              <a:ext uri="{FF2B5EF4-FFF2-40B4-BE49-F238E27FC236}">
                <a16:creationId xmlns:a16="http://schemas.microsoft.com/office/drawing/2014/main" id="{A756B9CB-8A05-0ECF-026E-F06010CB9372}"/>
              </a:ext>
            </a:extLst>
          </xdr:cNvPr>
          <xdr:cNvSpPr/>
        </xdr:nvSpPr>
        <xdr:spPr>
          <a:xfrm>
            <a:off x="2157428" y="2098497"/>
            <a:ext cx="7638395" cy="2520619"/>
          </a:xfrm>
          <a:prstGeom prst="rect">
            <a:avLst/>
          </a:prstGeom>
          <a:solidFill>
            <a:srgbClr val="FFFFFF"/>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lt"/>
              <a:ea typeface="+mn-ea"/>
              <a:cs typeface="+mn-cs"/>
            </a:endParaRPr>
          </a:p>
        </xdr:txBody>
      </xdr:sp>
      <xdr:graphicFrame macro="">
        <xdr:nvGraphicFramePr>
          <xdr:cNvPr id="3" name="Chart 2">
            <a:extLst>
              <a:ext uri="{FF2B5EF4-FFF2-40B4-BE49-F238E27FC236}">
                <a16:creationId xmlns:a16="http://schemas.microsoft.com/office/drawing/2014/main" id="{086DA43E-4E6C-4897-BD14-8C24CCD7EC5B}"/>
              </a:ext>
            </a:extLst>
          </xdr:cNvPr>
          <xdr:cNvGraphicFramePr>
            <a:graphicFrameLocks/>
          </xdr:cNvGraphicFramePr>
        </xdr:nvGraphicFramePr>
        <xdr:xfrm>
          <a:off x="2157427" y="2084967"/>
          <a:ext cx="7654628" cy="2534084"/>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editAs="oneCell">
    <xdr:from>
      <xdr:col>20</xdr:col>
      <xdr:colOff>64464</xdr:colOff>
      <xdr:row>0</xdr:row>
      <xdr:rowOff>0</xdr:rowOff>
    </xdr:from>
    <xdr:to>
      <xdr:col>22</xdr:col>
      <xdr:colOff>234701</xdr:colOff>
      <xdr:row>5</xdr:row>
      <xdr:rowOff>113391</xdr:rowOff>
    </xdr:to>
    <xdr:pic>
      <xdr:nvPicPr>
        <xdr:cNvPr id="18" name="Picture 17">
          <a:extLst>
            <a:ext uri="{FF2B5EF4-FFF2-40B4-BE49-F238E27FC236}">
              <a16:creationId xmlns:a16="http://schemas.microsoft.com/office/drawing/2014/main" id="{5C955815-862A-626E-0A2F-093D375222A6}"/>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12981930" y="0"/>
          <a:ext cx="1461983" cy="928888"/>
        </a:xfrm>
        <a:prstGeom prst="rect">
          <a:avLst/>
        </a:prstGeom>
      </xdr:spPr>
    </xdr:pic>
    <xdr:clientData/>
  </xdr:twoCellAnchor>
  <xdr:twoCellAnchor>
    <xdr:from>
      <xdr:col>0</xdr:col>
      <xdr:colOff>22834</xdr:colOff>
      <xdr:row>0</xdr:row>
      <xdr:rowOff>0</xdr:rowOff>
    </xdr:from>
    <xdr:to>
      <xdr:col>4</xdr:col>
      <xdr:colOff>363012</xdr:colOff>
      <xdr:row>5</xdr:row>
      <xdr:rowOff>110906</xdr:rowOff>
    </xdr:to>
    <xdr:sp macro="" textlink="">
      <xdr:nvSpPr>
        <xdr:cNvPr id="19" name="Rectangle: Rounded Corners 18">
          <a:extLst>
            <a:ext uri="{FF2B5EF4-FFF2-40B4-BE49-F238E27FC236}">
              <a16:creationId xmlns:a16="http://schemas.microsoft.com/office/drawing/2014/main" id="{EE527881-7EB9-69FD-EDA2-3E656E819051}"/>
            </a:ext>
          </a:extLst>
        </xdr:cNvPr>
        <xdr:cNvSpPr/>
      </xdr:nvSpPr>
      <xdr:spPr>
        <a:xfrm>
          <a:off x="22834" y="0"/>
          <a:ext cx="2923671" cy="926403"/>
        </a:xfrm>
        <a:prstGeom prst="roundRect">
          <a:avLst/>
        </a:prstGeom>
        <a:solidFill>
          <a:srgbClr val="F8F6F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2800" b="1">
              <a:ln>
                <a:solidFill>
                  <a:schemeClr val="tx1"/>
                </a:solidFill>
              </a:ln>
              <a:solidFill>
                <a:srgbClr val="3F2414"/>
              </a:solidFill>
              <a:latin typeface="+mn-lt"/>
              <a:ea typeface="+mn-ea"/>
              <a:cs typeface="+mn-cs"/>
            </a:rPr>
            <a:t>BrewBean</a:t>
          </a:r>
        </a:p>
        <a:p>
          <a:pPr algn="l"/>
          <a:r>
            <a:rPr kumimoji="1" lang="en-US" altLang="ja-JP" sz="1800" b="0">
              <a:ln>
                <a:noFill/>
              </a:ln>
              <a:solidFill>
                <a:srgbClr val="5A3E36"/>
              </a:solidFill>
            </a:rPr>
            <a:t>COFFEE</a:t>
          </a:r>
          <a:r>
            <a:rPr kumimoji="1" lang="en-US" altLang="ja-JP" sz="1800" b="0" baseline="0">
              <a:ln>
                <a:noFill/>
              </a:ln>
              <a:solidFill>
                <a:srgbClr val="5A3E36"/>
              </a:solidFill>
            </a:rPr>
            <a:t> CO.</a:t>
          </a:r>
          <a:endParaRPr kumimoji="1" lang="ja-JP" altLang="en-US" sz="1800" b="0">
            <a:ln>
              <a:noFill/>
            </a:ln>
            <a:solidFill>
              <a:srgbClr val="5A3E36"/>
            </a:solidFill>
          </a:endParaRPr>
        </a:p>
      </xdr:txBody>
    </xdr:sp>
    <xdr:clientData/>
  </xdr:twoCellAnchor>
  <xdr:twoCellAnchor editAs="oneCell">
    <xdr:from>
      <xdr:col>3</xdr:col>
      <xdr:colOff>6222</xdr:colOff>
      <xdr:row>0</xdr:row>
      <xdr:rowOff>11341</xdr:rowOff>
    </xdr:from>
    <xdr:to>
      <xdr:col>4</xdr:col>
      <xdr:colOff>352817</xdr:colOff>
      <xdr:row>5</xdr:row>
      <xdr:rowOff>39687</xdr:rowOff>
    </xdr:to>
    <xdr:pic>
      <xdr:nvPicPr>
        <xdr:cNvPr id="22" name="Picture 21">
          <a:extLst>
            <a:ext uri="{FF2B5EF4-FFF2-40B4-BE49-F238E27FC236}">
              <a16:creationId xmlns:a16="http://schemas.microsoft.com/office/drawing/2014/main" id="{57F3D89B-6110-FB6C-4B12-CEECA96DFF5E}"/>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57685" y="11341"/>
          <a:ext cx="997083" cy="841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400206</xdr:colOff>
      <xdr:row>12</xdr:row>
      <xdr:rowOff>124078</xdr:rowOff>
    </xdr:from>
    <xdr:to>
      <xdr:col>24</xdr:col>
      <xdr:colOff>476249</xdr:colOff>
      <xdr:row>28</xdr:row>
      <xdr:rowOff>59223</xdr:rowOff>
    </xdr:to>
    <xdr:grpSp>
      <xdr:nvGrpSpPr>
        <xdr:cNvPr id="48" name="Group 47">
          <a:extLst>
            <a:ext uri="{FF2B5EF4-FFF2-40B4-BE49-F238E27FC236}">
              <a16:creationId xmlns:a16="http://schemas.microsoft.com/office/drawing/2014/main" id="{3FE8DEEF-6029-EECD-3E91-E57DC0ABCA36}"/>
            </a:ext>
          </a:extLst>
        </xdr:cNvPr>
        <xdr:cNvGrpSpPr/>
      </xdr:nvGrpSpPr>
      <xdr:grpSpPr>
        <a:xfrm>
          <a:off x="8178956" y="2029078"/>
          <a:ext cx="7854793" cy="2475145"/>
          <a:chOff x="9970873" y="2048651"/>
          <a:chExt cx="7826523" cy="2544734"/>
        </a:xfrm>
        <a:solidFill>
          <a:srgbClr val="FBFAF7"/>
        </a:solidFill>
      </xdr:grpSpPr>
      <xdr:sp macro="" textlink="">
        <xdr:nvSpPr>
          <xdr:cNvPr id="12" name="Rectangle 11">
            <a:extLst>
              <a:ext uri="{FF2B5EF4-FFF2-40B4-BE49-F238E27FC236}">
                <a16:creationId xmlns:a16="http://schemas.microsoft.com/office/drawing/2014/main" id="{1D1CD9EF-1DA4-4EF1-84C5-9921DBE3EE9A}"/>
              </a:ext>
            </a:extLst>
          </xdr:cNvPr>
          <xdr:cNvSpPr/>
        </xdr:nvSpPr>
        <xdr:spPr>
          <a:xfrm>
            <a:off x="9970873" y="2072766"/>
            <a:ext cx="7824892" cy="2520619"/>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b="1">
              <a:solidFill>
                <a:schemeClr val="lt1"/>
              </a:solidFill>
              <a:latin typeface="+mn-lt"/>
              <a:ea typeface="+mn-ea"/>
              <a:cs typeface="+mn-cs"/>
            </a:endParaRPr>
          </a:p>
        </xdr:txBody>
      </xdr:sp>
      <xdr:graphicFrame macro="">
        <xdr:nvGraphicFramePr>
          <xdr:cNvPr id="17" name="Chart 16">
            <a:extLst>
              <a:ext uri="{FF2B5EF4-FFF2-40B4-BE49-F238E27FC236}">
                <a16:creationId xmlns:a16="http://schemas.microsoft.com/office/drawing/2014/main" id="{B480267B-2B52-4C0C-9793-B83F5B311A0B}"/>
              </a:ext>
            </a:extLst>
          </xdr:cNvPr>
          <xdr:cNvGraphicFramePr>
            <a:graphicFrameLocks/>
          </xdr:cNvGraphicFramePr>
        </xdr:nvGraphicFramePr>
        <xdr:xfrm>
          <a:off x="10000637" y="2048651"/>
          <a:ext cx="7796759" cy="25376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0</xdr:colOff>
      <xdr:row>29</xdr:row>
      <xdr:rowOff>6523</xdr:rowOff>
    </xdr:from>
    <xdr:to>
      <xdr:col>8</xdr:col>
      <xdr:colOff>116421</xdr:colOff>
      <xdr:row>50</xdr:row>
      <xdr:rowOff>52192</xdr:rowOff>
    </xdr:to>
    <xdr:grpSp>
      <xdr:nvGrpSpPr>
        <xdr:cNvPr id="46" name="Group 45">
          <a:extLst>
            <a:ext uri="{FF2B5EF4-FFF2-40B4-BE49-F238E27FC236}">
              <a16:creationId xmlns:a16="http://schemas.microsoft.com/office/drawing/2014/main" id="{78F3AF8B-EE4E-1530-77EB-3B026CAF2211}"/>
            </a:ext>
          </a:extLst>
        </xdr:cNvPr>
        <xdr:cNvGrpSpPr/>
      </xdr:nvGrpSpPr>
      <xdr:grpSpPr>
        <a:xfrm>
          <a:off x="0" y="4610273"/>
          <a:ext cx="5302254" cy="3379419"/>
          <a:chOff x="2147398" y="4834372"/>
          <a:chExt cx="4683407" cy="1500405"/>
        </a:xfrm>
        <a:solidFill>
          <a:srgbClr val="FBFAF7"/>
        </a:solidFill>
      </xdr:grpSpPr>
      <xdr:sp macro="" textlink="">
        <xdr:nvSpPr>
          <xdr:cNvPr id="13" name="Rectangle 12">
            <a:extLst>
              <a:ext uri="{FF2B5EF4-FFF2-40B4-BE49-F238E27FC236}">
                <a16:creationId xmlns:a16="http://schemas.microsoft.com/office/drawing/2014/main" id="{484186EC-0E79-CFDE-9FDB-0F50AADA0618}"/>
              </a:ext>
            </a:extLst>
          </xdr:cNvPr>
          <xdr:cNvSpPr/>
        </xdr:nvSpPr>
        <xdr:spPr>
          <a:xfrm>
            <a:off x="2147398" y="4865952"/>
            <a:ext cx="4661082" cy="1468825"/>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b="1">
              <a:solidFill>
                <a:schemeClr val="lt1"/>
              </a:solidFill>
              <a:latin typeface="+mn-lt"/>
              <a:ea typeface="+mn-ea"/>
              <a:cs typeface="+mn-cs"/>
            </a:endParaRPr>
          </a:p>
        </xdr:txBody>
      </xdr:sp>
      <xdr:graphicFrame macro="">
        <xdr:nvGraphicFramePr>
          <xdr:cNvPr id="20" name="Chart 19">
            <a:extLst>
              <a:ext uri="{FF2B5EF4-FFF2-40B4-BE49-F238E27FC236}">
                <a16:creationId xmlns:a16="http://schemas.microsoft.com/office/drawing/2014/main" id="{94536EE7-B496-4144-B2F7-FB145FB0C9D5}"/>
              </a:ext>
            </a:extLst>
          </xdr:cNvPr>
          <xdr:cNvGraphicFramePr>
            <a:graphicFrameLocks/>
          </xdr:cNvGraphicFramePr>
        </xdr:nvGraphicFramePr>
        <xdr:xfrm>
          <a:off x="2153422" y="4834372"/>
          <a:ext cx="4677383" cy="150040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8</xdr:col>
      <xdr:colOff>274007</xdr:colOff>
      <xdr:row>29</xdr:row>
      <xdr:rowOff>6523</xdr:rowOff>
    </xdr:from>
    <xdr:to>
      <xdr:col>17</xdr:col>
      <xdr:colOff>26095</xdr:colOff>
      <xdr:row>50</xdr:row>
      <xdr:rowOff>58716</xdr:rowOff>
    </xdr:to>
    <xdr:grpSp>
      <xdr:nvGrpSpPr>
        <xdr:cNvPr id="45" name="Group 44">
          <a:extLst>
            <a:ext uri="{FF2B5EF4-FFF2-40B4-BE49-F238E27FC236}">
              <a16:creationId xmlns:a16="http://schemas.microsoft.com/office/drawing/2014/main" id="{D32AB902-3A5F-0E2B-9502-EB35DFCF3205}"/>
            </a:ext>
          </a:extLst>
        </xdr:cNvPr>
        <xdr:cNvGrpSpPr/>
      </xdr:nvGrpSpPr>
      <xdr:grpSpPr>
        <a:xfrm>
          <a:off x="5459840" y="4610273"/>
          <a:ext cx="5586151" cy="3385943"/>
          <a:chOff x="9043287" y="5024195"/>
          <a:chExt cx="3536753" cy="3156403"/>
        </a:xfrm>
        <a:solidFill>
          <a:srgbClr val="FBFAF7"/>
        </a:solidFill>
      </xdr:grpSpPr>
      <xdr:sp macro="" textlink="">
        <xdr:nvSpPr>
          <xdr:cNvPr id="14" name="Rectangle 13">
            <a:extLst>
              <a:ext uri="{FF2B5EF4-FFF2-40B4-BE49-F238E27FC236}">
                <a16:creationId xmlns:a16="http://schemas.microsoft.com/office/drawing/2014/main" id="{FE70A1A0-368E-4B47-AEBE-E7B403251D97}"/>
              </a:ext>
            </a:extLst>
          </xdr:cNvPr>
          <xdr:cNvSpPr/>
        </xdr:nvSpPr>
        <xdr:spPr>
          <a:xfrm>
            <a:off x="9043287" y="5039959"/>
            <a:ext cx="3495040" cy="3128054"/>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b="1">
              <a:solidFill>
                <a:schemeClr val="lt1"/>
              </a:solidFill>
              <a:latin typeface="+mn-lt"/>
              <a:ea typeface="+mn-ea"/>
              <a:cs typeface="+mn-cs"/>
            </a:endParaRPr>
          </a:p>
        </xdr:txBody>
      </xdr:sp>
      <xdr:graphicFrame macro="">
        <xdr:nvGraphicFramePr>
          <xdr:cNvPr id="21" name="Chart 20">
            <a:extLst>
              <a:ext uri="{FF2B5EF4-FFF2-40B4-BE49-F238E27FC236}">
                <a16:creationId xmlns:a16="http://schemas.microsoft.com/office/drawing/2014/main" id="{4F253319-F0F6-40A1-AAC1-076F81E2A872}"/>
              </a:ext>
            </a:extLst>
          </xdr:cNvPr>
          <xdr:cNvGraphicFramePr>
            <a:graphicFrameLocks/>
          </xdr:cNvGraphicFramePr>
        </xdr:nvGraphicFramePr>
        <xdr:xfrm>
          <a:off x="9044049" y="5024195"/>
          <a:ext cx="3535991" cy="315640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17</xdr:col>
      <xdr:colOff>150051</xdr:colOff>
      <xdr:row>29</xdr:row>
      <xdr:rowOff>13047</xdr:rowOff>
    </xdr:from>
    <xdr:to>
      <xdr:col>22</xdr:col>
      <xdr:colOff>443630</xdr:colOff>
      <xdr:row>50</xdr:row>
      <xdr:rowOff>71764</xdr:rowOff>
    </xdr:to>
    <xdr:grpSp>
      <xdr:nvGrpSpPr>
        <xdr:cNvPr id="44" name="Group 43">
          <a:extLst>
            <a:ext uri="{FF2B5EF4-FFF2-40B4-BE49-F238E27FC236}">
              <a16:creationId xmlns:a16="http://schemas.microsoft.com/office/drawing/2014/main" id="{4A6F541A-1FB4-F268-D286-441016418BD7}"/>
            </a:ext>
          </a:extLst>
        </xdr:cNvPr>
        <xdr:cNvGrpSpPr/>
      </xdr:nvGrpSpPr>
      <xdr:grpSpPr>
        <a:xfrm>
          <a:off x="11169947" y="4616797"/>
          <a:ext cx="3534725" cy="3392467"/>
          <a:chOff x="11038563" y="4751828"/>
          <a:chExt cx="3346798" cy="3461853"/>
        </a:xfrm>
      </xdr:grpSpPr>
      <xdr:sp macro="" textlink="">
        <xdr:nvSpPr>
          <xdr:cNvPr id="24" name="Rectangle 23">
            <a:extLst>
              <a:ext uri="{FF2B5EF4-FFF2-40B4-BE49-F238E27FC236}">
                <a16:creationId xmlns:a16="http://schemas.microsoft.com/office/drawing/2014/main" id="{4168B3B5-EED1-4866-88BC-D0BBCF02DFB8}"/>
              </a:ext>
            </a:extLst>
          </xdr:cNvPr>
          <xdr:cNvSpPr/>
        </xdr:nvSpPr>
        <xdr:spPr>
          <a:xfrm>
            <a:off x="11039377" y="4781970"/>
            <a:ext cx="3311222" cy="3431711"/>
          </a:xfrm>
          <a:prstGeom prst="rect">
            <a:avLst/>
          </a:prstGeom>
          <a:solidFill>
            <a:srgbClr val="FFFFFF"/>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b="1">
              <a:solidFill>
                <a:schemeClr val="lt1"/>
              </a:solidFill>
              <a:latin typeface="+mn-lt"/>
              <a:ea typeface="+mn-ea"/>
              <a:cs typeface="+mn-cs"/>
            </a:endParaRPr>
          </a:p>
        </xdr:txBody>
      </xdr:sp>
      <xdr:graphicFrame macro="">
        <xdr:nvGraphicFramePr>
          <xdr:cNvPr id="25" name="Chart 24">
            <a:extLst>
              <a:ext uri="{FF2B5EF4-FFF2-40B4-BE49-F238E27FC236}">
                <a16:creationId xmlns:a16="http://schemas.microsoft.com/office/drawing/2014/main" id="{094980B7-994A-4EED-B54C-9FB448690A00}"/>
              </a:ext>
            </a:extLst>
          </xdr:cNvPr>
          <xdr:cNvGraphicFramePr>
            <a:graphicFrameLocks/>
          </xdr:cNvGraphicFramePr>
        </xdr:nvGraphicFramePr>
        <xdr:xfrm>
          <a:off x="11038563" y="4751828"/>
          <a:ext cx="3346798" cy="3433451"/>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22</xdr:col>
      <xdr:colOff>515394</xdr:colOff>
      <xdr:row>29</xdr:row>
      <xdr:rowOff>52191</xdr:rowOff>
    </xdr:from>
    <xdr:to>
      <xdr:col>28</xdr:col>
      <xdr:colOff>27318</xdr:colOff>
      <xdr:row>50</xdr:row>
      <xdr:rowOff>19572</xdr:rowOff>
    </xdr:to>
    <xdr:grpSp>
      <xdr:nvGrpSpPr>
        <xdr:cNvPr id="43" name="Group 42">
          <a:extLst>
            <a:ext uri="{FF2B5EF4-FFF2-40B4-BE49-F238E27FC236}">
              <a16:creationId xmlns:a16="http://schemas.microsoft.com/office/drawing/2014/main" id="{97849964-2A91-4973-CF5E-C0DBE93CCD92}"/>
            </a:ext>
          </a:extLst>
        </xdr:cNvPr>
        <xdr:cNvGrpSpPr/>
      </xdr:nvGrpSpPr>
      <xdr:grpSpPr>
        <a:xfrm>
          <a:off x="14776436" y="4655941"/>
          <a:ext cx="3401299" cy="3301131"/>
          <a:chOff x="14611048" y="4708170"/>
          <a:chExt cx="3200620" cy="3479416"/>
        </a:xfrm>
        <a:solidFill>
          <a:srgbClr val="FBFAF7"/>
        </a:solidFill>
      </xdr:grpSpPr>
      <xdr:sp macro="" textlink="">
        <xdr:nvSpPr>
          <xdr:cNvPr id="15" name="Rectangle 14">
            <a:extLst>
              <a:ext uri="{FF2B5EF4-FFF2-40B4-BE49-F238E27FC236}">
                <a16:creationId xmlns:a16="http://schemas.microsoft.com/office/drawing/2014/main" id="{9535E1B1-484D-4034-83A3-6B5E41BF724E}"/>
              </a:ext>
            </a:extLst>
          </xdr:cNvPr>
          <xdr:cNvSpPr/>
        </xdr:nvSpPr>
        <xdr:spPr>
          <a:xfrm>
            <a:off x="14611048" y="4737324"/>
            <a:ext cx="3169834" cy="3450262"/>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b="1">
              <a:solidFill>
                <a:schemeClr val="lt1"/>
              </a:solidFill>
              <a:latin typeface="+mn-lt"/>
              <a:ea typeface="+mn-ea"/>
              <a:cs typeface="+mn-cs"/>
            </a:endParaRPr>
          </a:p>
        </xdr:txBody>
      </xdr:sp>
      <xdr:graphicFrame macro="">
        <xdr:nvGraphicFramePr>
          <xdr:cNvPr id="26" name="Chart 25">
            <a:extLst>
              <a:ext uri="{FF2B5EF4-FFF2-40B4-BE49-F238E27FC236}">
                <a16:creationId xmlns:a16="http://schemas.microsoft.com/office/drawing/2014/main" id="{F118E1B8-B9FF-4A2B-A75D-D64F9309AAE3}"/>
              </a:ext>
            </a:extLst>
          </xdr:cNvPr>
          <xdr:cNvGraphicFramePr>
            <a:graphicFrameLocks/>
          </xdr:cNvGraphicFramePr>
        </xdr:nvGraphicFramePr>
        <xdr:xfrm>
          <a:off x="14649274" y="4708170"/>
          <a:ext cx="3162394" cy="3472892"/>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editAs="oneCell">
    <xdr:from>
      <xdr:col>28</xdr:col>
      <xdr:colOff>222097</xdr:colOff>
      <xdr:row>13</xdr:row>
      <xdr:rowOff>91533</xdr:rowOff>
    </xdr:from>
    <xdr:to>
      <xdr:col>31</xdr:col>
      <xdr:colOff>114928</xdr:colOff>
      <xdr:row>25</xdr:row>
      <xdr:rowOff>130478</xdr:rowOff>
    </xdr:to>
    <mc:AlternateContent xmlns:mc="http://schemas.openxmlformats.org/markup-compatibility/2006" xmlns:a14="http://schemas.microsoft.com/office/drawing/2010/main">
      <mc:Choice Requires="a14">
        <xdr:graphicFrame macro="">
          <xdr:nvGraphicFramePr>
            <xdr:cNvPr id="38" name="Store_Name">
              <a:extLst>
                <a:ext uri="{FF2B5EF4-FFF2-40B4-BE49-F238E27FC236}">
                  <a16:creationId xmlns:a16="http://schemas.microsoft.com/office/drawing/2014/main" id="{3748ECFE-8828-4CD4-95C1-23FC990DE215}"/>
                </a:ext>
              </a:extLst>
            </xdr:cNvPr>
            <xdr:cNvGraphicFramePr/>
          </xdr:nvGraphicFramePr>
          <xdr:xfrm>
            <a:off x="0" y="0"/>
            <a:ext cx="0" cy="0"/>
          </xdr:xfrm>
          <a:graphic>
            <a:graphicData uri="http://schemas.microsoft.com/office/drawing/2010/slicer">
              <sle:slicer xmlns:sle="http://schemas.microsoft.com/office/drawing/2010/slicer" name="Store_Name"/>
            </a:graphicData>
          </a:graphic>
        </xdr:graphicFrame>
      </mc:Choice>
      <mc:Fallback xmlns="">
        <xdr:sp macro="" textlink="">
          <xdr:nvSpPr>
            <xdr:cNvPr id="0" name=""/>
            <xdr:cNvSpPr>
              <a:spLocks noTextEdit="1"/>
            </xdr:cNvSpPr>
          </xdr:nvSpPr>
          <xdr:spPr>
            <a:xfrm>
              <a:off x="18306549" y="2211825"/>
              <a:ext cx="1830452" cy="1996137"/>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234863</xdr:colOff>
      <xdr:row>37</xdr:row>
      <xdr:rowOff>110906</xdr:rowOff>
    </xdr:from>
    <xdr:to>
      <xdr:col>31</xdr:col>
      <xdr:colOff>127694</xdr:colOff>
      <xdr:row>49</xdr:row>
      <xdr:rowOff>130479</xdr:rowOff>
    </xdr:to>
    <mc:AlternateContent xmlns:mc="http://schemas.openxmlformats.org/markup-compatibility/2006" xmlns:a14="http://schemas.microsoft.com/office/drawing/2010/main">
      <mc:Choice Requires="a14">
        <xdr:graphicFrame macro="">
          <xdr:nvGraphicFramePr>
            <xdr:cNvPr id="39" name="Category">
              <a:extLst>
                <a:ext uri="{FF2B5EF4-FFF2-40B4-BE49-F238E27FC236}">
                  <a16:creationId xmlns:a16="http://schemas.microsoft.com/office/drawing/2014/main" id="{64FB4733-6C91-427C-AE6B-7F2EA2D491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8319315" y="6145581"/>
              <a:ext cx="1830452" cy="1976765"/>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580633</xdr:colOff>
      <xdr:row>0</xdr:row>
      <xdr:rowOff>0</xdr:rowOff>
    </xdr:from>
    <xdr:to>
      <xdr:col>28</xdr:col>
      <xdr:colOff>19572</xdr:colOff>
      <xdr:row>29</xdr:row>
      <xdr:rowOff>26458</xdr:rowOff>
    </xdr:to>
    <xdr:sp macro="" textlink="">
      <xdr:nvSpPr>
        <xdr:cNvPr id="40" name="Rectangle 39">
          <a:extLst>
            <a:ext uri="{FF2B5EF4-FFF2-40B4-BE49-F238E27FC236}">
              <a16:creationId xmlns:a16="http://schemas.microsoft.com/office/drawing/2014/main" id="{4F17FAA7-5E0F-4A01-873C-E974863D00FD}"/>
            </a:ext>
          </a:extLst>
        </xdr:cNvPr>
        <xdr:cNvSpPr/>
      </xdr:nvSpPr>
      <xdr:spPr>
        <a:xfrm>
          <a:off x="16138133" y="0"/>
          <a:ext cx="2031856" cy="4630208"/>
        </a:xfrm>
        <a:prstGeom prst="rect">
          <a:avLst/>
        </a:prstGeom>
        <a:solidFill>
          <a:srgbClr val="7E542A"/>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lt"/>
            <a:ea typeface="+mn-ea"/>
            <a:cs typeface="+mn-cs"/>
          </a:endParaRPr>
        </a:p>
      </xdr:txBody>
    </xdr:sp>
    <xdr:clientData/>
  </xdr:twoCellAnchor>
  <xdr:twoCellAnchor editAs="oneCell">
    <xdr:from>
      <xdr:col>25</xdr:col>
      <xdr:colOff>29434</xdr:colOff>
      <xdr:row>0</xdr:row>
      <xdr:rowOff>68671</xdr:rowOff>
    </xdr:from>
    <xdr:to>
      <xdr:col>27</xdr:col>
      <xdr:colOff>609786</xdr:colOff>
      <xdr:row>21</xdr:row>
      <xdr:rowOff>26458</xdr:rowOff>
    </xdr:to>
    <mc:AlternateContent xmlns:mc="http://schemas.openxmlformats.org/markup-compatibility/2006">
      <mc:Choice xmlns:a14="http://schemas.microsoft.com/office/drawing/2010/main" Requires="a14">
        <xdr:graphicFrame macro="">
          <xdr:nvGraphicFramePr>
            <xdr:cNvPr id="36" name="Month">
              <a:extLst>
                <a:ext uri="{FF2B5EF4-FFF2-40B4-BE49-F238E27FC236}">
                  <a16:creationId xmlns:a16="http://schemas.microsoft.com/office/drawing/2014/main" id="{6D5661E6-2B81-4975-B9A0-8B7A4A706C6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6235163" y="68671"/>
              <a:ext cx="1876811" cy="3291537"/>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221814</xdr:colOff>
      <xdr:row>26</xdr:row>
      <xdr:rowOff>52192</xdr:rowOff>
    </xdr:from>
    <xdr:to>
      <xdr:col>31</xdr:col>
      <xdr:colOff>112993</xdr:colOff>
      <xdr:row>36</xdr:row>
      <xdr:rowOff>150051</xdr:rowOff>
    </xdr:to>
    <mc:AlternateContent xmlns:mc="http://schemas.openxmlformats.org/markup-compatibility/2006" xmlns:a14="http://schemas.microsoft.com/office/drawing/2010/main">
      <mc:Choice Requires="a14">
        <xdr:graphicFrame macro="">
          <xdr:nvGraphicFramePr>
            <xdr:cNvPr id="41" name="Payment_Mode">
              <a:extLst>
                <a:ext uri="{FF2B5EF4-FFF2-40B4-BE49-F238E27FC236}">
                  <a16:creationId xmlns:a16="http://schemas.microsoft.com/office/drawing/2014/main" id="{3CCC0BA4-13BE-405C-B5DE-48D44BF5319B}"/>
                </a:ext>
              </a:extLst>
            </xdr:cNvPr>
            <xdr:cNvGraphicFramePr/>
          </xdr:nvGraphicFramePr>
          <xdr:xfrm>
            <a:off x="0" y="0"/>
            <a:ext cx="0" cy="0"/>
          </xdr:xfrm>
          <a:graphic>
            <a:graphicData uri="http://schemas.microsoft.com/office/drawing/2010/slicer">
              <sle:slicer xmlns:sle="http://schemas.microsoft.com/office/drawing/2010/slicer" name="Payment_Mode"/>
            </a:graphicData>
          </a:graphic>
        </xdr:graphicFrame>
      </mc:Choice>
      <mc:Fallback xmlns="">
        <xdr:sp macro="" textlink="">
          <xdr:nvSpPr>
            <xdr:cNvPr id="0" name=""/>
            <xdr:cNvSpPr>
              <a:spLocks noTextEdit="1"/>
            </xdr:cNvSpPr>
          </xdr:nvSpPr>
          <xdr:spPr>
            <a:xfrm>
              <a:off x="18306266" y="4292774"/>
              <a:ext cx="1828800" cy="1728852"/>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13047</xdr:colOff>
      <xdr:row>21</xdr:row>
      <xdr:rowOff>79375</xdr:rowOff>
    </xdr:from>
    <xdr:to>
      <xdr:col>27</xdr:col>
      <xdr:colOff>621770</xdr:colOff>
      <xdr:row>28</xdr:row>
      <xdr:rowOff>104383</xdr:rowOff>
    </xdr:to>
    <mc:AlternateContent xmlns:mc="http://schemas.openxmlformats.org/markup-compatibility/2006" xmlns:a14="http://schemas.microsoft.com/office/drawing/2010/main">
      <mc:Choice Requires="a14">
        <xdr:graphicFrame macro="">
          <xdr:nvGraphicFramePr>
            <xdr:cNvPr id="42" name="Customer_Type">
              <a:extLst>
                <a:ext uri="{FF2B5EF4-FFF2-40B4-BE49-F238E27FC236}">
                  <a16:creationId xmlns:a16="http://schemas.microsoft.com/office/drawing/2014/main" id="{3E8B177D-5877-43B5-9FD5-2AF077511C76}"/>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16159881" y="3483801"/>
              <a:ext cx="1852809" cy="1187363"/>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77645</xdr:colOff>
      <xdr:row>5</xdr:row>
      <xdr:rowOff>110907</xdr:rowOff>
    </xdr:from>
    <xdr:to>
      <xdr:col>8</xdr:col>
      <xdr:colOff>208767</xdr:colOff>
      <xdr:row>12</xdr:row>
      <xdr:rowOff>19572</xdr:rowOff>
    </xdr:to>
    <xdr:grpSp>
      <xdr:nvGrpSpPr>
        <xdr:cNvPr id="73" name="Group 72">
          <a:extLst>
            <a:ext uri="{FF2B5EF4-FFF2-40B4-BE49-F238E27FC236}">
              <a16:creationId xmlns:a16="http://schemas.microsoft.com/office/drawing/2014/main" id="{C44769AF-D4B6-1531-6A6B-FC3B55FDB63B}"/>
            </a:ext>
          </a:extLst>
        </xdr:cNvPr>
        <xdr:cNvGrpSpPr/>
      </xdr:nvGrpSpPr>
      <xdr:grpSpPr>
        <a:xfrm>
          <a:off x="77645" y="904657"/>
          <a:ext cx="5316955" cy="1019915"/>
          <a:chOff x="2230555" y="919880"/>
          <a:chExt cx="5298108" cy="1050360"/>
        </a:xfrm>
        <a:solidFill>
          <a:srgbClr val="FBFAF7"/>
        </a:solidFill>
      </xdr:grpSpPr>
      <xdr:sp macro="" textlink="">
        <xdr:nvSpPr>
          <xdr:cNvPr id="6" name="Rectangle 5">
            <a:extLst>
              <a:ext uri="{FF2B5EF4-FFF2-40B4-BE49-F238E27FC236}">
                <a16:creationId xmlns:a16="http://schemas.microsoft.com/office/drawing/2014/main" id="{57D8117C-6682-42CC-B251-68607800F135}"/>
              </a:ext>
            </a:extLst>
          </xdr:cNvPr>
          <xdr:cNvSpPr/>
        </xdr:nvSpPr>
        <xdr:spPr>
          <a:xfrm>
            <a:off x="4951695" y="945976"/>
            <a:ext cx="2576968" cy="1010792"/>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Total Profit</a:t>
            </a:r>
            <a:endParaRPr kumimoji="1" lang="ja-JP" altLang="en-US" sz="1800" b="1" baseline="0">
              <a:solidFill>
                <a:srgbClr val="3F2414"/>
              </a:solidFill>
              <a:latin typeface="+mn-lt"/>
              <a:ea typeface="+mn-ea"/>
              <a:cs typeface="+mn-cs"/>
            </a:endParaRPr>
          </a:p>
        </xdr:txBody>
      </xdr:sp>
      <xdr:sp macro="" textlink="Sheet2!A30">
        <xdr:nvSpPr>
          <xdr:cNvPr id="28" name="Rectangle 27">
            <a:extLst>
              <a:ext uri="{FF2B5EF4-FFF2-40B4-BE49-F238E27FC236}">
                <a16:creationId xmlns:a16="http://schemas.microsoft.com/office/drawing/2014/main" id="{B662D9DC-BF70-485E-8CC9-A86678B705A3}"/>
              </a:ext>
            </a:extLst>
          </xdr:cNvPr>
          <xdr:cNvSpPr/>
        </xdr:nvSpPr>
        <xdr:spPr>
          <a:xfrm>
            <a:off x="5138160" y="1270708"/>
            <a:ext cx="1403367"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23424AB-D6C6-47AB-8302-1AFA33215067}" type="TxLink">
              <a:rPr kumimoji="1" lang="en-US" altLang="en-US" sz="1800" b="1" i="0" u="none" strike="noStrike">
                <a:solidFill>
                  <a:srgbClr val="000000"/>
                </a:solidFill>
                <a:latin typeface="ＭＳ Ｐゴシック"/>
                <a:ea typeface="ＭＳ Ｐゴシック"/>
                <a:cs typeface="+mn-cs"/>
              </a:rPr>
              <a:pPr marL="0" indent="0" algn="ctr"/>
              <a:t>₹ 251,383.66</a:t>
            </a:fld>
            <a:endParaRPr kumimoji="1" lang="ja-JP" altLang="en-US" sz="1800" b="1" i="0" u="none" strike="noStrike">
              <a:solidFill>
                <a:srgbClr val="000000"/>
              </a:solidFill>
              <a:latin typeface="ＭＳ Ｐゴシック"/>
              <a:ea typeface="ＭＳ Ｐゴシック"/>
              <a:cs typeface="+mn-cs"/>
            </a:endParaRPr>
          </a:p>
        </xdr:txBody>
      </xdr:sp>
      <xdr:grpSp>
        <xdr:nvGrpSpPr>
          <xdr:cNvPr id="72" name="Group 71">
            <a:extLst>
              <a:ext uri="{FF2B5EF4-FFF2-40B4-BE49-F238E27FC236}">
                <a16:creationId xmlns:a16="http://schemas.microsoft.com/office/drawing/2014/main" id="{D437E525-869F-8DB6-F762-9CC014EECE99}"/>
              </a:ext>
            </a:extLst>
          </xdr:cNvPr>
          <xdr:cNvGrpSpPr/>
        </xdr:nvGrpSpPr>
        <xdr:grpSpPr>
          <a:xfrm>
            <a:off x="2230555" y="919880"/>
            <a:ext cx="2623281" cy="1050360"/>
            <a:chOff x="2230555" y="919880"/>
            <a:chExt cx="2623281" cy="1050360"/>
          </a:xfrm>
          <a:grpFill/>
        </xdr:grpSpPr>
        <xdr:sp macro="" textlink="">
          <xdr:nvSpPr>
            <xdr:cNvPr id="5" name="Rectangle 4">
              <a:extLst>
                <a:ext uri="{FF2B5EF4-FFF2-40B4-BE49-F238E27FC236}">
                  <a16:creationId xmlns:a16="http://schemas.microsoft.com/office/drawing/2014/main" id="{E365A09F-1954-4888-837F-B88BA1DE3BF2}"/>
                </a:ext>
              </a:extLst>
            </xdr:cNvPr>
            <xdr:cNvSpPr/>
          </xdr:nvSpPr>
          <xdr:spPr>
            <a:xfrm>
              <a:off x="2230555" y="919880"/>
              <a:ext cx="2623281" cy="1050360"/>
            </a:xfrm>
            <a:prstGeom prst="rect">
              <a:avLst/>
            </a:prstGeom>
            <a:solidFill>
              <a:srgbClr val="FBFAF7"/>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Total Sales</a:t>
              </a:r>
            </a:p>
            <a:p>
              <a:pPr marL="0" indent="0" algn="l"/>
              <a:endParaRPr kumimoji="1" lang="en-US" altLang="ja-JP" sz="1100" b="1" baseline="0">
                <a:solidFill>
                  <a:srgbClr val="1F2937"/>
                </a:solidFill>
                <a:latin typeface="+mn-lt"/>
                <a:ea typeface="+mn-ea"/>
                <a:cs typeface="+mn-cs"/>
              </a:endParaRPr>
            </a:p>
            <a:p>
              <a:pPr marL="0" indent="0" algn="l"/>
              <a:endParaRPr kumimoji="1" lang="en-US" altLang="ja-JP" sz="1100" b="1" baseline="0">
                <a:solidFill>
                  <a:srgbClr val="1F2937"/>
                </a:solidFill>
                <a:latin typeface="+mn-lt"/>
                <a:ea typeface="+mn-ea"/>
                <a:cs typeface="+mn-cs"/>
              </a:endParaRPr>
            </a:p>
            <a:p>
              <a:pPr marL="0" indent="0" algn="l"/>
              <a:endParaRPr kumimoji="1" lang="en-US" altLang="ja-JP" sz="1100" b="1" baseline="0">
                <a:solidFill>
                  <a:srgbClr val="1F2937"/>
                </a:solidFill>
                <a:latin typeface="+mn-lt"/>
                <a:ea typeface="+mn-ea"/>
                <a:cs typeface="+mn-cs"/>
              </a:endParaRPr>
            </a:p>
            <a:p>
              <a:pPr marL="0" indent="0" algn="l"/>
              <a:endParaRPr kumimoji="1" lang="ja-JP" altLang="en-US" sz="1100" b="1">
                <a:solidFill>
                  <a:srgbClr val="1F2937"/>
                </a:solidFill>
                <a:latin typeface="+mn-lt"/>
                <a:ea typeface="+mn-ea"/>
                <a:cs typeface="+mn-cs"/>
              </a:endParaRPr>
            </a:p>
          </xdr:txBody>
        </xdr:sp>
        <xdr:sp macro="" textlink="Sheet2!A27">
          <xdr:nvSpPr>
            <xdr:cNvPr id="27" name="Rectangle 26">
              <a:extLst>
                <a:ext uri="{FF2B5EF4-FFF2-40B4-BE49-F238E27FC236}">
                  <a16:creationId xmlns:a16="http://schemas.microsoft.com/office/drawing/2014/main" id="{5A4DD082-0080-C7A6-775E-D10AD455FB20}"/>
                </a:ext>
              </a:extLst>
            </xdr:cNvPr>
            <xdr:cNvSpPr/>
          </xdr:nvSpPr>
          <xdr:spPr>
            <a:xfrm>
              <a:off x="2313565" y="1210402"/>
              <a:ext cx="1403367"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4B84347-4334-43C2-A14F-2FCF82980855}" type="TxLink">
                <a:rPr kumimoji="1" lang="en-US" altLang="en-US" sz="1800" b="1" i="0" u="none" strike="noStrike">
                  <a:solidFill>
                    <a:srgbClr val="000000"/>
                  </a:solidFill>
                  <a:latin typeface="ＭＳ Ｐゴシック"/>
                  <a:ea typeface="ＭＳ Ｐゴシック"/>
                </a:rPr>
                <a:pPr algn="ctr"/>
                <a:t>₹ 472,936.56</a:t>
              </a:fld>
              <a:endParaRPr kumimoji="1" lang="ja-JP" altLang="en-US" sz="1800" b="1"/>
            </a:p>
          </xdr:txBody>
        </xdr:sp>
        <xdr:pic>
          <xdr:nvPicPr>
            <xdr:cNvPr id="53" name="Picture 52">
              <a:extLst>
                <a:ext uri="{FF2B5EF4-FFF2-40B4-BE49-F238E27FC236}">
                  <a16:creationId xmlns:a16="http://schemas.microsoft.com/office/drawing/2014/main" id="{AC69BB8D-FA31-8083-F59A-1E9D0ED7C8E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31713" y="959024"/>
              <a:ext cx="1030786" cy="932929"/>
            </a:xfrm>
            <a:prstGeom prst="rect">
              <a:avLst/>
            </a:prstGeom>
            <a:grpFill/>
          </xdr:spPr>
        </xdr:pic>
      </xdr:grpSp>
      <xdr:pic>
        <xdr:nvPicPr>
          <xdr:cNvPr id="55" name="Picture 54">
            <a:extLst>
              <a:ext uri="{FF2B5EF4-FFF2-40B4-BE49-F238E27FC236}">
                <a16:creationId xmlns:a16="http://schemas.microsoft.com/office/drawing/2014/main" id="{3B2835AC-113A-6172-1E24-6E8C35EF82A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700122" y="1115601"/>
            <a:ext cx="802448" cy="802448"/>
          </a:xfrm>
          <a:prstGeom prst="rect">
            <a:avLst/>
          </a:prstGeom>
          <a:grpFill/>
        </xdr:spPr>
      </xdr:pic>
    </xdr:grpSp>
    <xdr:clientData/>
  </xdr:twoCellAnchor>
  <xdr:twoCellAnchor>
    <xdr:from>
      <xdr:col>8</xdr:col>
      <xdr:colOff>351900</xdr:colOff>
      <xdr:row>5</xdr:row>
      <xdr:rowOff>145683</xdr:rowOff>
    </xdr:from>
    <xdr:to>
      <xdr:col>12</xdr:col>
      <xdr:colOff>195720</xdr:colOff>
      <xdr:row>11</xdr:row>
      <xdr:rowOff>145683</xdr:rowOff>
    </xdr:to>
    <xdr:grpSp>
      <xdr:nvGrpSpPr>
        <xdr:cNvPr id="74" name="Group 73">
          <a:extLst>
            <a:ext uri="{FF2B5EF4-FFF2-40B4-BE49-F238E27FC236}">
              <a16:creationId xmlns:a16="http://schemas.microsoft.com/office/drawing/2014/main" id="{53F37C88-E2B1-2A40-B98F-8600DC69BBE9}"/>
            </a:ext>
          </a:extLst>
        </xdr:cNvPr>
        <xdr:cNvGrpSpPr/>
      </xdr:nvGrpSpPr>
      <xdr:grpSpPr>
        <a:xfrm>
          <a:off x="5537733" y="939433"/>
          <a:ext cx="2436737" cy="952500"/>
          <a:chOff x="7645701" y="987276"/>
          <a:chExt cx="2427313" cy="978596"/>
        </a:xfrm>
        <a:solidFill>
          <a:srgbClr val="FBFAF7"/>
        </a:solidFill>
      </xdr:grpSpPr>
      <xdr:sp macro="" textlink="">
        <xdr:nvSpPr>
          <xdr:cNvPr id="7" name="Rectangle 6">
            <a:extLst>
              <a:ext uri="{FF2B5EF4-FFF2-40B4-BE49-F238E27FC236}">
                <a16:creationId xmlns:a16="http://schemas.microsoft.com/office/drawing/2014/main" id="{C516A7F8-FB49-4564-AE15-ED8D3EDDF888}"/>
              </a:ext>
            </a:extLst>
          </xdr:cNvPr>
          <xdr:cNvSpPr/>
        </xdr:nvSpPr>
        <xdr:spPr>
          <a:xfrm>
            <a:off x="7645701" y="987276"/>
            <a:ext cx="2427313" cy="978596"/>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600" b="1">
                <a:solidFill>
                  <a:srgbClr val="3F2414"/>
                </a:solidFill>
                <a:latin typeface="+mn-lt"/>
                <a:ea typeface="+mn-ea"/>
                <a:cs typeface="+mn-cs"/>
              </a:rPr>
              <a:t>Total </a:t>
            </a:r>
            <a:r>
              <a:rPr kumimoji="1" lang="en-US" altLang="ja-JP" sz="1800" b="1" baseline="0">
                <a:solidFill>
                  <a:srgbClr val="3F2414"/>
                </a:solidFill>
                <a:latin typeface="+mn-lt"/>
                <a:ea typeface="+mn-ea"/>
                <a:cs typeface="+mn-cs"/>
              </a:rPr>
              <a:t>Orders</a:t>
            </a:r>
            <a:endParaRPr kumimoji="1" lang="ja-JP" altLang="en-US" sz="1800" b="1" baseline="0">
              <a:solidFill>
                <a:srgbClr val="3F2414"/>
              </a:solidFill>
              <a:latin typeface="+mn-lt"/>
              <a:ea typeface="+mn-ea"/>
              <a:cs typeface="+mn-cs"/>
            </a:endParaRPr>
          </a:p>
        </xdr:txBody>
      </xdr:sp>
      <xdr:sp macro="" textlink="Sheet2!A33">
        <xdr:nvSpPr>
          <xdr:cNvPr id="29" name="Rectangle 28">
            <a:extLst>
              <a:ext uri="{FF2B5EF4-FFF2-40B4-BE49-F238E27FC236}">
                <a16:creationId xmlns:a16="http://schemas.microsoft.com/office/drawing/2014/main" id="{A2221D43-0194-49B0-8B1F-2359F1F9CA06}"/>
              </a:ext>
            </a:extLst>
          </xdr:cNvPr>
          <xdr:cNvSpPr/>
        </xdr:nvSpPr>
        <xdr:spPr>
          <a:xfrm>
            <a:off x="7695374" y="1276958"/>
            <a:ext cx="1403368"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A16DEF-2587-415A-B3BA-6FA4C0A89765}" type="TxLink">
              <a:rPr kumimoji="1" lang="en-US" altLang="en-US" sz="2400" b="1" i="0" u="none" strike="noStrike">
                <a:solidFill>
                  <a:srgbClr val="000000"/>
                </a:solidFill>
                <a:latin typeface="ＭＳ Ｐゴシック"/>
                <a:ea typeface="ＭＳ Ｐゴシック"/>
              </a:rPr>
              <a:pPr algn="ctr"/>
              <a:t>980</a:t>
            </a:fld>
            <a:endParaRPr kumimoji="1" lang="ja-JP" altLang="en-US" sz="2400" b="1"/>
          </a:p>
        </xdr:txBody>
      </xdr:sp>
      <xdr:pic>
        <xdr:nvPicPr>
          <xdr:cNvPr id="65" name="Picture 64">
            <a:extLst>
              <a:ext uri="{FF2B5EF4-FFF2-40B4-BE49-F238E27FC236}">
                <a16:creationId xmlns:a16="http://schemas.microsoft.com/office/drawing/2014/main" id="{AA3CBC4C-DDA1-D921-50BB-AB939BEF1C5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120514" y="1063409"/>
            <a:ext cx="905678" cy="841591"/>
          </a:xfrm>
          <a:prstGeom prst="rect">
            <a:avLst/>
          </a:prstGeom>
          <a:grpFill/>
          <a:ln>
            <a:noFill/>
          </a:ln>
        </xdr:spPr>
      </xdr:pic>
    </xdr:grpSp>
    <xdr:clientData/>
  </xdr:twoCellAnchor>
  <xdr:twoCellAnchor>
    <xdr:from>
      <xdr:col>12</xdr:col>
      <xdr:colOff>345771</xdr:colOff>
      <xdr:row>5</xdr:row>
      <xdr:rowOff>123753</xdr:rowOff>
    </xdr:from>
    <xdr:to>
      <xdr:col>16</xdr:col>
      <xdr:colOff>417533</xdr:colOff>
      <xdr:row>12</xdr:row>
      <xdr:rowOff>5303</xdr:rowOff>
    </xdr:to>
    <xdr:grpSp>
      <xdr:nvGrpSpPr>
        <xdr:cNvPr id="75" name="Group 74">
          <a:extLst>
            <a:ext uri="{FF2B5EF4-FFF2-40B4-BE49-F238E27FC236}">
              <a16:creationId xmlns:a16="http://schemas.microsoft.com/office/drawing/2014/main" id="{935BB073-7CB6-1750-88DD-7884C63EB37B}"/>
            </a:ext>
          </a:extLst>
        </xdr:cNvPr>
        <xdr:cNvGrpSpPr/>
      </xdr:nvGrpSpPr>
      <xdr:grpSpPr>
        <a:xfrm>
          <a:off x="8124521" y="917503"/>
          <a:ext cx="2664679" cy="992800"/>
          <a:chOff x="10190446" y="971869"/>
          <a:chExt cx="2655256" cy="1023245"/>
        </a:xfrm>
        <a:solidFill>
          <a:srgbClr val="FBFAF7"/>
        </a:solidFill>
      </xdr:grpSpPr>
      <xdr:sp macro="" textlink="">
        <xdr:nvSpPr>
          <xdr:cNvPr id="10" name="Rectangle 9">
            <a:extLst>
              <a:ext uri="{FF2B5EF4-FFF2-40B4-BE49-F238E27FC236}">
                <a16:creationId xmlns:a16="http://schemas.microsoft.com/office/drawing/2014/main" id="{6F3F82B9-4D55-4143-A6BD-24670F733278}"/>
              </a:ext>
            </a:extLst>
          </xdr:cNvPr>
          <xdr:cNvSpPr/>
        </xdr:nvSpPr>
        <xdr:spPr>
          <a:xfrm>
            <a:off x="10190446" y="971869"/>
            <a:ext cx="2655256" cy="1023245"/>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Average</a:t>
            </a:r>
            <a:r>
              <a:rPr kumimoji="1" lang="en-US" altLang="ja-JP" sz="1600" b="1">
                <a:solidFill>
                  <a:srgbClr val="1F2937"/>
                </a:solidFill>
                <a:latin typeface="+mn-lt"/>
                <a:ea typeface="+mn-ea"/>
                <a:cs typeface="+mn-cs"/>
              </a:rPr>
              <a:t> Order Value</a:t>
            </a:r>
          </a:p>
        </xdr:txBody>
      </xdr:sp>
      <xdr:sp macro="" textlink="Sheet2!A21">
        <xdr:nvSpPr>
          <xdr:cNvPr id="33" name="Rectangle 32">
            <a:extLst>
              <a:ext uri="{FF2B5EF4-FFF2-40B4-BE49-F238E27FC236}">
                <a16:creationId xmlns:a16="http://schemas.microsoft.com/office/drawing/2014/main" id="{8C65CF47-AD19-4A3C-890D-F6060744F32A}"/>
              </a:ext>
            </a:extLst>
          </xdr:cNvPr>
          <xdr:cNvSpPr/>
        </xdr:nvSpPr>
        <xdr:spPr>
          <a:xfrm>
            <a:off x="10258139" y="1313915"/>
            <a:ext cx="1403368"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480BEAF-D22C-4B40-943B-F6E6B509598E}" type="TxLink">
              <a:rPr kumimoji="1" lang="en-US" altLang="en-US" sz="1800" b="1" i="0" u="none" strike="noStrike">
                <a:solidFill>
                  <a:srgbClr val="000000"/>
                </a:solidFill>
                <a:latin typeface="ＭＳ Ｐゴシック"/>
                <a:ea typeface="ＭＳ Ｐゴシック"/>
              </a:rPr>
              <a:pPr algn="ctr"/>
              <a:t>₹ 482.59</a:t>
            </a:fld>
            <a:endParaRPr kumimoji="1" lang="ja-JP" altLang="en-US" sz="1800" b="1"/>
          </a:p>
        </xdr:txBody>
      </xdr:sp>
      <xdr:pic>
        <xdr:nvPicPr>
          <xdr:cNvPr id="67" name="Picture 66">
            <a:extLst>
              <a:ext uri="{FF2B5EF4-FFF2-40B4-BE49-F238E27FC236}">
                <a16:creationId xmlns:a16="http://schemas.microsoft.com/office/drawing/2014/main" id="{0D3EBF40-9BC1-3E82-7D36-B5380DDA263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749675" y="1246079"/>
            <a:ext cx="1056883" cy="711112"/>
          </a:xfrm>
          <a:prstGeom prst="rect">
            <a:avLst/>
          </a:prstGeom>
          <a:grpFill/>
        </xdr:spPr>
      </xdr:pic>
    </xdr:grpSp>
    <xdr:clientData/>
  </xdr:twoCellAnchor>
  <xdr:twoCellAnchor>
    <xdr:from>
      <xdr:col>20</xdr:col>
      <xdr:colOff>626301</xdr:colOff>
      <xdr:row>5</xdr:row>
      <xdr:rowOff>114773</xdr:rowOff>
    </xdr:from>
    <xdr:to>
      <xdr:col>24</xdr:col>
      <xdr:colOff>424057</xdr:colOff>
      <xdr:row>11</xdr:row>
      <xdr:rowOff>156574</xdr:rowOff>
    </xdr:to>
    <xdr:grpSp>
      <xdr:nvGrpSpPr>
        <xdr:cNvPr id="77" name="Group 76">
          <a:extLst>
            <a:ext uri="{FF2B5EF4-FFF2-40B4-BE49-F238E27FC236}">
              <a16:creationId xmlns:a16="http://schemas.microsoft.com/office/drawing/2014/main" id="{63B7C3E4-78A1-E8CA-CF9A-03CC243F98A4}"/>
            </a:ext>
          </a:extLst>
        </xdr:cNvPr>
        <xdr:cNvGrpSpPr/>
      </xdr:nvGrpSpPr>
      <xdr:grpSpPr>
        <a:xfrm>
          <a:off x="13590884" y="908523"/>
          <a:ext cx="2390673" cy="994301"/>
          <a:chOff x="15690154" y="956366"/>
          <a:chExt cx="2381249" cy="978596"/>
        </a:xfrm>
      </xdr:grpSpPr>
      <xdr:sp macro="" textlink="">
        <xdr:nvSpPr>
          <xdr:cNvPr id="8" name="Rectangle 7">
            <a:extLst>
              <a:ext uri="{FF2B5EF4-FFF2-40B4-BE49-F238E27FC236}">
                <a16:creationId xmlns:a16="http://schemas.microsoft.com/office/drawing/2014/main" id="{26C0F497-B1F5-486B-BADE-2CA2D39AA7AE}"/>
              </a:ext>
            </a:extLst>
          </xdr:cNvPr>
          <xdr:cNvSpPr/>
        </xdr:nvSpPr>
        <xdr:spPr>
          <a:xfrm>
            <a:off x="15690154" y="956366"/>
            <a:ext cx="2381249" cy="978596"/>
          </a:xfrm>
          <a:prstGeom prst="rect">
            <a:avLst/>
          </a:prstGeom>
          <a:solidFill>
            <a:srgbClr val="FFFFFF"/>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Profit</a:t>
            </a:r>
            <a:r>
              <a:rPr kumimoji="1" lang="en-US" altLang="ja-JP" sz="1600" b="1">
                <a:solidFill>
                  <a:srgbClr val="3F2414"/>
                </a:solidFill>
                <a:latin typeface="+mn-lt"/>
                <a:ea typeface="+mn-ea"/>
                <a:cs typeface="+mn-cs"/>
              </a:rPr>
              <a:t> Margin %</a:t>
            </a:r>
            <a:endParaRPr kumimoji="1" lang="ja-JP" altLang="en-US" sz="1600" b="1">
              <a:solidFill>
                <a:srgbClr val="3F2414"/>
              </a:solidFill>
              <a:latin typeface="+mn-lt"/>
              <a:ea typeface="+mn-ea"/>
              <a:cs typeface="+mn-cs"/>
            </a:endParaRPr>
          </a:p>
        </xdr:txBody>
      </xdr:sp>
      <xdr:sp macro="" textlink="Sheet2!A24">
        <xdr:nvSpPr>
          <xdr:cNvPr id="35" name="Rectangle 34">
            <a:extLst>
              <a:ext uri="{FF2B5EF4-FFF2-40B4-BE49-F238E27FC236}">
                <a16:creationId xmlns:a16="http://schemas.microsoft.com/office/drawing/2014/main" id="{84F08687-A32F-4C04-AC17-84F2FCE5FD2F}"/>
              </a:ext>
            </a:extLst>
          </xdr:cNvPr>
          <xdr:cNvSpPr/>
        </xdr:nvSpPr>
        <xdr:spPr>
          <a:xfrm>
            <a:off x="15744552" y="1232184"/>
            <a:ext cx="1403369" cy="63751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A6F53-ACF4-4AB3-8B6D-6D997D8C226A}" type="TxLink">
              <a:rPr kumimoji="1" lang="en-US" altLang="en-US" sz="2800" b="1" i="0" u="none" strike="noStrike">
                <a:solidFill>
                  <a:srgbClr val="000000"/>
                </a:solidFill>
                <a:latin typeface="ＭＳ Ｐゴシック"/>
                <a:ea typeface="ＭＳ Ｐゴシック"/>
              </a:rPr>
              <a:pPr algn="ctr"/>
              <a:t>53.15%</a:t>
            </a:fld>
            <a:endParaRPr kumimoji="1" lang="ja-JP" altLang="en-US" sz="2800" b="1"/>
          </a:p>
        </xdr:txBody>
      </xdr:sp>
      <xdr:pic>
        <xdr:nvPicPr>
          <xdr:cNvPr id="71" name="Picture 70">
            <a:extLst>
              <a:ext uri="{FF2B5EF4-FFF2-40B4-BE49-F238E27FC236}">
                <a16:creationId xmlns:a16="http://schemas.microsoft.com/office/drawing/2014/main" id="{6AB7473B-7A61-0ABC-C92F-273101EF161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190669" y="998170"/>
            <a:ext cx="861164" cy="861164"/>
          </a:xfrm>
          <a:prstGeom prst="rect">
            <a:avLst/>
          </a:prstGeom>
        </xdr:spPr>
      </xdr:pic>
    </xdr:grpSp>
    <xdr:clientData/>
  </xdr:twoCellAnchor>
  <xdr:twoCellAnchor>
    <xdr:from>
      <xdr:col>28</xdr:col>
      <xdr:colOff>221815</xdr:colOff>
      <xdr:row>0</xdr:row>
      <xdr:rowOff>150051</xdr:rowOff>
    </xdr:from>
    <xdr:to>
      <xdr:col>31</xdr:col>
      <xdr:colOff>112994</xdr:colOff>
      <xdr:row>12</xdr:row>
      <xdr:rowOff>156575</xdr:rowOff>
    </xdr:to>
    <xdr:grpSp>
      <xdr:nvGrpSpPr>
        <xdr:cNvPr id="31" name="Group 30">
          <a:extLst>
            <a:ext uri="{FF2B5EF4-FFF2-40B4-BE49-F238E27FC236}">
              <a16:creationId xmlns:a16="http://schemas.microsoft.com/office/drawing/2014/main" id="{F3CD09D3-E14D-3E13-A66F-C51FF8088AA9}"/>
            </a:ext>
          </a:extLst>
        </xdr:cNvPr>
        <xdr:cNvGrpSpPr/>
      </xdr:nvGrpSpPr>
      <xdr:grpSpPr>
        <a:xfrm>
          <a:off x="18372232" y="150051"/>
          <a:ext cx="1835866" cy="1911524"/>
          <a:chOff x="18306267" y="130479"/>
          <a:chExt cx="1828800" cy="1937620"/>
        </a:xfrm>
      </xdr:grpSpPr>
      <mc:AlternateContent xmlns:mc="http://schemas.openxmlformats.org/markup-compatibility/2006" xmlns:a14="http://schemas.microsoft.com/office/drawing/2010/main">
        <mc:Choice Requires="a14">
          <xdr:graphicFrame macro="">
            <xdr:nvGraphicFramePr>
              <xdr:cNvPr id="30" name="City">
                <a:extLst>
                  <a:ext uri="{FF2B5EF4-FFF2-40B4-BE49-F238E27FC236}">
                    <a16:creationId xmlns:a16="http://schemas.microsoft.com/office/drawing/2014/main" id="{4DE957AA-0D1C-41E1-86AC-8EAD9472CE63}"/>
                  </a:ext>
                </a:extLst>
              </xdr:cNvPr>
              <xdr:cNvGraphicFramePr/>
            </xdr:nvGraphicFramePr>
            <xdr:xfrm>
              <a:off x="18306267" y="130479"/>
              <a:ext cx="1828800" cy="193762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8306267" y="150051"/>
                <a:ext cx="1828800" cy="1963716"/>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6" name="Rectangle 15">
            <a:extLst>
              <a:ext uri="{FF2B5EF4-FFF2-40B4-BE49-F238E27FC236}">
                <a16:creationId xmlns:a16="http://schemas.microsoft.com/office/drawing/2014/main" id="{E7EE1414-820F-3273-635D-88B46DC02F9D}"/>
              </a:ext>
            </a:extLst>
          </xdr:cNvPr>
          <xdr:cNvSpPr/>
        </xdr:nvSpPr>
        <xdr:spPr>
          <a:xfrm>
            <a:off x="18547655" y="1709279"/>
            <a:ext cx="1291746" cy="326199"/>
          </a:xfrm>
          <a:prstGeom prst="rect">
            <a:avLst/>
          </a:prstGeom>
          <a:solidFill>
            <a:srgbClr val="D2A06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800" b="1"/>
              <a:t>CITY</a:t>
            </a:r>
            <a:endParaRPr kumimoji="1" lang="ja-JP" altLang="en-US" sz="1800" b="1"/>
          </a:p>
        </xdr:txBody>
      </xdr:sp>
    </xdr:grpSp>
    <xdr:clientData/>
  </xdr:twoCellAnchor>
  <xdr:twoCellAnchor>
    <xdr:from>
      <xdr:col>28</xdr:col>
      <xdr:colOff>332724</xdr:colOff>
      <xdr:row>23</xdr:row>
      <xdr:rowOff>71763</xdr:rowOff>
    </xdr:from>
    <xdr:to>
      <xdr:col>31</xdr:col>
      <xdr:colOff>19571</xdr:colOff>
      <xdr:row>25</xdr:row>
      <xdr:rowOff>65238</xdr:rowOff>
    </xdr:to>
    <xdr:sp macro="" textlink="">
      <xdr:nvSpPr>
        <xdr:cNvPr id="32" name="Rectangle 31">
          <a:extLst>
            <a:ext uri="{FF2B5EF4-FFF2-40B4-BE49-F238E27FC236}">
              <a16:creationId xmlns:a16="http://schemas.microsoft.com/office/drawing/2014/main" id="{A349EC10-1D60-3512-9274-2FFA09C0EDAE}"/>
            </a:ext>
          </a:extLst>
        </xdr:cNvPr>
        <xdr:cNvSpPr/>
      </xdr:nvSpPr>
      <xdr:spPr>
        <a:xfrm>
          <a:off x="18417176" y="3823048"/>
          <a:ext cx="1624468" cy="319674"/>
        </a:xfrm>
        <a:prstGeom prst="rect">
          <a:avLst/>
        </a:prstGeom>
        <a:solidFill>
          <a:srgbClr val="D2A06B"/>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kumimoji="1" lang="en-US" altLang="ja-JP" sz="1800" b="1">
              <a:solidFill>
                <a:schemeClr val="lt1"/>
              </a:solidFill>
              <a:latin typeface="+mn-lt"/>
              <a:ea typeface="+mn-ea"/>
              <a:cs typeface="+mn-cs"/>
            </a:rPr>
            <a:t>Store Name</a:t>
          </a:r>
          <a:endParaRPr kumimoji="1" lang="ja-JP" altLang="en-US" sz="1800" b="1">
            <a:solidFill>
              <a:schemeClr val="lt1"/>
            </a:solidFill>
            <a:latin typeface="+mn-lt"/>
            <a:ea typeface="+mn-ea"/>
            <a:cs typeface="+mn-cs"/>
          </a:endParaRPr>
        </a:p>
      </xdr:txBody>
    </xdr:sp>
    <xdr:clientData/>
  </xdr:twoCellAnchor>
  <xdr:twoCellAnchor>
    <xdr:from>
      <xdr:col>28</xdr:col>
      <xdr:colOff>339247</xdr:colOff>
      <xdr:row>34</xdr:row>
      <xdr:rowOff>104383</xdr:rowOff>
    </xdr:from>
    <xdr:to>
      <xdr:col>31</xdr:col>
      <xdr:colOff>6523</xdr:colOff>
      <xdr:row>36</xdr:row>
      <xdr:rowOff>117431</xdr:rowOff>
    </xdr:to>
    <xdr:sp macro="" textlink="">
      <xdr:nvSpPr>
        <xdr:cNvPr id="47" name="Rectangle 46">
          <a:extLst>
            <a:ext uri="{FF2B5EF4-FFF2-40B4-BE49-F238E27FC236}">
              <a16:creationId xmlns:a16="http://schemas.microsoft.com/office/drawing/2014/main" id="{35B95FA7-F96D-453A-B56F-BFDB4E5E12D5}"/>
            </a:ext>
          </a:extLst>
        </xdr:cNvPr>
        <xdr:cNvSpPr/>
      </xdr:nvSpPr>
      <xdr:spPr>
        <a:xfrm>
          <a:off x="18423699" y="5649760"/>
          <a:ext cx="1604897" cy="339246"/>
        </a:xfrm>
        <a:prstGeom prst="rect">
          <a:avLst/>
        </a:prstGeom>
        <a:solidFill>
          <a:srgbClr val="D2A06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t>Payment_Mode</a:t>
          </a:r>
          <a:endParaRPr kumimoji="1" lang="ja-JP" altLang="en-US" sz="1600" b="1"/>
        </a:p>
      </xdr:txBody>
    </xdr:sp>
    <xdr:clientData/>
  </xdr:twoCellAnchor>
  <xdr:twoCellAnchor>
    <xdr:from>
      <xdr:col>28</xdr:col>
      <xdr:colOff>534966</xdr:colOff>
      <xdr:row>47</xdr:row>
      <xdr:rowOff>78286</xdr:rowOff>
    </xdr:from>
    <xdr:to>
      <xdr:col>30</xdr:col>
      <xdr:colOff>463203</xdr:colOff>
      <xdr:row>49</xdr:row>
      <xdr:rowOff>97859</xdr:rowOff>
    </xdr:to>
    <xdr:sp macro="" textlink="">
      <xdr:nvSpPr>
        <xdr:cNvPr id="50" name="Rectangle 49">
          <a:extLst>
            <a:ext uri="{FF2B5EF4-FFF2-40B4-BE49-F238E27FC236}">
              <a16:creationId xmlns:a16="http://schemas.microsoft.com/office/drawing/2014/main" id="{9AD1FFC1-B064-4286-8034-66F47A31753B}"/>
            </a:ext>
          </a:extLst>
        </xdr:cNvPr>
        <xdr:cNvSpPr/>
      </xdr:nvSpPr>
      <xdr:spPr>
        <a:xfrm>
          <a:off x="18619418" y="7743954"/>
          <a:ext cx="1219984" cy="345772"/>
        </a:xfrm>
        <a:prstGeom prst="rect">
          <a:avLst/>
        </a:prstGeom>
        <a:solidFill>
          <a:srgbClr val="D2A06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t>Product</a:t>
          </a:r>
        </a:p>
      </xdr:txBody>
    </xdr:sp>
    <xdr:clientData/>
  </xdr:twoCellAnchor>
  <xdr:twoCellAnchor>
    <xdr:from>
      <xdr:col>25</xdr:col>
      <xdr:colOff>104384</xdr:colOff>
      <xdr:row>26</xdr:row>
      <xdr:rowOff>132292</xdr:rowOff>
    </xdr:from>
    <xdr:to>
      <xdr:col>27</xdr:col>
      <xdr:colOff>469726</xdr:colOff>
      <xdr:row>28</xdr:row>
      <xdr:rowOff>83042</xdr:rowOff>
    </xdr:to>
    <xdr:sp macro="" textlink="">
      <xdr:nvSpPr>
        <xdr:cNvPr id="52" name="Rectangle 51">
          <a:extLst>
            <a:ext uri="{FF2B5EF4-FFF2-40B4-BE49-F238E27FC236}">
              <a16:creationId xmlns:a16="http://schemas.microsoft.com/office/drawing/2014/main" id="{15BEFCB6-590B-494B-9514-919DE0186E0D}"/>
            </a:ext>
          </a:extLst>
        </xdr:cNvPr>
        <xdr:cNvSpPr/>
      </xdr:nvSpPr>
      <xdr:spPr>
        <a:xfrm>
          <a:off x="16310113" y="4259792"/>
          <a:ext cx="1661801" cy="268250"/>
        </a:xfrm>
        <a:prstGeom prst="rect">
          <a:avLst/>
        </a:prstGeom>
        <a:solidFill>
          <a:srgbClr val="D2A06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kumimoji="1" lang="en-US" altLang="ja-JP" sz="1800" b="1">
              <a:solidFill>
                <a:schemeClr val="lt1"/>
              </a:solidFill>
              <a:latin typeface="+mn-lt"/>
              <a:ea typeface="+mn-ea"/>
              <a:cs typeface="+mn-cs"/>
            </a:rPr>
            <a:t>Customer TYPE</a:t>
          </a:r>
          <a:endParaRPr kumimoji="1" lang="ja-JP" altLang="en-US" sz="1800" b="1">
            <a:solidFill>
              <a:schemeClr val="lt1"/>
            </a:solidFill>
            <a:latin typeface="+mn-lt"/>
            <a:ea typeface="+mn-ea"/>
            <a:cs typeface="+mn-cs"/>
          </a:endParaRPr>
        </a:p>
      </xdr:txBody>
    </xdr:sp>
    <xdr:clientData/>
  </xdr:twoCellAnchor>
  <xdr:twoCellAnchor>
    <xdr:from>
      <xdr:col>25</xdr:col>
      <xdr:colOff>296916</xdr:colOff>
      <xdr:row>19</xdr:row>
      <xdr:rowOff>59531</xdr:rowOff>
    </xdr:from>
    <xdr:to>
      <xdr:col>27</xdr:col>
      <xdr:colOff>296916</xdr:colOff>
      <xdr:row>20</xdr:row>
      <xdr:rowOff>145555</xdr:rowOff>
    </xdr:to>
    <xdr:sp macro="" textlink="">
      <xdr:nvSpPr>
        <xdr:cNvPr id="54" name="Rectangle 53">
          <a:extLst>
            <a:ext uri="{FF2B5EF4-FFF2-40B4-BE49-F238E27FC236}">
              <a16:creationId xmlns:a16="http://schemas.microsoft.com/office/drawing/2014/main" id="{576AE494-C470-4E88-BFE4-01C12A093BC8}"/>
            </a:ext>
          </a:extLst>
        </xdr:cNvPr>
        <xdr:cNvSpPr/>
      </xdr:nvSpPr>
      <xdr:spPr>
        <a:xfrm>
          <a:off x="16502645" y="3075781"/>
          <a:ext cx="1296459" cy="244774"/>
        </a:xfrm>
        <a:prstGeom prst="rect">
          <a:avLst/>
        </a:prstGeom>
        <a:solidFill>
          <a:srgbClr val="D2A06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kumimoji="1" lang="en-US" altLang="ja-JP" sz="1800" b="1">
              <a:solidFill>
                <a:schemeClr val="lt1"/>
              </a:solidFill>
              <a:latin typeface="+mn-lt"/>
              <a:ea typeface="+mn-ea"/>
              <a:cs typeface="+mn-cs"/>
            </a:rPr>
            <a:t>Month</a:t>
          </a:r>
          <a:endParaRPr kumimoji="1" lang="ja-JP" altLang="en-US" sz="1800" b="1">
            <a:solidFill>
              <a:schemeClr val="lt1"/>
            </a:solidFill>
            <a:latin typeface="+mn-lt"/>
            <a:ea typeface="+mn-ea"/>
            <a:cs typeface="+mn-cs"/>
          </a:endParaRPr>
        </a:p>
      </xdr:txBody>
    </xdr:sp>
    <xdr:clientData/>
  </xdr:twoCellAnchor>
  <xdr:twoCellAnchor>
    <xdr:from>
      <xdr:col>16</xdr:col>
      <xdr:colOff>495823</xdr:colOff>
      <xdr:row>5</xdr:row>
      <xdr:rowOff>117432</xdr:rowOff>
    </xdr:from>
    <xdr:to>
      <xdr:col>20</xdr:col>
      <xdr:colOff>561061</xdr:colOff>
      <xdr:row>11</xdr:row>
      <xdr:rowOff>162081</xdr:rowOff>
    </xdr:to>
    <xdr:grpSp>
      <xdr:nvGrpSpPr>
        <xdr:cNvPr id="59" name="Group 58">
          <a:extLst>
            <a:ext uri="{FF2B5EF4-FFF2-40B4-BE49-F238E27FC236}">
              <a16:creationId xmlns:a16="http://schemas.microsoft.com/office/drawing/2014/main" id="{1282A985-968F-EA3D-5ED1-0281CFC72082}"/>
            </a:ext>
          </a:extLst>
        </xdr:cNvPr>
        <xdr:cNvGrpSpPr/>
      </xdr:nvGrpSpPr>
      <xdr:grpSpPr>
        <a:xfrm>
          <a:off x="10867490" y="911182"/>
          <a:ext cx="2658154" cy="997149"/>
          <a:chOff x="10829796" y="932929"/>
          <a:chExt cx="2648731" cy="1023245"/>
        </a:xfrm>
        <a:solidFill>
          <a:srgbClr val="FBFAF7"/>
        </a:solidFill>
      </xdr:grpSpPr>
      <xdr:grpSp>
        <xdr:nvGrpSpPr>
          <xdr:cNvPr id="56" name="Group 55">
            <a:extLst>
              <a:ext uri="{FF2B5EF4-FFF2-40B4-BE49-F238E27FC236}">
                <a16:creationId xmlns:a16="http://schemas.microsoft.com/office/drawing/2014/main" id="{2448ACFC-D4D6-C8C7-1B7C-5837B2B8DF58}"/>
              </a:ext>
            </a:extLst>
          </xdr:cNvPr>
          <xdr:cNvGrpSpPr/>
        </xdr:nvGrpSpPr>
        <xdr:grpSpPr>
          <a:xfrm>
            <a:off x="10829796" y="932929"/>
            <a:ext cx="2629159" cy="1023245"/>
            <a:chOff x="0" y="0"/>
            <a:chExt cx="2655256" cy="1023245"/>
          </a:xfrm>
          <a:grpFill/>
        </xdr:grpSpPr>
        <xdr:sp macro="" textlink="">
          <xdr:nvSpPr>
            <xdr:cNvPr id="57" name="Rectangle 56">
              <a:extLst>
                <a:ext uri="{FF2B5EF4-FFF2-40B4-BE49-F238E27FC236}">
                  <a16:creationId xmlns:a16="http://schemas.microsoft.com/office/drawing/2014/main" id="{C2CE93C2-1622-5C39-BD32-7C977C6D6A10}"/>
                </a:ext>
              </a:extLst>
            </xdr:cNvPr>
            <xdr:cNvSpPr/>
          </xdr:nvSpPr>
          <xdr:spPr>
            <a:xfrm>
              <a:off x="0" y="0"/>
              <a:ext cx="2655256" cy="1023245"/>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800" b="1">
                  <a:solidFill>
                    <a:srgbClr val="3F2414"/>
                  </a:solidFill>
                  <a:effectLst/>
                  <a:latin typeface="+mn-lt"/>
                  <a:ea typeface="+mn-ea"/>
                  <a:cs typeface="+mn-cs"/>
                </a:rPr>
                <a:t>Avg. Customer </a:t>
              </a:r>
              <a:r>
                <a:rPr kumimoji="1" lang="en-US" altLang="ja-JP" sz="1800" b="1" baseline="0">
                  <a:solidFill>
                    <a:srgbClr val="3F2414"/>
                  </a:solidFill>
                  <a:effectLst/>
                  <a:latin typeface="+mn-lt"/>
                  <a:ea typeface="+mn-ea"/>
                  <a:cs typeface="+mn-cs"/>
                </a:rPr>
                <a:t>Rating</a:t>
              </a:r>
              <a:endParaRPr lang="ja-JP" altLang="ja-JP" sz="1800">
                <a:solidFill>
                  <a:srgbClr val="3F2414"/>
                </a:solidFill>
                <a:effectLst/>
              </a:endParaRPr>
            </a:p>
            <a:p>
              <a:pPr marL="0" indent="0" algn="l"/>
              <a:endParaRPr kumimoji="1" lang="en-US" altLang="ja-JP" sz="1600" b="1">
                <a:solidFill>
                  <a:srgbClr val="1F2937"/>
                </a:solidFill>
                <a:latin typeface="+mn-lt"/>
                <a:ea typeface="+mn-ea"/>
                <a:cs typeface="+mn-cs"/>
              </a:endParaRPr>
            </a:p>
          </xdr:txBody>
        </xdr:sp>
        <xdr:sp macro="" textlink="">
          <xdr:nvSpPr>
            <xdr:cNvPr id="58" name="Rectangle 57">
              <a:extLst>
                <a:ext uri="{FF2B5EF4-FFF2-40B4-BE49-F238E27FC236}">
                  <a16:creationId xmlns:a16="http://schemas.microsoft.com/office/drawing/2014/main" id="{4D962C2E-18DF-0C94-88D4-3DF5AC913B6B}"/>
                </a:ext>
              </a:extLst>
            </xdr:cNvPr>
            <xdr:cNvSpPr/>
          </xdr:nvSpPr>
          <xdr:spPr>
            <a:xfrm>
              <a:off x="67693" y="342046"/>
              <a:ext cx="1403368"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kumimoji="1" lang="en-US" altLang="en-US" sz="2800" b="0" i="0" u="none" strike="noStrike">
                  <a:solidFill>
                    <a:srgbClr val="000000"/>
                  </a:solidFill>
                  <a:latin typeface="ＭＳ Ｐゴシック"/>
                  <a:ea typeface="ＭＳ Ｐゴシック"/>
                </a:rPr>
                <a:t>4.5</a:t>
              </a:r>
              <a:endParaRPr kumimoji="1" lang="ja-JP" altLang="en-US" sz="2800" b="1"/>
            </a:p>
          </xdr:txBody>
        </xdr:sp>
      </xdr:grpSp>
      <xdr:pic>
        <xdr:nvPicPr>
          <xdr:cNvPr id="69" name="Picture 68">
            <a:extLst>
              <a:ext uri="{FF2B5EF4-FFF2-40B4-BE49-F238E27FC236}">
                <a16:creationId xmlns:a16="http://schemas.microsoft.com/office/drawing/2014/main" id="{FBD2EB5B-CD06-321F-BBA4-D4FA7204F9F8}"/>
              </a:ext>
            </a:extLst>
          </xdr:cNvPr>
          <xdr:cNvPicPr>
            <a:picLocks noChangeAspect="1"/>
          </xdr:cNvPicPr>
        </xdr:nvPicPr>
        <xdr:blipFill>
          <a:blip xmlns:r="http://schemas.openxmlformats.org/officeDocument/2006/relationships" r:embed="rId1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2447738" y="1193885"/>
            <a:ext cx="1030789" cy="737211"/>
          </a:xfrm>
          <a:prstGeom prst="rect">
            <a:avLst/>
          </a:prstGeom>
          <a:grpFill/>
          <a:ln>
            <a:noFill/>
          </a:ln>
        </xdr:spPr>
      </xdr:pic>
    </xdr:grpSp>
    <xdr:clientData/>
  </xdr:twoCellAnchor>
  <xdr:twoCellAnchor>
    <xdr:from>
      <xdr:col>22</xdr:col>
      <xdr:colOff>528442</xdr:colOff>
      <xdr:row>0</xdr:row>
      <xdr:rowOff>26096</xdr:rowOff>
    </xdr:from>
    <xdr:to>
      <xdr:col>24</xdr:col>
      <xdr:colOff>313151</xdr:colOff>
      <xdr:row>5</xdr:row>
      <xdr:rowOff>71764</xdr:rowOff>
    </xdr:to>
    <xdr:sp macro="[0]!ResetAllSlicers" textlink="">
      <xdr:nvSpPr>
        <xdr:cNvPr id="60" name="Oval 59">
          <a:extLst>
            <a:ext uri="{FF2B5EF4-FFF2-40B4-BE49-F238E27FC236}">
              <a16:creationId xmlns:a16="http://schemas.microsoft.com/office/drawing/2014/main" id="{A2234171-9186-0396-23F6-FDC2B8D4ED51}"/>
            </a:ext>
          </a:extLst>
        </xdr:cNvPr>
        <xdr:cNvSpPr/>
      </xdr:nvSpPr>
      <xdr:spPr>
        <a:xfrm>
          <a:off x="14737654" y="26096"/>
          <a:ext cx="1076456" cy="861165"/>
        </a:xfrm>
        <a:prstGeom prst="ellipse">
          <a:avLst/>
        </a:prstGeom>
        <a:solidFill>
          <a:srgbClr val="4A2A1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b="1">
              <a:solidFill>
                <a:srgbClr val="FFF8EE"/>
              </a:solidFill>
            </a:rPr>
            <a:t>CLEAR</a:t>
          </a:r>
          <a:endParaRPr kumimoji="1" lang="en-US" altLang="ja-JP" sz="1600" b="1" baseline="0">
            <a:solidFill>
              <a:srgbClr val="FFF8EE"/>
            </a:solidFill>
          </a:endParaRPr>
        </a:p>
        <a:p>
          <a:pPr algn="l"/>
          <a:r>
            <a:rPr kumimoji="1" lang="en-US" altLang="ja-JP" sz="1600" b="1" baseline="0">
              <a:solidFill>
                <a:srgbClr val="FFF8EE"/>
              </a:solidFill>
            </a:rPr>
            <a:t>FILTER </a:t>
          </a:r>
          <a:endParaRPr kumimoji="1" lang="ja-JP" altLang="en-US" sz="1600" b="1">
            <a:solidFill>
              <a:srgbClr val="FFF8EE"/>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553900</xdr:colOff>
      <xdr:row>72</xdr:row>
      <xdr:rowOff>82826</xdr:rowOff>
    </xdr:to>
    <xdr:sp macro="" textlink="">
      <xdr:nvSpPr>
        <xdr:cNvPr id="2" name="Rectangle: Rounded Corners 1">
          <a:extLst>
            <a:ext uri="{FF2B5EF4-FFF2-40B4-BE49-F238E27FC236}">
              <a16:creationId xmlns:a16="http://schemas.microsoft.com/office/drawing/2014/main" id="{83D51EB7-4AD6-0B11-2425-FF5180966766}"/>
            </a:ext>
          </a:extLst>
        </xdr:cNvPr>
        <xdr:cNvSpPr/>
      </xdr:nvSpPr>
      <xdr:spPr>
        <a:xfrm>
          <a:off x="0" y="0"/>
          <a:ext cx="16083791" cy="11637065"/>
        </a:xfrm>
        <a:prstGeom prst="roundRect">
          <a:avLst/>
        </a:prstGeom>
        <a:solidFill>
          <a:srgbClr val="F8F4EE"/>
        </a:solidFill>
        <a:ln>
          <a:solidFill>
            <a:srgbClr val="F8F4E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218660</xdr:colOff>
      <xdr:row>0</xdr:row>
      <xdr:rowOff>46590</xdr:rowOff>
    </xdr:from>
    <xdr:to>
      <xdr:col>17</xdr:col>
      <xdr:colOff>404397</xdr:colOff>
      <xdr:row>6</xdr:row>
      <xdr:rowOff>56943</xdr:rowOff>
    </xdr:to>
    <xdr:sp macro="" textlink="">
      <xdr:nvSpPr>
        <xdr:cNvPr id="3" name="Rectangle: Rounded Corners 2">
          <a:extLst>
            <a:ext uri="{FF2B5EF4-FFF2-40B4-BE49-F238E27FC236}">
              <a16:creationId xmlns:a16="http://schemas.microsoft.com/office/drawing/2014/main" id="{A24B6F7A-55FE-D499-236E-D3D83A7B17D6}"/>
            </a:ext>
          </a:extLst>
        </xdr:cNvPr>
        <xdr:cNvSpPr/>
      </xdr:nvSpPr>
      <xdr:spPr>
        <a:xfrm>
          <a:off x="4101133" y="46590"/>
          <a:ext cx="7303604" cy="97320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ja-JP" sz="2400" b="1">
              <a:solidFill>
                <a:srgbClr val="4A2A16"/>
              </a:solidFill>
            </a:rPr>
            <a:t>BREWBEAN COFFEE CO.</a:t>
          </a:r>
        </a:p>
        <a:p>
          <a:pPr algn="ctr"/>
          <a:r>
            <a:rPr lang="ja-JP" altLang="ja-JP" sz="2400" b="1">
              <a:solidFill>
                <a:srgbClr val="4A2A16"/>
              </a:solidFill>
            </a:rPr>
            <a:t>Business Insights &amp; Recommendations</a:t>
          </a:r>
        </a:p>
        <a:p>
          <a:pPr algn="ctr"/>
          <a:endParaRPr kumimoji="1" lang="ja-JP" altLang="en-US" sz="1100"/>
        </a:p>
      </xdr:txBody>
    </xdr:sp>
    <xdr:clientData/>
  </xdr:twoCellAnchor>
  <xdr:twoCellAnchor>
    <xdr:from>
      <xdr:col>0</xdr:col>
      <xdr:colOff>336482</xdr:colOff>
      <xdr:row>6</xdr:row>
      <xdr:rowOff>86346</xdr:rowOff>
    </xdr:from>
    <xdr:to>
      <xdr:col>4</xdr:col>
      <xdr:colOff>289890</xdr:colOff>
      <xdr:row>11</xdr:row>
      <xdr:rowOff>149418</xdr:rowOff>
    </xdr:to>
    <xdr:grpSp>
      <xdr:nvGrpSpPr>
        <xdr:cNvPr id="7" name="Group 6">
          <a:extLst>
            <a:ext uri="{FF2B5EF4-FFF2-40B4-BE49-F238E27FC236}">
              <a16:creationId xmlns:a16="http://schemas.microsoft.com/office/drawing/2014/main" id="{FC68F5CD-CA0F-C090-EDAF-BA30707D64B0}"/>
            </a:ext>
          </a:extLst>
        </xdr:cNvPr>
        <xdr:cNvGrpSpPr/>
      </xdr:nvGrpSpPr>
      <xdr:grpSpPr>
        <a:xfrm>
          <a:off x="336482" y="1069572"/>
          <a:ext cx="2534376" cy="882427"/>
          <a:chOff x="2485278" y="919880"/>
          <a:chExt cx="2544110" cy="1050360"/>
        </a:xfrm>
        <a:solidFill>
          <a:srgbClr val="FBFAF7"/>
        </a:solidFill>
      </xdr:grpSpPr>
      <xdr:sp macro="" textlink="">
        <xdr:nvSpPr>
          <xdr:cNvPr id="9" name="Rectangle 8">
            <a:extLst>
              <a:ext uri="{FF2B5EF4-FFF2-40B4-BE49-F238E27FC236}">
                <a16:creationId xmlns:a16="http://schemas.microsoft.com/office/drawing/2014/main" id="{FD61B4FD-3872-32F7-7D61-DEFCDC91DFC9}"/>
              </a:ext>
            </a:extLst>
          </xdr:cNvPr>
          <xdr:cNvSpPr/>
        </xdr:nvSpPr>
        <xdr:spPr>
          <a:xfrm>
            <a:off x="2485278" y="919880"/>
            <a:ext cx="2544110" cy="1050360"/>
          </a:xfrm>
          <a:prstGeom prst="rect">
            <a:avLst/>
          </a:prstGeom>
          <a:solidFill>
            <a:srgbClr val="FBFAF7"/>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Total Sales</a:t>
            </a:r>
          </a:p>
          <a:p>
            <a:pPr marL="0" indent="0" algn="l"/>
            <a:endParaRPr kumimoji="1" lang="en-US" altLang="ja-JP" sz="1100" b="1" baseline="0">
              <a:solidFill>
                <a:srgbClr val="1F2937"/>
              </a:solidFill>
              <a:latin typeface="+mn-lt"/>
              <a:ea typeface="+mn-ea"/>
              <a:cs typeface="+mn-cs"/>
            </a:endParaRPr>
          </a:p>
          <a:p>
            <a:pPr marL="0" indent="0" algn="l"/>
            <a:endParaRPr kumimoji="1" lang="en-US" altLang="ja-JP" sz="1100" b="1" baseline="0">
              <a:solidFill>
                <a:srgbClr val="1F2937"/>
              </a:solidFill>
              <a:latin typeface="+mn-lt"/>
              <a:ea typeface="+mn-ea"/>
              <a:cs typeface="+mn-cs"/>
            </a:endParaRPr>
          </a:p>
          <a:p>
            <a:pPr marL="0" indent="0" algn="l"/>
            <a:endParaRPr kumimoji="1" lang="en-US" altLang="ja-JP" sz="1100" b="1" baseline="0">
              <a:solidFill>
                <a:srgbClr val="1F2937"/>
              </a:solidFill>
              <a:latin typeface="+mn-lt"/>
              <a:ea typeface="+mn-ea"/>
              <a:cs typeface="+mn-cs"/>
            </a:endParaRPr>
          </a:p>
          <a:p>
            <a:pPr marL="0" indent="0" algn="l"/>
            <a:endParaRPr kumimoji="1" lang="ja-JP" altLang="en-US" sz="1100" b="1">
              <a:solidFill>
                <a:srgbClr val="1F2937"/>
              </a:solidFill>
              <a:latin typeface="+mn-lt"/>
              <a:ea typeface="+mn-ea"/>
              <a:cs typeface="+mn-cs"/>
            </a:endParaRPr>
          </a:p>
        </xdr:txBody>
      </xdr:sp>
      <xdr:sp macro="" textlink="Sheet2!A27">
        <xdr:nvSpPr>
          <xdr:cNvPr id="10" name="Rectangle 9">
            <a:extLst>
              <a:ext uri="{FF2B5EF4-FFF2-40B4-BE49-F238E27FC236}">
                <a16:creationId xmlns:a16="http://schemas.microsoft.com/office/drawing/2014/main" id="{3384A2B1-CFF0-FF3E-6E26-9AD9B9C40797}"/>
              </a:ext>
            </a:extLst>
          </xdr:cNvPr>
          <xdr:cNvSpPr/>
        </xdr:nvSpPr>
        <xdr:spPr>
          <a:xfrm>
            <a:off x="2506002" y="1310925"/>
            <a:ext cx="1399003"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4B84347-4334-43C2-A14F-2FCF82980855}" type="TxLink">
              <a:rPr kumimoji="1" lang="en-US" altLang="en-US" sz="1800" b="1" i="0" u="none" strike="noStrike">
                <a:solidFill>
                  <a:srgbClr val="000000"/>
                </a:solidFill>
                <a:latin typeface="ＭＳ Ｐゴシック"/>
                <a:ea typeface="ＭＳ Ｐゴシック"/>
              </a:rPr>
              <a:pPr algn="ctr"/>
              <a:t>₹ 472,936.56</a:t>
            </a:fld>
            <a:endParaRPr kumimoji="1" lang="ja-JP" altLang="en-US" sz="1800" b="1"/>
          </a:p>
        </xdr:txBody>
      </xdr:sp>
      <xdr:pic>
        <xdr:nvPicPr>
          <xdr:cNvPr id="11" name="Picture 10">
            <a:extLst>
              <a:ext uri="{FF2B5EF4-FFF2-40B4-BE49-F238E27FC236}">
                <a16:creationId xmlns:a16="http://schemas.microsoft.com/office/drawing/2014/main" id="{9B722D95-E7CF-1E3F-9142-E302C08216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85607" y="977872"/>
            <a:ext cx="1030786" cy="932929"/>
          </a:xfrm>
          <a:prstGeom prst="rect">
            <a:avLst/>
          </a:prstGeom>
          <a:grpFill/>
        </xdr:spPr>
      </xdr:pic>
    </xdr:grpSp>
    <xdr:clientData/>
  </xdr:twoCellAnchor>
  <xdr:twoCellAnchor>
    <xdr:from>
      <xdr:col>4</xdr:col>
      <xdr:colOff>445217</xdr:colOff>
      <xdr:row>6</xdr:row>
      <xdr:rowOff>107848</xdr:rowOff>
    </xdr:from>
    <xdr:to>
      <xdr:col>8</xdr:col>
      <xdr:colOff>431453</xdr:colOff>
      <xdr:row>11</xdr:row>
      <xdr:rowOff>138318</xdr:rowOff>
    </xdr:to>
    <xdr:grpSp>
      <xdr:nvGrpSpPr>
        <xdr:cNvPr id="33" name="Group 32">
          <a:extLst>
            <a:ext uri="{FF2B5EF4-FFF2-40B4-BE49-F238E27FC236}">
              <a16:creationId xmlns:a16="http://schemas.microsoft.com/office/drawing/2014/main" id="{2AE908BF-0A5C-81B1-7F69-F910EF9B6394}"/>
            </a:ext>
          </a:extLst>
        </xdr:cNvPr>
        <xdr:cNvGrpSpPr/>
      </xdr:nvGrpSpPr>
      <xdr:grpSpPr>
        <a:xfrm>
          <a:off x="3026185" y="1091074"/>
          <a:ext cx="2567203" cy="849825"/>
          <a:chOff x="2790231" y="998228"/>
          <a:chExt cx="2574551" cy="832849"/>
        </a:xfrm>
      </xdr:grpSpPr>
      <xdr:sp macro="" textlink="">
        <xdr:nvSpPr>
          <xdr:cNvPr id="5" name="Rectangle 4">
            <a:extLst>
              <a:ext uri="{FF2B5EF4-FFF2-40B4-BE49-F238E27FC236}">
                <a16:creationId xmlns:a16="http://schemas.microsoft.com/office/drawing/2014/main" id="{1BB9C559-EB85-8CA8-C76F-5E571E21CB22}"/>
              </a:ext>
            </a:extLst>
          </xdr:cNvPr>
          <xdr:cNvSpPr/>
        </xdr:nvSpPr>
        <xdr:spPr>
          <a:xfrm>
            <a:off x="2790231" y="998228"/>
            <a:ext cx="2574551" cy="832849"/>
          </a:xfrm>
          <a:prstGeom prst="rect">
            <a:avLst/>
          </a:prstGeom>
          <a:solidFill>
            <a:srgbClr val="FBFAF7"/>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Total Profit</a:t>
            </a:r>
            <a:endParaRPr kumimoji="1" lang="ja-JP" altLang="en-US" sz="1800" b="1" baseline="0">
              <a:solidFill>
                <a:srgbClr val="3F2414"/>
              </a:solidFill>
              <a:latin typeface="+mn-lt"/>
              <a:ea typeface="+mn-ea"/>
              <a:cs typeface="+mn-cs"/>
            </a:endParaRPr>
          </a:p>
        </xdr:txBody>
      </xdr:sp>
      <xdr:sp macro="" textlink="Sheet2!A30">
        <xdr:nvSpPr>
          <xdr:cNvPr id="6" name="Rectangle 5">
            <a:extLst>
              <a:ext uri="{FF2B5EF4-FFF2-40B4-BE49-F238E27FC236}">
                <a16:creationId xmlns:a16="http://schemas.microsoft.com/office/drawing/2014/main" id="{F644715F-2C5B-803C-4007-D6C6B6CE9750}"/>
              </a:ext>
            </a:extLst>
          </xdr:cNvPr>
          <xdr:cNvSpPr/>
        </xdr:nvSpPr>
        <xdr:spPr>
          <a:xfrm>
            <a:off x="2976521" y="1265793"/>
            <a:ext cx="1402051" cy="525284"/>
          </a:xfrm>
          <a:prstGeom prst="rect">
            <a:avLst/>
          </a:prstGeom>
          <a:solidFill>
            <a:srgbClr val="FBFA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23424AB-D6C6-47AB-8302-1AFA33215067}" type="TxLink">
              <a:rPr kumimoji="1" lang="en-US" altLang="en-US" sz="1800" b="1" i="0" u="none" strike="noStrike">
                <a:solidFill>
                  <a:srgbClr val="000000"/>
                </a:solidFill>
                <a:latin typeface="ＭＳ Ｐゴシック"/>
                <a:ea typeface="ＭＳ Ｐゴシック"/>
                <a:cs typeface="+mn-cs"/>
              </a:rPr>
              <a:pPr marL="0" indent="0" algn="ctr"/>
              <a:t>₹ 251,383.66</a:t>
            </a:fld>
            <a:endParaRPr kumimoji="1" lang="ja-JP" altLang="en-US" sz="1800" b="1" i="0" u="none" strike="noStrike">
              <a:solidFill>
                <a:srgbClr val="000000"/>
              </a:solidFill>
              <a:latin typeface="ＭＳ Ｐゴシック"/>
              <a:ea typeface="ＭＳ Ｐゴシック"/>
              <a:cs typeface="+mn-cs"/>
            </a:endParaRPr>
          </a:p>
        </xdr:txBody>
      </xdr:sp>
      <xdr:pic>
        <xdr:nvPicPr>
          <xdr:cNvPr id="8" name="Picture 7">
            <a:extLst>
              <a:ext uri="{FF2B5EF4-FFF2-40B4-BE49-F238E27FC236}">
                <a16:creationId xmlns:a16="http://schemas.microsoft.com/office/drawing/2014/main" id="{2C241F97-BAF6-BD31-7E9F-6DC5F80F7CC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37018" y="1137992"/>
            <a:ext cx="801695" cy="661182"/>
          </a:xfrm>
          <a:prstGeom prst="rect">
            <a:avLst/>
          </a:prstGeom>
          <a:solidFill>
            <a:srgbClr val="FBFAF7"/>
          </a:solidFill>
        </xdr:spPr>
      </xdr:pic>
    </xdr:grpSp>
    <xdr:clientData/>
  </xdr:twoCellAnchor>
  <xdr:twoCellAnchor>
    <xdr:from>
      <xdr:col>8</xdr:col>
      <xdr:colOff>596141</xdr:colOff>
      <xdr:row>6</xdr:row>
      <xdr:rowOff>116163</xdr:rowOff>
    </xdr:from>
    <xdr:to>
      <xdr:col>12</xdr:col>
      <xdr:colOff>232948</xdr:colOff>
      <xdr:row>12</xdr:row>
      <xdr:rowOff>5176</xdr:rowOff>
    </xdr:to>
    <xdr:grpSp>
      <xdr:nvGrpSpPr>
        <xdr:cNvPr id="12" name="Group 11">
          <a:extLst>
            <a:ext uri="{FF2B5EF4-FFF2-40B4-BE49-F238E27FC236}">
              <a16:creationId xmlns:a16="http://schemas.microsoft.com/office/drawing/2014/main" id="{93435D0F-0A50-449E-A90E-76F43ACDC69B}"/>
            </a:ext>
          </a:extLst>
        </xdr:cNvPr>
        <xdr:cNvGrpSpPr/>
      </xdr:nvGrpSpPr>
      <xdr:grpSpPr>
        <a:xfrm>
          <a:off x="5758076" y="1099389"/>
          <a:ext cx="2217775" cy="872239"/>
          <a:chOff x="7645701" y="987276"/>
          <a:chExt cx="2427313" cy="978596"/>
        </a:xfrm>
        <a:solidFill>
          <a:srgbClr val="FBFAF7"/>
        </a:solidFill>
      </xdr:grpSpPr>
      <xdr:sp macro="" textlink="">
        <xdr:nvSpPr>
          <xdr:cNvPr id="13" name="Rectangle 12">
            <a:extLst>
              <a:ext uri="{FF2B5EF4-FFF2-40B4-BE49-F238E27FC236}">
                <a16:creationId xmlns:a16="http://schemas.microsoft.com/office/drawing/2014/main" id="{37692421-5113-3933-35FE-071064C71A48}"/>
              </a:ext>
            </a:extLst>
          </xdr:cNvPr>
          <xdr:cNvSpPr/>
        </xdr:nvSpPr>
        <xdr:spPr>
          <a:xfrm>
            <a:off x="7645701" y="987276"/>
            <a:ext cx="2427313" cy="978596"/>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600" b="1">
                <a:solidFill>
                  <a:srgbClr val="3F2414"/>
                </a:solidFill>
                <a:latin typeface="+mn-lt"/>
                <a:ea typeface="+mn-ea"/>
                <a:cs typeface="+mn-cs"/>
              </a:rPr>
              <a:t>Total </a:t>
            </a:r>
            <a:r>
              <a:rPr kumimoji="1" lang="en-US" altLang="ja-JP" sz="1800" b="1" baseline="0">
                <a:solidFill>
                  <a:srgbClr val="3F2414"/>
                </a:solidFill>
                <a:latin typeface="+mn-lt"/>
                <a:ea typeface="+mn-ea"/>
                <a:cs typeface="+mn-cs"/>
              </a:rPr>
              <a:t>Orders</a:t>
            </a:r>
            <a:endParaRPr kumimoji="1" lang="ja-JP" altLang="en-US" sz="1800" b="1" baseline="0">
              <a:solidFill>
                <a:srgbClr val="3F2414"/>
              </a:solidFill>
              <a:latin typeface="+mn-lt"/>
              <a:ea typeface="+mn-ea"/>
              <a:cs typeface="+mn-cs"/>
            </a:endParaRPr>
          </a:p>
        </xdr:txBody>
      </xdr:sp>
      <xdr:sp macro="" textlink="Sheet2!A33">
        <xdr:nvSpPr>
          <xdr:cNvPr id="14" name="Rectangle 13">
            <a:extLst>
              <a:ext uri="{FF2B5EF4-FFF2-40B4-BE49-F238E27FC236}">
                <a16:creationId xmlns:a16="http://schemas.microsoft.com/office/drawing/2014/main" id="{5C9FF100-8CC3-390D-5361-B594B3C61E8B}"/>
              </a:ext>
            </a:extLst>
          </xdr:cNvPr>
          <xdr:cNvSpPr/>
        </xdr:nvSpPr>
        <xdr:spPr>
          <a:xfrm>
            <a:off x="7678432" y="1318586"/>
            <a:ext cx="1403368"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A16DEF-2587-415A-B3BA-6FA4C0A89765}" type="TxLink">
              <a:rPr kumimoji="1" lang="en-US" altLang="en-US" sz="2400" b="1" i="0" u="none" strike="noStrike">
                <a:solidFill>
                  <a:srgbClr val="000000"/>
                </a:solidFill>
                <a:latin typeface="ＭＳ Ｐゴシック"/>
                <a:ea typeface="ＭＳ Ｐゴシック"/>
              </a:rPr>
              <a:pPr algn="ctr"/>
              <a:t>980</a:t>
            </a:fld>
            <a:endParaRPr kumimoji="1" lang="ja-JP" altLang="en-US" sz="2400" b="1"/>
          </a:p>
        </xdr:txBody>
      </xdr:sp>
      <xdr:pic>
        <xdr:nvPicPr>
          <xdr:cNvPr id="15" name="Picture 14">
            <a:extLst>
              <a:ext uri="{FF2B5EF4-FFF2-40B4-BE49-F238E27FC236}">
                <a16:creationId xmlns:a16="http://schemas.microsoft.com/office/drawing/2014/main" id="{8F75AA57-C519-4DA0-8FFF-4EC33008983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20514" y="1063409"/>
            <a:ext cx="905678" cy="841591"/>
          </a:xfrm>
          <a:prstGeom prst="rect">
            <a:avLst/>
          </a:prstGeom>
          <a:grpFill/>
          <a:ln>
            <a:noFill/>
          </a:ln>
        </xdr:spPr>
      </xdr:pic>
    </xdr:grpSp>
    <xdr:clientData/>
  </xdr:twoCellAnchor>
  <xdr:twoCellAnchor>
    <xdr:from>
      <xdr:col>12</xdr:col>
      <xdr:colOff>433596</xdr:colOff>
      <xdr:row>6</xdr:row>
      <xdr:rowOff>100842</xdr:rowOff>
    </xdr:from>
    <xdr:to>
      <xdr:col>16</xdr:col>
      <xdr:colOff>25885</xdr:colOff>
      <xdr:row>11</xdr:row>
      <xdr:rowOff>155297</xdr:rowOff>
    </xdr:to>
    <xdr:grpSp>
      <xdr:nvGrpSpPr>
        <xdr:cNvPr id="16" name="Group 15">
          <a:extLst>
            <a:ext uri="{FF2B5EF4-FFF2-40B4-BE49-F238E27FC236}">
              <a16:creationId xmlns:a16="http://schemas.microsoft.com/office/drawing/2014/main" id="{A4FB3D1D-C9FF-492E-BB20-450A733DF736}"/>
            </a:ext>
          </a:extLst>
        </xdr:cNvPr>
        <xdr:cNvGrpSpPr/>
      </xdr:nvGrpSpPr>
      <xdr:grpSpPr>
        <a:xfrm>
          <a:off x="8176499" y="1084068"/>
          <a:ext cx="2173257" cy="873810"/>
          <a:chOff x="10190446" y="971869"/>
          <a:chExt cx="2655256" cy="1023245"/>
        </a:xfrm>
        <a:solidFill>
          <a:srgbClr val="FBFAF7"/>
        </a:solidFill>
      </xdr:grpSpPr>
      <xdr:sp macro="" textlink="">
        <xdr:nvSpPr>
          <xdr:cNvPr id="17" name="Rectangle 16">
            <a:extLst>
              <a:ext uri="{FF2B5EF4-FFF2-40B4-BE49-F238E27FC236}">
                <a16:creationId xmlns:a16="http://schemas.microsoft.com/office/drawing/2014/main" id="{3923E341-4453-1B01-F280-085884ED7432}"/>
              </a:ext>
            </a:extLst>
          </xdr:cNvPr>
          <xdr:cNvSpPr/>
        </xdr:nvSpPr>
        <xdr:spPr>
          <a:xfrm>
            <a:off x="10190446" y="971869"/>
            <a:ext cx="2655256" cy="1023245"/>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Average</a:t>
            </a:r>
            <a:r>
              <a:rPr kumimoji="1" lang="en-US" altLang="ja-JP" sz="1600" b="1">
                <a:solidFill>
                  <a:srgbClr val="1F2937"/>
                </a:solidFill>
                <a:latin typeface="+mn-lt"/>
                <a:ea typeface="+mn-ea"/>
                <a:cs typeface="+mn-cs"/>
              </a:rPr>
              <a:t> Order Value</a:t>
            </a:r>
          </a:p>
        </xdr:txBody>
      </xdr:sp>
      <xdr:sp macro="" textlink="Sheet2!A21">
        <xdr:nvSpPr>
          <xdr:cNvPr id="18" name="Rectangle 17">
            <a:extLst>
              <a:ext uri="{FF2B5EF4-FFF2-40B4-BE49-F238E27FC236}">
                <a16:creationId xmlns:a16="http://schemas.microsoft.com/office/drawing/2014/main" id="{8530DFB5-97BE-388E-0616-653D55F8A055}"/>
              </a:ext>
            </a:extLst>
          </xdr:cNvPr>
          <xdr:cNvSpPr/>
        </xdr:nvSpPr>
        <xdr:spPr>
          <a:xfrm>
            <a:off x="10258139" y="1313915"/>
            <a:ext cx="1403368"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480BEAF-D22C-4B40-943B-F6E6B509598E}" type="TxLink">
              <a:rPr kumimoji="1" lang="en-US" altLang="en-US" sz="1800" b="1" i="0" u="none" strike="noStrike">
                <a:solidFill>
                  <a:srgbClr val="000000"/>
                </a:solidFill>
                <a:latin typeface="ＭＳ Ｐゴシック"/>
                <a:ea typeface="ＭＳ Ｐゴシック"/>
              </a:rPr>
              <a:pPr algn="ctr"/>
              <a:t>₹ 482.59</a:t>
            </a:fld>
            <a:endParaRPr kumimoji="1" lang="ja-JP" altLang="en-US" sz="1800" b="1"/>
          </a:p>
        </xdr:txBody>
      </xdr:sp>
      <xdr:pic>
        <xdr:nvPicPr>
          <xdr:cNvPr id="19" name="Picture 18">
            <a:extLst>
              <a:ext uri="{FF2B5EF4-FFF2-40B4-BE49-F238E27FC236}">
                <a16:creationId xmlns:a16="http://schemas.microsoft.com/office/drawing/2014/main" id="{9AE2EAC2-513B-5066-45F1-2BAA3767E0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749675" y="1321275"/>
            <a:ext cx="1056883" cy="635915"/>
          </a:xfrm>
          <a:prstGeom prst="rect">
            <a:avLst/>
          </a:prstGeom>
          <a:grpFill/>
        </xdr:spPr>
      </xdr:pic>
    </xdr:grpSp>
    <xdr:clientData/>
  </xdr:twoCellAnchor>
  <xdr:twoCellAnchor>
    <xdr:from>
      <xdr:col>20</xdr:col>
      <xdr:colOff>242889</xdr:colOff>
      <xdr:row>6</xdr:row>
      <xdr:rowOff>63778</xdr:rowOff>
    </xdr:from>
    <xdr:to>
      <xdr:col>24</xdr:col>
      <xdr:colOff>31060</xdr:colOff>
      <xdr:row>11</xdr:row>
      <xdr:rowOff>120515</xdr:rowOff>
    </xdr:to>
    <xdr:grpSp>
      <xdr:nvGrpSpPr>
        <xdr:cNvPr id="24" name="Group 23">
          <a:extLst>
            <a:ext uri="{FF2B5EF4-FFF2-40B4-BE49-F238E27FC236}">
              <a16:creationId xmlns:a16="http://schemas.microsoft.com/office/drawing/2014/main" id="{54AB6557-1446-4148-AD61-62AD6825A4FA}"/>
            </a:ext>
          </a:extLst>
        </xdr:cNvPr>
        <xdr:cNvGrpSpPr/>
      </xdr:nvGrpSpPr>
      <xdr:grpSpPr>
        <a:xfrm>
          <a:off x="13147728" y="1047004"/>
          <a:ext cx="2369138" cy="876092"/>
          <a:chOff x="15690154" y="956366"/>
          <a:chExt cx="2381249" cy="978596"/>
        </a:xfrm>
      </xdr:grpSpPr>
      <xdr:sp macro="" textlink="">
        <xdr:nvSpPr>
          <xdr:cNvPr id="25" name="Rectangle 24">
            <a:extLst>
              <a:ext uri="{FF2B5EF4-FFF2-40B4-BE49-F238E27FC236}">
                <a16:creationId xmlns:a16="http://schemas.microsoft.com/office/drawing/2014/main" id="{D069D419-47B5-2690-2391-8D54371227FC}"/>
              </a:ext>
            </a:extLst>
          </xdr:cNvPr>
          <xdr:cNvSpPr/>
        </xdr:nvSpPr>
        <xdr:spPr>
          <a:xfrm>
            <a:off x="15690154" y="956366"/>
            <a:ext cx="2381249" cy="978596"/>
          </a:xfrm>
          <a:prstGeom prst="rect">
            <a:avLst/>
          </a:prstGeom>
          <a:solidFill>
            <a:srgbClr val="FFFFFF"/>
          </a:solid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en-US" altLang="ja-JP" sz="1800" b="1" baseline="0">
                <a:solidFill>
                  <a:srgbClr val="3F2414"/>
                </a:solidFill>
                <a:latin typeface="+mn-lt"/>
                <a:ea typeface="+mn-ea"/>
                <a:cs typeface="+mn-cs"/>
              </a:rPr>
              <a:t>Profit</a:t>
            </a:r>
            <a:r>
              <a:rPr kumimoji="1" lang="en-US" altLang="ja-JP" sz="1600" b="1">
                <a:solidFill>
                  <a:srgbClr val="3F2414"/>
                </a:solidFill>
                <a:latin typeface="+mn-lt"/>
                <a:ea typeface="+mn-ea"/>
                <a:cs typeface="+mn-cs"/>
              </a:rPr>
              <a:t> Margin %</a:t>
            </a:r>
            <a:endParaRPr kumimoji="1" lang="ja-JP" altLang="en-US" sz="1600" b="1">
              <a:solidFill>
                <a:srgbClr val="3F2414"/>
              </a:solidFill>
              <a:latin typeface="+mn-lt"/>
              <a:ea typeface="+mn-ea"/>
              <a:cs typeface="+mn-cs"/>
            </a:endParaRPr>
          </a:p>
        </xdr:txBody>
      </xdr:sp>
      <xdr:sp macro="" textlink="Sheet2!A24">
        <xdr:nvSpPr>
          <xdr:cNvPr id="26" name="Rectangle 25">
            <a:extLst>
              <a:ext uri="{FF2B5EF4-FFF2-40B4-BE49-F238E27FC236}">
                <a16:creationId xmlns:a16="http://schemas.microsoft.com/office/drawing/2014/main" id="{22966EF1-8DB2-1379-B20E-595AC911AE1D}"/>
              </a:ext>
            </a:extLst>
          </xdr:cNvPr>
          <xdr:cNvSpPr/>
        </xdr:nvSpPr>
        <xdr:spPr>
          <a:xfrm>
            <a:off x="15718616" y="1388813"/>
            <a:ext cx="1403369" cy="538597"/>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A6F53-ACF4-4AB3-8B6D-6D997D8C226A}" type="TxLink">
              <a:rPr kumimoji="1" lang="en-US" altLang="en-US" sz="2800" b="1" i="0" u="none" strike="noStrike">
                <a:solidFill>
                  <a:srgbClr val="000000"/>
                </a:solidFill>
                <a:latin typeface="ＭＳ Ｐゴシック"/>
                <a:ea typeface="ＭＳ Ｐゴシック"/>
              </a:rPr>
              <a:pPr algn="ctr"/>
              <a:t>53.15%</a:t>
            </a:fld>
            <a:endParaRPr kumimoji="1" lang="ja-JP" altLang="en-US" sz="2800" b="1"/>
          </a:p>
        </xdr:txBody>
      </xdr:sp>
      <xdr:pic>
        <xdr:nvPicPr>
          <xdr:cNvPr id="27" name="Picture 26">
            <a:extLst>
              <a:ext uri="{FF2B5EF4-FFF2-40B4-BE49-F238E27FC236}">
                <a16:creationId xmlns:a16="http://schemas.microsoft.com/office/drawing/2014/main" id="{FFB1A6BA-CE04-0A05-541D-56CECCAA1AD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69922" y="998170"/>
            <a:ext cx="861164" cy="861164"/>
          </a:xfrm>
          <a:prstGeom prst="rect">
            <a:avLst/>
          </a:prstGeom>
        </xdr:spPr>
      </xdr:pic>
    </xdr:grpSp>
    <xdr:clientData/>
  </xdr:twoCellAnchor>
  <xdr:twoCellAnchor>
    <xdr:from>
      <xdr:col>16</xdr:col>
      <xdr:colOff>294863</xdr:colOff>
      <xdr:row>6</xdr:row>
      <xdr:rowOff>67505</xdr:rowOff>
    </xdr:from>
    <xdr:to>
      <xdr:col>20</xdr:col>
      <xdr:colOff>46591</xdr:colOff>
      <xdr:row>11</xdr:row>
      <xdr:rowOff>150122</xdr:rowOff>
    </xdr:to>
    <xdr:grpSp>
      <xdr:nvGrpSpPr>
        <xdr:cNvPr id="28" name="Group 27">
          <a:extLst>
            <a:ext uri="{FF2B5EF4-FFF2-40B4-BE49-F238E27FC236}">
              <a16:creationId xmlns:a16="http://schemas.microsoft.com/office/drawing/2014/main" id="{954B7913-730C-449D-98BA-D122FBCE1A82}"/>
            </a:ext>
          </a:extLst>
        </xdr:cNvPr>
        <xdr:cNvGrpSpPr/>
      </xdr:nvGrpSpPr>
      <xdr:grpSpPr>
        <a:xfrm>
          <a:off x="10618734" y="1050731"/>
          <a:ext cx="2332696" cy="901972"/>
          <a:chOff x="10829796" y="932929"/>
          <a:chExt cx="2648731" cy="1023245"/>
        </a:xfrm>
        <a:solidFill>
          <a:srgbClr val="FBFAF7"/>
        </a:solidFill>
      </xdr:grpSpPr>
      <xdr:grpSp>
        <xdr:nvGrpSpPr>
          <xdr:cNvPr id="29" name="Group 28">
            <a:extLst>
              <a:ext uri="{FF2B5EF4-FFF2-40B4-BE49-F238E27FC236}">
                <a16:creationId xmlns:a16="http://schemas.microsoft.com/office/drawing/2014/main" id="{F4D45B28-EC35-5C46-5675-D224C53AC409}"/>
              </a:ext>
            </a:extLst>
          </xdr:cNvPr>
          <xdr:cNvGrpSpPr/>
        </xdr:nvGrpSpPr>
        <xdr:grpSpPr>
          <a:xfrm>
            <a:off x="10829796" y="932929"/>
            <a:ext cx="2629159" cy="1023245"/>
            <a:chOff x="0" y="0"/>
            <a:chExt cx="2655256" cy="1023245"/>
          </a:xfrm>
          <a:grpFill/>
        </xdr:grpSpPr>
        <xdr:sp macro="" textlink="">
          <xdr:nvSpPr>
            <xdr:cNvPr id="31" name="Rectangle 30">
              <a:extLst>
                <a:ext uri="{FF2B5EF4-FFF2-40B4-BE49-F238E27FC236}">
                  <a16:creationId xmlns:a16="http://schemas.microsoft.com/office/drawing/2014/main" id="{581B2533-CF1A-ECD8-F5A4-040BB7DA432C}"/>
                </a:ext>
              </a:extLst>
            </xdr:cNvPr>
            <xdr:cNvSpPr/>
          </xdr:nvSpPr>
          <xdr:spPr>
            <a:xfrm>
              <a:off x="0" y="0"/>
              <a:ext cx="2655256" cy="1023245"/>
            </a:xfrm>
            <a:prstGeom prst="rect">
              <a:avLst/>
            </a:prstGeom>
            <a:grpFill/>
            <a:ln>
              <a:solidFill>
                <a:srgbClr val="E8E2DB"/>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800" b="1">
                  <a:solidFill>
                    <a:srgbClr val="3F2414"/>
                  </a:solidFill>
                  <a:effectLst/>
                  <a:latin typeface="+mn-lt"/>
                  <a:ea typeface="+mn-ea"/>
                  <a:cs typeface="+mn-cs"/>
                </a:rPr>
                <a:t>Avg. Customer </a:t>
              </a:r>
              <a:r>
                <a:rPr kumimoji="1" lang="en-US" altLang="ja-JP" sz="1800" b="1" baseline="0">
                  <a:solidFill>
                    <a:srgbClr val="3F2414"/>
                  </a:solidFill>
                  <a:effectLst/>
                  <a:latin typeface="+mn-lt"/>
                  <a:ea typeface="+mn-ea"/>
                  <a:cs typeface="+mn-cs"/>
                </a:rPr>
                <a:t>Rating</a:t>
              </a:r>
              <a:endParaRPr lang="ja-JP" altLang="ja-JP" sz="1800">
                <a:solidFill>
                  <a:srgbClr val="3F2414"/>
                </a:solidFill>
                <a:effectLst/>
              </a:endParaRPr>
            </a:p>
            <a:p>
              <a:pPr marL="0" indent="0" algn="l"/>
              <a:endParaRPr kumimoji="1" lang="en-US" altLang="ja-JP" sz="1600" b="1">
                <a:solidFill>
                  <a:srgbClr val="1F2937"/>
                </a:solidFill>
                <a:latin typeface="+mn-lt"/>
                <a:ea typeface="+mn-ea"/>
                <a:cs typeface="+mn-cs"/>
              </a:endParaRPr>
            </a:p>
          </xdr:txBody>
        </xdr:sp>
        <xdr:sp macro="" textlink="">
          <xdr:nvSpPr>
            <xdr:cNvPr id="32" name="Rectangle 31">
              <a:extLst>
                <a:ext uri="{FF2B5EF4-FFF2-40B4-BE49-F238E27FC236}">
                  <a16:creationId xmlns:a16="http://schemas.microsoft.com/office/drawing/2014/main" id="{A0D64E62-87ED-D111-E1C2-07C489F3391A}"/>
                </a:ext>
              </a:extLst>
            </xdr:cNvPr>
            <xdr:cNvSpPr/>
          </xdr:nvSpPr>
          <xdr:spPr>
            <a:xfrm>
              <a:off x="79227" y="357991"/>
              <a:ext cx="1403368" cy="6375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kumimoji="1" lang="en-US" altLang="en-US" sz="2800" b="0" i="0" u="none" strike="noStrike">
                  <a:solidFill>
                    <a:srgbClr val="000000"/>
                  </a:solidFill>
                  <a:latin typeface="ＭＳ Ｐゴシック"/>
                  <a:ea typeface="ＭＳ Ｐゴシック"/>
                </a:rPr>
                <a:t>4.5</a:t>
              </a:r>
              <a:endParaRPr kumimoji="1" lang="ja-JP" altLang="en-US" sz="2800" b="1"/>
            </a:p>
          </xdr:txBody>
        </xdr:sp>
      </xdr:grpSp>
      <xdr:pic>
        <xdr:nvPicPr>
          <xdr:cNvPr id="30" name="Picture 29">
            <a:extLst>
              <a:ext uri="{FF2B5EF4-FFF2-40B4-BE49-F238E27FC236}">
                <a16:creationId xmlns:a16="http://schemas.microsoft.com/office/drawing/2014/main" id="{0936186D-B2D0-8BEC-437B-13672D547F2D}"/>
              </a:ext>
            </a:extLst>
          </xdr:cNvPr>
          <xdr:cNvPicPr>
            <a:picLocks noChangeAspect="1"/>
          </xdr:cNvPicPr>
        </xdr:nvPicPr>
        <xdr:blipFill>
          <a:blip xmlns:r="http://schemas.openxmlformats.org/officeDocument/2006/relationships" r:embed="rId6"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2447738" y="1327717"/>
            <a:ext cx="1030789" cy="603379"/>
          </a:xfrm>
          <a:prstGeom prst="rect">
            <a:avLst/>
          </a:prstGeom>
          <a:grpFill/>
          <a:ln>
            <a:noFill/>
          </a:ln>
        </xdr:spPr>
      </xdr:pic>
    </xdr:grpSp>
    <xdr:clientData/>
  </xdr:twoCellAnchor>
  <xdr:twoCellAnchor>
    <xdr:from>
      <xdr:col>0</xdr:col>
      <xdr:colOff>258831</xdr:colOff>
      <xdr:row>12</xdr:row>
      <xdr:rowOff>119064</xdr:rowOff>
    </xdr:from>
    <xdr:to>
      <xdr:col>12</xdr:col>
      <xdr:colOff>72472</xdr:colOff>
      <xdr:row>21</xdr:row>
      <xdr:rowOff>25884</xdr:rowOff>
    </xdr:to>
    <xdr:sp macro="" textlink="">
      <xdr:nvSpPr>
        <xdr:cNvPr id="34" name="Rectangle: Rounded Corners 33">
          <a:extLst>
            <a:ext uri="{FF2B5EF4-FFF2-40B4-BE49-F238E27FC236}">
              <a16:creationId xmlns:a16="http://schemas.microsoft.com/office/drawing/2014/main" id="{8560636A-7E04-BEF9-C0BD-7C79F4896400}"/>
            </a:ext>
          </a:extLst>
        </xdr:cNvPr>
        <xdr:cNvSpPr/>
      </xdr:nvSpPr>
      <xdr:spPr>
        <a:xfrm>
          <a:off x="258831" y="2044771"/>
          <a:ext cx="7578587" cy="1351100"/>
        </a:xfrm>
        <a:prstGeom prst="roundRect">
          <a:avLst/>
        </a:prstGeom>
        <a:solidFill>
          <a:schemeClr val="bg1"/>
        </a:solidFill>
        <a:ln>
          <a:solidFill>
            <a:srgbClr val="E7DCC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ja-JP" altLang="ja-JP" sz="1600" b="1">
              <a:solidFill>
                <a:srgbClr val="3F3F3F"/>
              </a:solidFill>
            </a:rPr>
            <a:t>☕ INSIGHT 01 — CATEGORY PERFORMANCE</a:t>
          </a:r>
        </a:p>
        <a:p>
          <a:r>
            <a:rPr lang="ja-JP" altLang="ja-JP" sz="1600" b="1">
              <a:solidFill>
                <a:srgbClr val="3F3F3F"/>
              </a:solidFill>
            </a:rPr>
            <a:t>Coffee is the strongest sales category</a:t>
          </a:r>
        </a:p>
        <a:p>
          <a:r>
            <a:rPr lang="ja-JP" altLang="ja-JP" sz="1600" b="1">
              <a:solidFill>
                <a:srgbClr val="3F3F3F"/>
              </a:solidFill>
            </a:rPr>
            <a:t>Coffee generated approximately ₹32K, significantly higher than the other categories shown in the dashboard.</a:t>
          </a:r>
        </a:p>
      </xdr:txBody>
    </xdr:sp>
    <xdr:clientData/>
  </xdr:twoCellAnchor>
  <xdr:twoCellAnchor>
    <xdr:from>
      <xdr:col>12</xdr:col>
      <xdr:colOff>253655</xdr:colOff>
      <xdr:row>12</xdr:row>
      <xdr:rowOff>113885</xdr:rowOff>
    </xdr:from>
    <xdr:to>
      <xdr:col>24</xdr:col>
      <xdr:colOff>377894</xdr:colOff>
      <xdr:row>21</xdr:row>
      <xdr:rowOff>15529</xdr:rowOff>
    </xdr:to>
    <xdr:sp macro="" textlink="">
      <xdr:nvSpPr>
        <xdr:cNvPr id="35" name="Rectangle: Rounded Corners 34">
          <a:extLst>
            <a:ext uri="{FF2B5EF4-FFF2-40B4-BE49-F238E27FC236}">
              <a16:creationId xmlns:a16="http://schemas.microsoft.com/office/drawing/2014/main" id="{07F0A02F-51FF-4AF1-8585-D87DC864C2F2}"/>
            </a:ext>
          </a:extLst>
        </xdr:cNvPr>
        <xdr:cNvSpPr/>
      </xdr:nvSpPr>
      <xdr:spPr>
        <a:xfrm>
          <a:off x="8018601" y="2039592"/>
          <a:ext cx="7889184" cy="1345924"/>
        </a:xfrm>
        <a:prstGeom prst="roundRect">
          <a:avLst/>
        </a:prstGeom>
        <a:solidFill>
          <a:schemeClr val="bg1"/>
        </a:solidFill>
        <a:ln>
          <a:solidFill>
            <a:srgbClr val="E7DCC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ja-JP" altLang="ja-JP" sz="1600" b="1">
              <a:solidFill>
                <a:srgbClr val="3F3F3F"/>
              </a:solidFill>
              <a:latin typeface="+mn-lt"/>
              <a:ea typeface="+mn-ea"/>
              <a:cs typeface="+mn-cs"/>
            </a:rPr>
            <a:t>🏆 INSIGHT 02 — STORE PERFORMANCE</a:t>
          </a:r>
        </a:p>
        <a:p>
          <a:pPr marL="0" indent="0"/>
          <a:r>
            <a:rPr lang="ja-JP" altLang="ja-JP" sz="1600" b="1">
              <a:solidFill>
                <a:srgbClr val="3F3F3F"/>
              </a:solidFill>
              <a:latin typeface="+mn-lt"/>
              <a:ea typeface="+mn-ea"/>
              <a:cs typeface="+mn-cs"/>
            </a:rPr>
            <a:t>Koramangala is the strongest-performing store</a:t>
          </a:r>
        </a:p>
        <a:p>
          <a:pPr marL="0" indent="0"/>
          <a:r>
            <a:rPr lang="ja-JP" altLang="ja-JP" sz="1600" b="1">
              <a:solidFill>
                <a:srgbClr val="3F3F3F"/>
              </a:solidFill>
              <a:latin typeface="+mn-lt"/>
              <a:ea typeface="+mn-ea"/>
              <a:cs typeface="+mn-cs"/>
            </a:rPr>
            <a:t>Koramangala generated approximately ₹50.6K in sales/profit as shown by your chart, making it the leading store among the displayed top performers.</a:t>
          </a:r>
        </a:p>
        <a:p>
          <a:pPr marL="0" indent="0"/>
          <a:endParaRPr lang="ja-JP" altLang="ja-JP" sz="1600" b="1">
            <a:solidFill>
              <a:srgbClr val="3F3F3F"/>
            </a:solidFill>
            <a:latin typeface="+mn-lt"/>
            <a:ea typeface="+mn-ea"/>
            <a:cs typeface="+mn-cs"/>
          </a:endParaRPr>
        </a:p>
      </xdr:txBody>
    </xdr:sp>
    <xdr:clientData/>
  </xdr:twoCellAnchor>
  <xdr:twoCellAnchor>
    <xdr:from>
      <xdr:col>0</xdr:col>
      <xdr:colOff>295069</xdr:colOff>
      <xdr:row>21</xdr:row>
      <xdr:rowOff>103532</xdr:rowOff>
    </xdr:from>
    <xdr:to>
      <xdr:col>12</xdr:col>
      <xdr:colOff>67296</xdr:colOff>
      <xdr:row>29</xdr:row>
      <xdr:rowOff>46589</xdr:rowOff>
    </xdr:to>
    <xdr:sp macro="" textlink="">
      <xdr:nvSpPr>
        <xdr:cNvPr id="36" name="Rectangle: Rounded Corners 35">
          <a:extLst>
            <a:ext uri="{FF2B5EF4-FFF2-40B4-BE49-F238E27FC236}">
              <a16:creationId xmlns:a16="http://schemas.microsoft.com/office/drawing/2014/main" id="{A9DCB48D-A4B0-1BF7-328D-06BD1FF9B39F}"/>
            </a:ext>
          </a:extLst>
        </xdr:cNvPr>
        <xdr:cNvSpPr/>
      </xdr:nvSpPr>
      <xdr:spPr>
        <a:xfrm>
          <a:off x="295069" y="3473519"/>
          <a:ext cx="7537173" cy="1226861"/>
        </a:xfrm>
        <a:prstGeom prst="roundRect">
          <a:avLst/>
        </a:prstGeom>
        <a:solidFill>
          <a:schemeClr val="bg1"/>
        </a:solidFill>
        <a:ln>
          <a:solidFill>
            <a:srgbClr val="E7DCC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ja-JP" altLang="ja-JP" sz="1600" b="1">
              <a:solidFill>
                <a:srgbClr val="3F3F3F"/>
              </a:solidFill>
              <a:latin typeface="+mn-lt"/>
              <a:ea typeface="+mn-ea"/>
              <a:cs typeface="+mn-cs"/>
            </a:rPr>
            <a:t>💳 INSIGHT 03 — PAYMENT BEHAVIOR</a:t>
          </a:r>
        </a:p>
        <a:p>
          <a:pPr marL="0" indent="0"/>
          <a:r>
            <a:rPr lang="ja-JP" altLang="ja-JP" sz="1600" b="1">
              <a:solidFill>
                <a:srgbClr val="3F3F3F"/>
              </a:solidFill>
              <a:latin typeface="+mn-lt"/>
              <a:ea typeface="+mn-ea"/>
              <a:cs typeface="+mn-cs"/>
            </a:rPr>
            <a:t>Credit Card is the leading payment method</a:t>
          </a:r>
        </a:p>
        <a:p>
          <a:pPr marL="0" indent="0"/>
          <a:r>
            <a:rPr lang="ja-JP" altLang="ja-JP" sz="1600" b="1">
              <a:solidFill>
                <a:srgbClr val="3F3F3F"/>
              </a:solidFill>
              <a:latin typeface="+mn-lt"/>
              <a:ea typeface="+mn-ea"/>
              <a:cs typeface="+mn-cs"/>
            </a:rPr>
            <a:t>Credit Card accounts for approximately 27% of transactions, closely followed by Cash at 26%.</a:t>
          </a:r>
        </a:p>
        <a:p>
          <a:pPr marL="0" indent="0" algn="l"/>
          <a:endParaRPr lang="ja-JP" altLang="en-US" sz="1600" b="1">
            <a:solidFill>
              <a:srgbClr val="3F3F3F"/>
            </a:solidFill>
            <a:latin typeface="+mn-lt"/>
            <a:ea typeface="+mn-ea"/>
            <a:cs typeface="+mn-cs"/>
          </a:endParaRPr>
        </a:p>
      </xdr:txBody>
    </xdr:sp>
    <xdr:clientData/>
  </xdr:twoCellAnchor>
  <xdr:twoCellAnchor>
    <xdr:from>
      <xdr:col>12</xdr:col>
      <xdr:colOff>336481</xdr:colOff>
      <xdr:row>21</xdr:row>
      <xdr:rowOff>113885</xdr:rowOff>
    </xdr:from>
    <xdr:to>
      <xdr:col>24</xdr:col>
      <xdr:colOff>331305</xdr:colOff>
      <xdr:row>29</xdr:row>
      <xdr:rowOff>36236</xdr:rowOff>
    </xdr:to>
    <xdr:sp macro="" textlink="">
      <xdr:nvSpPr>
        <xdr:cNvPr id="37" name="Rectangle: Rounded Corners 36">
          <a:extLst>
            <a:ext uri="{FF2B5EF4-FFF2-40B4-BE49-F238E27FC236}">
              <a16:creationId xmlns:a16="http://schemas.microsoft.com/office/drawing/2014/main" id="{4D947F3B-B65D-464E-952E-B6463FEE0675}"/>
            </a:ext>
          </a:extLst>
        </xdr:cNvPr>
        <xdr:cNvSpPr/>
      </xdr:nvSpPr>
      <xdr:spPr>
        <a:xfrm>
          <a:off x="8101427" y="3483872"/>
          <a:ext cx="7759769" cy="1206155"/>
        </a:xfrm>
        <a:prstGeom prst="roundRect">
          <a:avLst/>
        </a:prstGeom>
        <a:solidFill>
          <a:schemeClr val="bg1"/>
        </a:solidFill>
        <a:ln>
          <a:solidFill>
            <a:srgbClr val="E7DCC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ja-JP" altLang="ja-JP" sz="1600" b="1">
              <a:solidFill>
                <a:schemeClr val="tx1"/>
              </a:solidFill>
            </a:rPr>
            <a:t>👥 INSIGHT 04 — CUSTOMER MIX</a:t>
          </a:r>
        </a:p>
        <a:p>
          <a:r>
            <a:rPr lang="ja-JP" altLang="ja-JP" sz="1600" b="1">
              <a:solidFill>
                <a:schemeClr val="tx1"/>
              </a:solidFill>
            </a:rPr>
            <a:t>Returning customers form the largest customer segment</a:t>
          </a:r>
        </a:p>
        <a:p>
          <a:r>
            <a:rPr lang="ja-JP" altLang="ja-JP" sz="1600" b="1">
              <a:solidFill>
                <a:schemeClr val="tx1"/>
              </a:solidFill>
            </a:rPr>
            <a:t>Returning customers account for approximately 37%, ahead of Members and New customers.</a:t>
          </a:r>
        </a:p>
        <a:p>
          <a:pPr algn="l"/>
          <a:endParaRPr kumimoji="1" lang="ja-JP" altLang="en-US" sz="1100"/>
        </a:p>
      </xdr:txBody>
    </xdr:sp>
    <xdr:clientData/>
  </xdr:twoCellAnchor>
  <xdr:twoCellAnchor>
    <xdr:from>
      <xdr:col>2</xdr:col>
      <xdr:colOff>471072</xdr:colOff>
      <xdr:row>30</xdr:row>
      <xdr:rowOff>51765</xdr:rowOff>
    </xdr:from>
    <xdr:to>
      <xdr:col>21</xdr:col>
      <xdr:colOff>553898</xdr:colOff>
      <xdr:row>46</xdr:row>
      <xdr:rowOff>25883</xdr:rowOff>
    </xdr:to>
    <xdr:sp macro="" textlink="">
      <xdr:nvSpPr>
        <xdr:cNvPr id="38" name="Rectangle: Rounded Corners 37">
          <a:extLst>
            <a:ext uri="{FF2B5EF4-FFF2-40B4-BE49-F238E27FC236}">
              <a16:creationId xmlns:a16="http://schemas.microsoft.com/office/drawing/2014/main" id="{029EF69F-AC34-D303-B619-D3BEB9249B1B}"/>
            </a:ext>
          </a:extLst>
        </xdr:cNvPr>
        <xdr:cNvSpPr/>
      </xdr:nvSpPr>
      <xdr:spPr>
        <a:xfrm>
          <a:off x="1765230" y="4866031"/>
          <a:ext cx="12377323" cy="254172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ja-JP" altLang="ja-JP" sz="2000" b="0">
              <a:solidFill>
                <a:schemeClr val="tx1"/>
              </a:solidFill>
            </a:rPr>
            <a:t>🎯 </a:t>
          </a:r>
          <a:r>
            <a:rPr lang="ja-JP" altLang="ja-JP" sz="2400" b="1">
              <a:solidFill>
                <a:schemeClr val="tx1"/>
              </a:solidFill>
            </a:rPr>
            <a:t>Recommended Business Actions</a:t>
          </a:r>
        </a:p>
        <a:p>
          <a:r>
            <a:rPr lang="ja-JP" altLang="ja-JP" sz="2000" b="0" u="sng">
              <a:solidFill>
                <a:schemeClr val="tx1"/>
              </a:solidFill>
            </a:rPr>
            <a:t>Priority</a:t>
          </a:r>
          <a:r>
            <a:rPr lang="en-US" altLang="ja-JP" sz="2000" b="0" baseline="0">
              <a:solidFill>
                <a:schemeClr val="tx1"/>
              </a:solidFill>
            </a:rPr>
            <a:t>                                             </a:t>
          </a:r>
          <a:r>
            <a:rPr lang="ja-JP" altLang="ja-JP" sz="2000" b="0" u="sng">
              <a:solidFill>
                <a:schemeClr val="tx1"/>
              </a:solidFill>
            </a:rPr>
            <a:t>Recommendation</a:t>
          </a:r>
          <a:r>
            <a:rPr lang="en-US" altLang="ja-JP" sz="2000" b="0" baseline="0">
              <a:solidFill>
                <a:schemeClr val="tx1"/>
              </a:solidFill>
            </a:rPr>
            <a:t>                                                                           </a:t>
          </a:r>
          <a:r>
            <a:rPr lang="ja-JP" altLang="ja-JP" sz="2000" b="0" u="sng">
              <a:solidFill>
                <a:schemeClr val="tx1"/>
              </a:solidFill>
            </a:rPr>
            <a:t>Reason</a:t>
          </a:r>
        </a:p>
        <a:p>
          <a:r>
            <a:rPr lang="ja-JP" altLang="ja-JP" sz="2000" b="0">
              <a:solidFill>
                <a:schemeClr val="tx1"/>
              </a:solidFill>
            </a:rPr>
            <a:t>🔴 High</a:t>
          </a:r>
          <a:r>
            <a:rPr lang="en-US" altLang="ja-JP" sz="2000" b="0">
              <a:solidFill>
                <a:schemeClr val="tx1"/>
              </a:solidFill>
            </a:rPr>
            <a:t>                                      </a:t>
          </a:r>
          <a:r>
            <a:rPr lang="ja-JP" altLang="ja-JP" sz="2000" b="0">
              <a:solidFill>
                <a:schemeClr val="tx1"/>
              </a:solidFill>
            </a:rPr>
            <a:t>Focus promotions on Coffee</a:t>
          </a:r>
          <a:r>
            <a:rPr lang="en-US" altLang="ja-JP" sz="2000" b="0">
              <a:solidFill>
                <a:schemeClr val="tx1"/>
              </a:solidFill>
            </a:rPr>
            <a:t>                                                      </a:t>
          </a:r>
          <a:r>
            <a:rPr lang="ja-JP" altLang="ja-JP" sz="2000" b="0">
              <a:solidFill>
                <a:schemeClr val="tx1"/>
              </a:solidFill>
            </a:rPr>
            <a:t>Highest-selling category</a:t>
          </a:r>
        </a:p>
        <a:p>
          <a:r>
            <a:rPr lang="ja-JP" altLang="ja-JP" sz="2000" b="0">
              <a:solidFill>
                <a:schemeClr val="tx1"/>
              </a:solidFill>
            </a:rPr>
            <a:t>🟠 Medium</a:t>
          </a:r>
          <a:r>
            <a:rPr lang="en-US" altLang="ja-JP" sz="2000" b="0">
              <a:solidFill>
                <a:schemeClr val="tx1"/>
              </a:solidFill>
            </a:rPr>
            <a:t>                            </a:t>
          </a:r>
          <a:r>
            <a:rPr lang="ja-JP" altLang="ja-JP" sz="2000" b="0">
              <a:solidFill>
                <a:schemeClr val="tx1"/>
              </a:solidFill>
            </a:rPr>
            <a:t>Study Koramangala's performance</a:t>
          </a:r>
          <a:r>
            <a:rPr lang="en-US" altLang="ja-JP" sz="2000" b="0">
              <a:solidFill>
                <a:schemeClr val="tx1"/>
              </a:solidFill>
            </a:rPr>
            <a:t>                   </a:t>
          </a:r>
          <a:r>
            <a:rPr lang="ja-JP" altLang="ja-JP" sz="2000" b="0">
              <a:solidFill>
                <a:schemeClr val="tx1"/>
              </a:solidFill>
            </a:rPr>
            <a:t>Identify practices that can be replicated</a:t>
          </a:r>
        </a:p>
        <a:p>
          <a:r>
            <a:rPr lang="ja-JP" altLang="ja-JP" sz="2000" b="0">
              <a:solidFill>
                <a:schemeClr val="tx1"/>
              </a:solidFill>
            </a:rPr>
            <a:t>🟠 Medium</a:t>
          </a:r>
          <a:r>
            <a:rPr lang="en-US" altLang="ja-JP" sz="2000" b="0">
              <a:solidFill>
                <a:schemeClr val="tx1"/>
              </a:solidFill>
            </a:rPr>
            <a:t>                              </a:t>
          </a:r>
          <a:r>
            <a:rPr lang="en-US" altLang="ja-JP" sz="2000" b="0" baseline="0">
              <a:solidFill>
                <a:schemeClr val="tx1"/>
              </a:solidFill>
            </a:rPr>
            <a:t> </a:t>
          </a:r>
          <a:r>
            <a:rPr lang="en-US" altLang="ja-JP" sz="2000" b="0">
              <a:solidFill>
                <a:schemeClr val="tx1"/>
              </a:solidFill>
            </a:rPr>
            <a:t> </a:t>
          </a:r>
          <a:r>
            <a:rPr lang="ja-JP" altLang="ja-JP" sz="2000" b="0">
              <a:solidFill>
                <a:schemeClr val="tx1"/>
              </a:solidFill>
            </a:rPr>
            <a:t>Strengthen customer retention</a:t>
          </a:r>
          <a:r>
            <a:rPr lang="en-US" altLang="ja-JP" sz="2000" b="0">
              <a:solidFill>
                <a:schemeClr val="tx1"/>
              </a:solidFill>
            </a:rPr>
            <a:t>            </a:t>
          </a:r>
          <a:r>
            <a:rPr lang="ja-JP" altLang="ja-JP" sz="2000" b="0">
              <a:solidFill>
                <a:schemeClr val="tx1"/>
              </a:solidFill>
            </a:rPr>
            <a:t>Returning customers are the largest segment</a:t>
          </a:r>
        </a:p>
        <a:p>
          <a:r>
            <a:rPr lang="ja-JP" altLang="ja-JP" sz="2000" b="0">
              <a:solidFill>
                <a:schemeClr val="tx1"/>
              </a:solidFill>
            </a:rPr>
            <a:t>🟢 Low</a:t>
          </a:r>
          <a:r>
            <a:rPr lang="en-US" altLang="ja-JP" sz="2000" b="0">
              <a:solidFill>
                <a:schemeClr val="tx1"/>
              </a:solidFill>
            </a:rPr>
            <a:t>                                  </a:t>
          </a:r>
          <a:r>
            <a:rPr lang="ja-JP" altLang="ja-JP" sz="2000" b="0">
              <a:solidFill>
                <a:schemeClr val="tx1"/>
              </a:solidFill>
            </a:rPr>
            <a:t>Maintain multiple payment options</a:t>
          </a:r>
          <a:r>
            <a:rPr lang="en-US" altLang="ja-JP" sz="2000" b="0">
              <a:solidFill>
                <a:schemeClr val="tx1"/>
              </a:solidFill>
            </a:rPr>
            <a:t>          </a:t>
          </a:r>
          <a:r>
            <a:rPr lang="ja-JP" altLang="ja-JP" sz="2000" b="0">
              <a:solidFill>
                <a:schemeClr val="tx1"/>
              </a:solidFill>
            </a:rPr>
            <a:t>Payment usage is distributed across methods</a:t>
          </a:r>
        </a:p>
        <a:p>
          <a:pPr algn="l"/>
          <a:endParaRPr kumimoji="1" lang="ja-JP" altLang="en-US" sz="1100"/>
        </a:p>
      </xdr:txBody>
    </xdr:sp>
    <xdr:clientData/>
  </xdr:twoCellAnchor>
  <xdr:twoCellAnchor>
    <xdr:from>
      <xdr:col>1</xdr:col>
      <xdr:colOff>196711</xdr:colOff>
      <xdr:row>46</xdr:row>
      <xdr:rowOff>108711</xdr:rowOff>
    </xdr:from>
    <xdr:to>
      <xdr:col>23</xdr:col>
      <xdr:colOff>559075</xdr:colOff>
      <xdr:row>61</xdr:row>
      <xdr:rowOff>139769</xdr:rowOff>
    </xdr:to>
    <xdr:sp macro="" textlink="">
      <xdr:nvSpPr>
        <xdr:cNvPr id="39" name="Rectangle: Rounded Corners 38">
          <a:extLst>
            <a:ext uri="{FF2B5EF4-FFF2-40B4-BE49-F238E27FC236}">
              <a16:creationId xmlns:a16="http://schemas.microsoft.com/office/drawing/2014/main" id="{BF175A20-B2E0-9CC9-07EF-1809593F5C1F}"/>
            </a:ext>
          </a:extLst>
        </xdr:cNvPr>
        <xdr:cNvSpPr/>
      </xdr:nvSpPr>
      <xdr:spPr>
        <a:xfrm>
          <a:off x="843790" y="7490586"/>
          <a:ext cx="14598098" cy="243819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ja-JP" altLang="ja-JP" sz="2000" b="1">
              <a:solidFill>
                <a:schemeClr val="tx1"/>
              </a:solidFill>
            </a:rPr>
            <a:t>⚠️ Areas to Monitor</a:t>
          </a:r>
        </a:p>
        <a:p>
          <a:r>
            <a:rPr lang="en-US" altLang="ja-JP" sz="1800" b="0" u="sng">
              <a:solidFill>
                <a:schemeClr val="tx1"/>
              </a:solidFill>
            </a:rPr>
            <a:t>*</a:t>
          </a:r>
          <a:r>
            <a:rPr lang="ja-JP" altLang="ja-JP" sz="1800" b="0" u="sng">
              <a:solidFill>
                <a:schemeClr val="tx1"/>
              </a:solidFill>
            </a:rPr>
            <a:t>Payment distribution</a:t>
          </a:r>
          <a:br>
            <a:rPr lang="ja-JP" altLang="ja-JP" sz="1800" b="0">
              <a:solidFill>
                <a:schemeClr val="tx1"/>
              </a:solidFill>
            </a:rPr>
          </a:br>
          <a:r>
            <a:rPr lang="ja-JP" altLang="ja-JP" sz="1800" b="0">
              <a:solidFill>
                <a:schemeClr val="tx1"/>
              </a:solidFill>
            </a:rPr>
            <a:t>The difference between Credit Card (27%) and Cash (26%) is small, so neither method overwhelmingly dominates.</a:t>
          </a:r>
        </a:p>
        <a:p>
          <a:r>
            <a:rPr lang="en-US" altLang="ja-JP" sz="1800" b="0" u="sng">
              <a:solidFill>
                <a:schemeClr val="tx1"/>
              </a:solidFill>
            </a:rPr>
            <a:t>*</a:t>
          </a:r>
          <a:r>
            <a:rPr lang="ja-JP" altLang="ja-JP" sz="1800" b="0" u="sng">
              <a:solidFill>
                <a:schemeClr val="tx1"/>
              </a:solidFill>
            </a:rPr>
            <a:t>Customer acquisition</a:t>
          </a:r>
          <a:br>
            <a:rPr lang="ja-JP" altLang="ja-JP" sz="1800" b="0">
              <a:solidFill>
                <a:schemeClr val="tx1"/>
              </a:solidFill>
            </a:rPr>
          </a:br>
          <a:r>
            <a:rPr lang="ja-JP" altLang="ja-JP" sz="1800" b="0">
              <a:solidFill>
                <a:schemeClr val="tx1"/>
              </a:solidFill>
            </a:rPr>
            <a:t>New customers account for about 29% based on your current chart, so maintaining a healthy flow of new customers is important.</a:t>
          </a:r>
        </a:p>
        <a:p>
          <a:r>
            <a:rPr lang="en-US" altLang="ja-JP" sz="1800" b="0" u="sng">
              <a:solidFill>
                <a:schemeClr val="tx1"/>
              </a:solidFill>
            </a:rPr>
            <a:t>*</a:t>
          </a:r>
          <a:r>
            <a:rPr lang="ja-JP" altLang="ja-JP" sz="1800" b="0" u="sng">
              <a:solidFill>
                <a:schemeClr val="tx1"/>
              </a:solidFill>
            </a:rPr>
            <a:t>Store performance gap</a:t>
          </a:r>
          <a:br>
            <a:rPr lang="ja-JP" altLang="ja-JP" sz="1800" b="0">
              <a:solidFill>
                <a:schemeClr val="tx1"/>
              </a:solidFill>
            </a:rPr>
          </a:br>
          <a:r>
            <a:rPr lang="ja-JP" altLang="ja-JP" sz="1800" b="0">
              <a:solidFill>
                <a:schemeClr val="tx1"/>
              </a:solidFill>
            </a:rPr>
            <a:t>The difference between the highest and lower-performing stores suggests there may be opportunities to learn from the best-performing locations.</a:t>
          </a:r>
        </a:p>
        <a:p>
          <a:pPr algn="l"/>
          <a:endParaRPr kumimoji="1" lang="ja-JP" altLang="en-US" sz="1100"/>
        </a:p>
      </xdr:txBody>
    </xdr:sp>
    <xdr:clientData/>
  </xdr:twoCellAnchor>
  <xdr:twoCellAnchor>
    <xdr:from>
      <xdr:col>3</xdr:col>
      <xdr:colOff>486602</xdr:colOff>
      <xdr:row>62</xdr:row>
      <xdr:rowOff>82826</xdr:rowOff>
    </xdr:from>
    <xdr:to>
      <xdr:col>21</xdr:col>
      <xdr:colOff>408953</xdr:colOff>
      <xdr:row>72</xdr:row>
      <xdr:rowOff>20707</xdr:rowOff>
    </xdr:to>
    <xdr:sp macro="" textlink="">
      <xdr:nvSpPr>
        <xdr:cNvPr id="40" name="Rectangle: Rounded Corners 39">
          <a:extLst>
            <a:ext uri="{FF2B5EF4-FFF2-40B4-BE49-F238E27FC236}">
              <a16:creationId xmlns:a16="http://schemas.microsoft.com/office/drawing/2014/main" id="{8E82C10A-B213-12EC-7E1E-E543185FA4EF}"/>
            </a:ext>
          </a:extLst>
        </xdr:cNvPr>
        <xdr:cNvSpPr/>
      </xdr:nvSpPr>
      <xdr:spPr>
        <a:xfrm>
          <a:off x="2427839" y="10032310"/>
          <a:ext cx="11569769" cy="154263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ja-JP" altLang="ja-JP" sz="1800" b="0">
              <a:solidFill>
                <a:schemeClr val="tx1"/>
              </a:solidFill>
            </a:rPr>
            <a:t>📋 </a:t>
          </a:r>
          <a:r>
            <a:rPr lang="ja-JP" altLang="ja-JP" sz="2000" b="1">
              <a:solidFill>
                <a:schemeClr val="tx1"/>
              </a:solidFill>
            </a:rPr>
            <a:t>Analysis Methodology</a:t>
          </a:r>
        </a:p>
        <a:p>
          <a:r>
            <a:rPr lang="ja-JP" altLang="ja-JP" sz="1800" b="0">
              <a:solidFill>
                <a:schemeClr val="tx1"/>
              </a:solidFill>
            </a:rPr>
            <a:t>Analysis is based on BrewBean Coffee's 2025 transactional dataset. Data was cleaned and standardized before analysis, including duplicate checks, text standardization, missing-value handling, discount validation and formatting corrections. KPIs and visualizations were created using Excel PivotTables, PivotCharts and slicers.</a:t>
          </a:r>
        </a:p>
        <a:p>
          <a:pPr algn="l"/>
          <a:endParaRPr kumimoji="1" lang="ja-JP" alt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ya Rawat" refreshedDate="46241.664178703701" createdVersion="8" refreshedVersion="8" minRefreshableVersion="3" recordCount="980" xr:uid="{C7BA4898-4BE8-4979-B248-67CBF275A299}">
  <cacheSource type="worksheet">
    <worksheetSource name="Table2"/>
  </cacheSource>
  <cacheFields count="33">
    <cacheField name="Order_ID" numFmtId="0">
      <sharedItems count="980">
        <s v="BB100001"/>
        <s v="BB100002"/>
        <s v="BB100003"/>
        <s v="BB100004"/>
        <s v="BB100005"/>
        <s v="BB100006"/>
        <s v="BB100007"/>
        <s v="BB100008"/>
        <s v="BB100009"/>
        <s v="BB100010"/>
        <s v="BB100941"/>
        <s v="BB100012"/>
        <s v="BB100013"/>
        <s v="BB100014"/>
        <s v="BB100015"/>
        <s v="BB100016"/>
        <s v="BB100017"/>
        <s v="BB100018"/>
        <s v="BB100019"/>
        <s v="BB100020"/>
        <s v="BB100021"/>
        <s v="BB100022"/>
        <s v="BB100023"/>
        <s v="BB100024"/>
        <s v="BB100025"/>
        <s v="BB100026"/>
        <s v="BB100027"/>
        <s v="BB100028"/>
        <s v="BB100029"/>
        <s v="BB100030"/>
        <s v="BB100031"/>
        <s v="BB100032"/>
        <s v="BB100033"/>
        <s v="BB100034"/>
        <s v="BB100035"/>
        <s v="BB100036"/>
        <s v="BB100037"/>
        <s v="BB100038"/>
        <s v="BB100039"/>
        <s v="BB100040"/>
        <s v="BB100041"/>
        <s v="BB100042"/>
        <s v="BB100043"/>
        <s v="BB100044"/>
        <s v="BB100045"/>
        <s v="BB100046"/>
        <s v="BB100047"/>
        <s v="BB100048"/>
        <s v="BB100049"/>
        <s v="BB100050"/>
        <s v="BB100051"/>
        <s v="BB100052"/>
        <s v="BB100053"/>
        <s v="BB100054"/>
        <s v="BB100055"/>
        <s v="BB100056"/>
        <s v="BB100057"/>
        <s v="BB100058"/>
        <s v="BB100059"/>
        <s v="BB100060"/>
        <s v="BB100061"/>
        <s v="BB100062"/>
        <s v="BB100063"/>
        <s v="BB100064"/>
        <s v="BB100065"/>
        <s v="BB100066"/>
        <s v="BB100067"/>
        <s v="BB100068"/>
        <s v="BB100069"/>
        <s v="BB100070"/>
        <s v="BB100071"/>
        <s v="BB100072"/>
        <s v="BB100073"/>
        <s v="BB100490"/>
        <s v="BB100075"/>
        <s v="BB100076"/>
        <s v="BB100077"/>
        <s v="BB100078"/>
        <s v="BB100079"/>
        <s v="BB100080"/>
        <s v="BB100081"/>
        <s v="BB100082"/>
        <s v="BB100083"/>
        <s v="BB100084"/>
        <s v="BB100085"/>
        <s v="BB100086"/>
        <s v="BB100087"/>
        <s v="BB100088"/>
        <s v="BB100089"/>
        <s v="BB100090"/>
        <s v="BB100150"/>
        <s v="BB100092"/>
        <s v="BB100093"/>
        <s v="BB100094"/>
        <s v="BB100095"/>
        <s v="BB100096"/>
        <s v="BB100097"/>
        <s v="BB100098"/>
        <s v="BB100099"/>
        <s v="BB100100"/>
        <s v="BB100101"/>
        <s v="BB100102"/>
        <s v="BB100103"/>
        <s v="BB100104"/>
        <s v="BB100105"/>
        <s v="BB100106"/>
        <s v="BB100107"/>
        <s v="BB100108"/>
        <s v="BB100109"/>
        <s v="BB100110"/>
        <s v="BB100111"/>
        <s v="BB100112"/>
        <s v="BB100113"/>
        <s v="BB100114"/>
        <s v="BB100115"/>
        <s v="BB100116"/>
        <s v="BB100117"/>
        <s v="BB100118"/>
        <s v="BB100119"/>
        <s v="BB100120"/>
        <s v="BB100121"/>
        <s v="BB100122"/>
        <s v="BB100123"/>
        <s v="BB100124"/>
        <s v="BB100125"/>
        <s v="BB100126"/>
        <s v="BB100127"/>
        <s v="BB100128"/>
        <s v="BB100129"/>
        <s v="BB100130"/>
        <s v="BB100131"/>
        <s v="BB100132"/>
        <s v="BB100133"/>
        <s v="BB100134"/>
        <s v="BB100135"/>
        <s v="BB100136"/>
        <s v="BB100137"/>
        <s v="BB100138"/>
        <s v="BB100139"/>
        <s v="BB100140"/>
        <s v="BB100141"/>
        <s v="BB100142"/>
        <s v="BB100143"/>
        <s v="BB100144"/>
        <s v="BB100145"/>
        <s v="BB100146"/>
        <s v="BB100147"/>
        <s v="BB100148"/>
        <s v="BB100149"/>
        <s v="BB100151"/>
        <s v="BB100152"/>
        <s v="BB100153"/>
        <s v="BB100154"/>
        <s v="BB100155"/>
        <s v="BB100156"/>
        <s v="BB100157"/>
        <s v="BB100158"/>
        <s v="BB100159"/>
        <s v="BB100160"/>
        <s v="BB100161"/>
        <s v="BB100162"/>
        <s v="BB100163"/>
        <s v="BB100164"/>
        <s v="BB100165"/>
        <s v="BB100166"/>
        <s v="BB100167"/>
        <s v="BB100168"/>
        <s v="BB100169"/>
        <s v="BB100170"/>
        <s v="BB100171"/>
        <s v="BB100172"/>
        <s v="BB100173"/>
        <s v="BB100174"/>
        <s v="BB100322"/>
        <s v="BB100176"/>
        <s v="BB100177"/>
        <s v="BB100178"/>
        <s v="BB100179"/>
        <s v="BB100180"/>
        <s v="BB100181"/>
        <s v="BB100182"/>
        <s v="BB100183"/>
        <s v="BB100184"/>
        <s v="BB100185"/>
        <s v="BB100186"/>
        <s v="BB100187"/>
        <s v="BB100188"/>
        <s v="BB100189"/>
        <s v="BB100190"/>
        <s v="BB100191"/>
        <s v="BB100192"/>
        <s v="BB100193"/>
        <s v="BB100194"/>
        <s v="BB100195"/>
        <s v="BB100196"/>
        <s v="BB100197"/>
        <s v="BB100198"/>
        <s v="BB100199"/>
        <s v="BB100200"/>
        <s v="BB100201"/>
        <s v="BB100202"/>
        <s v="BB100203"/>
        <s v="BB100204"/>
        <s v="BB100205"/>
        <s v="BB100206"/>
        <s v="BB100207"/>
        <s v="BB100208"/>
        <s v="BB100209"/>
        <s v="BB100210"/>
        <s v="BB100211"/>
        <s v="BB100212"/>
        <s v="BB100213"/>
        <s v="BB100214"/>
        <s v="BB100215"/>
        <s v="BB100216"/>
        <s v="BB100217"/>
        <s v="BB100218"/>
        <s v="BB100219"/>
        <s v="BB100220"/>
        <s v="BB100221"/>
        <s v="BB100222"/>
        <s v="BB100223"/>
        <s v="BB100224"/>
        <s v="BB100225"/>
        <s v="BB100226"/>
        <s v="BB100227"/>
        <s v="BB100228"/>
        <s v="BB100229"/>
        <s v="BB100230"/>
        <s v="BB100231"/>
        <s v="BB100232"/>
        <s v="BB100233"/>
        <s v="BB100234"/>
        <s v="BB100235"/>
        <s v="BB100236"/>
        <s v="BB100237"/>
        <s v="BB100238"/>
        <s v="BB100239"/>
        <s v="BB100240"/>
        <s v="BB100241"/>
        <s v="BB100242"/>
        <s v="BB100243"/>
        <s v="BB100244"/>
        <s v="BB100245"/>
        <s v="BB100246"/>
        <s v="BB100247"/>
        <s v="BB100248"/>
        <s v="BB100249"/>
        <s v="BB100250"/>
        <s v="BB100251"/>
        <s v="BB100252"/>
        <s v="BB100253"/>
        <s v="BB100254"/>
        <s v="BB100255"/>
        <s v="BB100256"/>
        <s v="BB100257"/>
        <s v="BB100258"/>
        <s v="BB100259"/>
        <s v="BB100260"/>
        <s v="BB100261"/>
        <s v="BB100262"/>
        <s v="BB100263"/>
        <s v="BB100264"/>
        <s v="BB100265"/>
        <s v="BB100266"/>
        <s v="BB100267"/>
        <s v="BB100268"/>
        <s v="BB100269"/>
        <s v="BB100270"/>
        <s v="BB100271"/>
        <s v="BB100272"/>
        <s v="BB100273"/>
        <s v="BB100274"/>
        <s v="BB100275"/>
        <s v="BB100276"/>
        <s v="BB100277"/>
        <s v="BB100278"/>
        <s v="BB100279"/>
        <s v="BB100280"/>
        <s v="BB100281"/>
        <s v="BB100282"/>
        <s v="BB100283"/>
        <s v="BB100284"/>
        <s v="BB100285"/>
        <s v="BB100286"/>
        <s v="BB100287"/>
        <s v="BB100288"/>
        <s v="BB100289"/>
        <s v="BB100290"/>
        <s v="BB100291"/>
        <s v="BB100292"/>
        <s v="BB100293"/>
        <s v="BB100404"/>
        <s v="BB100295"/>
        <s v="BB100296"/>
        <s v="BB100297"/>
        <s v="BB100298"/>
        <s v="BB100299"/>
        <s v="BB100300"/>
        <s v="BB100301"/>
        <s v="BB100302"/>
        <s v="BB100303"/>
        <s v="BB100304"/>
        <s v="BB100305"/>
        <s v="BB100306"/>
        <s v="BB100307"/>
        <s v="BB100308"/>
        <s v="BB100309"/>
        <s v="BB100310"/>
        <s v="BB100311"/>
        <s v="BB100312"/>
        <s v="BB100313"/>
        <s v="BB100314"/>
        <s v="BB100315"/>
        <s v="BB100316"/>
        <s v="BB100416"/>
        <s v="BB100318"/>
        <s v="BB100319"/>
        <s v="BB100320"/>
        <s v="BB100321"/>
        <s v="BB100323"/>
        <s v="BB100324"/>
        <s v="BB100325"/>
        <s v="BB100326"/>
        <s v="BB100327"/>
        <s v="BB100328"/>
        <s v="BB100329"/>
        <s v="BB100330"/>
        <s v="BB100331"/>
        <s v="BB100332"/>
        <s v="BB100333"/>
        <s v="BB100334"/>
        <s v="BB100335"/>
        <s v="BB100336"/>
        <s v="BB100337"/>
        <s v="BB100338"/>
        <s v="BB100339"/>
        <s v="BB100340"/>
        <s v="BB100341"/>
        <s v="BB100560"/>
        <s v="BB100343"/>
        <s v="BB100344"/>
        <s v="BB100345"/>
        <s v="BB100346"/>
        <s v="BB100347"/>
        <s v="BB100348"/>
        <s v="BB100349"/>
        <s v="BB100350"/>
        <s v="BB100351"/>
        <s v="BB100352"/>
        <s v="BB100353"/>
        <s v="BB100354"/>
        <s v="BB100355"/>
        <s v="BB100356"/>
        <s v="BB100357"/>
        <s v="BB100358"/>
        <s v="BB100359"/>
        <s v="BB100360"/>
        <s v="BB100361"/>
        <s v="BB100362"/>
        <s v="BB100363"/>
        <s v="BB100364"/>
        <s v="BB100365"/>
        <s v="BB100366"/>
        <s v="BB100367"/>
        <s v="BB100368"/>
        <s v="BB100369"/>
        <s v="BB100370"/>
        <s v="BB100371"/>
        <s v="BB100372"/>
        <s v="BB100373"/>
        <s v="BB100374"/>
        <s v="BB100375"/>
        <s v="BB100376"/>
        <s v="BB100377"/>
        <s v="BB100378"/>
        <s v="BB100379"/>
        <s v="BB100380"/>
        <s v="BB100381"/>
        <s v="BB100382"/>
        <s v="BB100383"/>
        <s v="BB100384"/>
        <s v="BB100385"/>
        <s v="BB100386"/>
        <s v="BB100387"/>
        <s v="BB100388"/>
        <s v="BB100389"/>
        <s v="BB100390"/>
        <s v="BB100391"/>
        <s v="BB100392"/>
        <s v="BB100393"/>
        <s v="BB100394"/>
        <s v="BB100395"/>
        <s v="BB100396"/>
        <s v="BB100397"/>
        <s v="BB100398"/>
        <s v="BB100399"/>
        <s v="BB100400"/>
        <s v="BB100401"/>
        <s v="BB100402"/>
        <s v="BB100403"/>
        <s v="BB100405"/>
        <s v="BB100407"/>
        <s v="BB100408"/>
        <s v="BB100409"/>
        <s v="BB100957"/>
        <s v="BB100411"/>
        <s v="BB100412"/>
        <s v="BB100413"/>
        <s v="BB100414"/>
        <s v="BB100415"/>
        <s v="BB100417"/>
        <s v="BB100418"/>
        <s v="BB100419"/>
        <s v="BB100420"/>
        <s v="BB100421"/>
        <s v="BB100422"/>
        <s v="BB100423"/>
        <s v="BB100424"/>
        <s v="BB100425"/>
        <s v="BB100426"/>
        <s v="BB100427"/>
        <s v="BB100428"/>
        <s v="BB100429"/>
        <s v="BB100430"/>
        <s v="BB100431"/>
        <s v="BB100432"/>
        <s v="BB100433"/>
        <s v="BB100434"/>
        <s v="BB100435"/>
        <s v="BB100436"/>
        <s v="BB100437"/>
        <s v="BB100438"/>
        <s v="BB100439"/>
        <s v="BB100440"/>
        <s v="BB100441"/>
        <s v="BB100442"/>
        <s v="BB100443"/>
        <s v="BB100444"/>
        <s v="BB100445"/>
        <s v="BB100446"/>
        <s v="BB100447"/>
        <s v="BB100448"/>
        <s v="BB100449"/>
        <s v="BB100450"/>
        <s v="BB100451"/>
        <s v="BB100452"/>
        <s v="BB100453"/>
        <s v="BB100454"/>
        <s v="BB100455"/>
        <s v="BB100456"/>
        <s v="BB100457"/>
        <s v="BB100458"/>
        <s v="BB100459"/>
        <s v="BB100460"/>
        <s v="BB100461"/>
        <s v="BB100462"/>
        <s v="BB100463"/>
        <s v="BB100464"/>
        <s v="BB100465"/>
        <s v="BB100466"/>
        <s v="BB100467"/>
        <s v="BB100468"/>
        <s v="BB100469"/>
        <s v="BB100470"/>
        <s v="BB100471"/>
        <s v="BB100472"/>
        <s v="BB100473"/>
        <s v="BB100474"/>
        <s v="BB100475"/>
        <s v="BB100476"/>
        <s v="BB100477"/>
        <s v="BB100478"/>
        <s v="BB100479"/>
        <s v="BB100480"/>
        <s v="BB100481"/>
        <s v="BB100482"/>
        <s v="BB100483"/>
        <s v="BB100484"/>
        <s v="BB100485"/>
        <s v="BB100486"/>
        <s v="BB100487"/>
        <s v="BB100488"/>
        <s v="BB100489"/>
        <s v="BB100491"/>
        <s v="BB100492"/>
        <s v="BB100493"/>
        <s v="BB100494"/>
        <s v="BB100495"/>
        <s v="BB100496"/>
        <s v="BB100497"/>
        <s v="BB100498"/>
        <s v="BB100499"/>
        <s v="BB100500"/>
        <s v="BB100501"/>
        <s v="BB100502"/>
        <s v="BB100503"/>
        <s v="BB100504"/>
        <s v="BB100657"/>
        <s v="BB100506"/>
        <s v="BB100507"/>
        <s v="BB100508"/>
        <s v="BB100509"/>
        <s v="BB100510"/>
        <s v="BB100511"/>
        <s v="BB100512"/>
        <s v="BB100513"/>
        <s v="BB100514"/>
        <s v="BB100515"/>
        <s v="BB100516"/>
        <s v="BB100517"/>
        <s v="BB100518"/>
        <s v="BB100519"/>
        <s v="BB100520"/>
        <s v="BB100521"/>
        <s v="BB100522"/>
        <s v="BB100523"/>
        <s v="BB100524"/>
        <s v="BB100525"/>
        <s v="BB100526"/>
        <s v="BB100527"/>
        <s v="BB100528"/>
        <s v="BB100529"/>
        <s v="BB100530"/>
        <s v="BB100531"/>
        <s v="BB100532"/>
        <s v="BB100533"/>
        <s v="BB100534"/>
        <s v="BB100535"/>
        <s v="BB100536"/>
        <s v="BB100537"/>
        <s v="BB100538"/>
        <s v="BB100539"/>
        <s v="BB100540"/>
        <s v="BB100541"/>
        <s v="BB100542"/>
        <s v="BB100543"/>
        <s v="BB100544"/>
        <s v="BB100545"/>
        <s v="BB100546"/>
        <s v="BB100547"/>
        <s v="BB100548"/>
        <s v="BB100549"/>
        <s v="BB100550"/>
        <s v="BB100551"/>
        <s v="BB100552"/>
        <s v="BB100553"/>
        <s v="BB100554"/>
        <s v="BB100555"/>
        <s v="BB100556"/>
        <s v="BB100557"/>
        <s v="BB100558"/>
        <s v="BB100559"/>
        <s v="BB100561"/>
        <s v="BB100562"/>
        <s v="BB100563"/>
        <s v="BB100564"/>
        <s v="BB100565"/>
        <s v="BB100566"/>
        <s v="BB100567"/>
        <s v="BB100568"/>
        <s v="BB100569"/>
        <s v="BB100570"/>
        <s v="BB100571"/>
        <s v="BB100572"/>
        <s v="BB100573"/>
        <s v="BB100574"/>
        <s v="BB100575"/>
        <s v="BB100576"/>
        <s v="BB100577"/>
        <s v="BB100578"/>
        <s v="BB100579"/>
        <s v="BB100580"/>
        <s v="BB100581"/>
        <s v="BB100582"/>
        <s v="BB100583"/>
        <s v="BB100584"/>
        <s v="BB100585"/>
        <s v="BB100586"/>
        <s v="BB100587"/>
        <s v="BB100588"/>
        <s v="BB100589"/>
        <s v="BB100590"/>
        <s v="BB100591"/>
        <s v="BB100592"/>
        <s v="BB100593"/>
        <s v="BB100594"/>
        <s v="BB100595"/>
        <s v="BB100596"/>
        <s v="BB100597"/>
        <s v="BB100598"/>
        <s v="BB100599"/>
        <s v="BB100600"/>
        <s v="BB100601"/>
        <s v="BB100602"/>
        <s v="BB100603"/>
        <s v="BB100604"/>
        <s v="BB100605"/>
        <s v="BB100606"/>
        <s v="BB100607"/>
        <s v="BB100608"/>
        <s v="BB100609"/>
        <s v="BB100610"/>
        <s v="BB100611"/>
        <s v="BB100612"/>
        <s v="BB100613"/>
        <s v="BB100614"/>
        <s v="BB100615"/>
        <s v="BB100616"/>
        <s v="BB100617"/>
        <s v="BB100618"/>
        <s v="BB100619"/>
        <s v="BB100620"/>
        <s v="BB100621"/>
        <s v="BB100622"/>
        <s v="BB100623"/>
        <s v="BB100624"/>
        <s v="BB100625"/>
        <s v="BB100626"/>
        <s v="BB100627"/>
        <s v="BB100628"/>
        <s v="BB100629"/>
        <s v="BB100630"/>
        <s v="BB100631"/>
        <s v="BB100632"/>
        <s v="BB100633"/>
        <s v="BB100634"/>
        <s v="BB100635"/>
        <s v="BB100636"/>
        <s v="BB100637"/>
        <s v="BB100638"/>
        <s v="BB100639"/>
        <s v="BB100641"/>
        <s v="BB100642"/>
        <s v="BB100643"/>
        <s v="BB100644"/>
        <s v="BB100645"/>
        <s v="BB100646"/>
        <s v="BB100647"/>
        <s v="BB100648"/>
        <s v="BB100649"/>
        <s v="BB100650"/>
        <s v="BB100651"/>
        <s v="BB100652"/>
        <s v="BB100653"/>
        <s v="BB100654"/>
        <s v="BB100655"/>
        <s v="BB100656"/>
        <s v="BB100658"/>
        <s v="BB100659"/>
        <s v="BB100660"/>
        <s v="BB100661"/>
        <s v="BB100662"/>
        <s v="BB100663"/>
        <s v="BB100664"/>
        <s v="BB100665"/>
        <s v="BB100666"/>
        <s v="BB100667"/>
        <s v="BB100668"/>
        <s v="BB100669"/>
        <s v="BB100670"/>
        <s v="BB100671"/>
        <s v="BB100672"/>
        <s v="BB100673"/>
        <s v="BB100674"/>
        <s v="BB100675"/>
        <s v="BB100676"/>
        <s v="BB100677"/>
        <s v="BB100678"/>
        <s v="BB100679"/>
        <s v="BB100680"/>
        <s v="BB100681"/>
        <s v="BB100682"/>
        <s v="BB100683"/>
        <s v="BB100684"/>
        <s v="BB100685"/>
        <s v="BB100686"/>
        <s v="BB100687"/>
        <s v="BB100688"/>
        <s v="BB100689"/>
        <s v="BB100690"/>
        <s v="BB100691"/>
        <s v="BB100693"/>
        <s v="BB100694"/>
        <s v="BB100818"/>
        <s v="BB100981"/>
        <s v="BB100697"/>
        <s v="BB100698"/>
        <s v="BB100699"/>
        <s v="BB100700"/>
        <s v="BB100701"/>
        <s v="BB100702"/>
        <s v="BB100703"/>
        <s v="BB100704"/>
        <s v="BB100705"/>
        <s v="BB100706"/>
        <s v="BB100707"/>
        <s v="BB100708"/>
        <s v="BB100709"/>
        <s v="BB100710"/>
        <s v="BB100711"/>
        <s v="BB100712"/>
        <s v="BB100713"/>
        <s v="BB100714"/>
        <s v="BB100715"/>
        <s v="BB100716"/>
        <s v="BB100717"/>
        <s v="BB100718"/>
        <s v="BB100978"/>
        <s v="BB100720"/>
        <s v="BB100721"/>
        <s v="BB100722"/>
        <s v="BB100723"/>
        <s v="BB100724"/>
        <s v="BB100725"/>
        <s v="BB100726"/>
        <s v="BB100727"/>
        <s v="BB100728"/>
        <s v="BB100729"/>
        <s v="BB100730"/>
        <s v="BB100731"/>
        <s v="BB100732"/>
        <s v="BB100733"/>
        <s v="BB100734"/>
        <s v="BB100735"/>
        <s v="BB100736"/>
        <s v="BB100737"/>
        <s v="BB100738"/>
        <s v="BB100739"/>
        <s v="BB100740"/>
        <s v="BB100741"/>
        <s v="BB100742"/>
        <s v="BB100743"/>
        <s v="BB100744"/>
        <s v="BB100745"/>
        <s v="BB100746"/>
        <s v="BB100747"/>
        <s v="BB100748"/>
        <s v="BB100749"/>
        <s v="BB100750"/>
        <s v="BB100751"/>
        <s v="BB100753"/>
        <s v="BB100754"/>
        <s v="BB100755"/>
        <s v="BB100756"/>
        <s v="BB100757"/>
        <s v="BB100758"/>
        <s v="BB100759"/>
        <s v="BB100760"/>
        <s v="BB100761"/>
        <s v="BB100762"/>
        <s v="BB100763"/>
        <s v="BB100764"/>
        <s v="BB100765"/>
        <s v="BB100766"/>
        <s v="BB100767"/>
        <s v="BB100768"/>
        <s v="BB100769"/>
        <s v="BB100770"/>
        <s v="BB100771"/>
        <s v="BB100772"/>
        <s v="BB100773"/>
        <s v="BB100774"/>
        <s v="BB100775"/>
        <s v="BB100776"/>
        <s v="BB100777"/>
        <s v="BB100778"/>
        <s v="BB100779"/>
        <s v="BB100780"/>
        <s v="BB100781"/>
        <s v="BB100782"/>
        <s v="BB100783"/>
        <s v="BB100784"/>
        <s v="BB100785"/>
        <s v="BB100786"/>
        <s v="BB100787"/>
        <s v="BB100788"/>
        <s v="BB100789"/>
        <s v="BB100790"/>
        <s v="BB100791"/>
        <s v="BB100792"/>
        <s v="BB100793"/>
        <s v="BB100794"/>
        <s v="BB100795"/>
        <s v="BB100796"/>
        <s v="BB100797"/>
        <s v="BB100798"/>
        <s v="BB100799"/>
        <s v="BB100800"/>
        <s v="BB100801"/>
        <s v="BB100802"/>
        <s v="BB100803"/>
        <s v="BB100804"/>
        <s v="BB100805"/>
        <s v="BB100806"/>
        <s v="BB100807"/>
        <s v="BB100808"/>
        <s v="BB100809"/>
        <s v="BB100810"/>
        <s v="BB100811"/>
        <s v="BB100812"/>
        <s v="BB100813"/>
        <s v="BB100814"/>
        <s v="BB100815"/>
        <s v="BB100816"/>
        <s v="BB100817"/>
        <s v="BB100819"/>
        <s v="BB100820"/>
        <s v="BB100821"/>
        <s v="BB100822"/>
        <s v="BB100823"/>
        <s v="BB100824"/>
        <s v="BB100825"/>
        <s v="BB100826"/>
        <s v="BB100827"/>
        <s v="BB100828"/>
        <s v="BB100829"/>
        <s v="BB100830"/>
        <s v="BB100831"/>
        <s v="BB100832"/>
        <s v="BB100833"/>
        <s v="BB100834"/>
        <s v="BB100835"/>
        <s v="BB100836"/>
        <s v="BB100837"/>
        <s v="BB100839"/>
        <s v="BB100840"/>
        <s v="BB100841"/>
        <s v="BB100842"/>
        <s v="BB100843"/>
        <s v="BB100844"/>
        <s v="BB100845"/>
        <s v="BB100846"/>
        <s v="BB100847"/>
        <s v="BB100848"/>
        <s v="BB100849"/>
        <s v="BB100850"/>
        <s v="BB100851"/>
        <s v="BB100852"/>
        <s v="BB100853"/>
        <s v="BB100854"/>
        <s v="BB100855"/>
        <s v="BB100856"/>
        <s v="BB100857"/>
        <s v="BB100858"/>
        <s v="BB100859"/>
        <s v="BB100860"/>
        <s v="BB100861"/>
        <s v="BB100862"/>
        <s v="BB100863"/>
        <s v="BB100864"/>
        <s v="BB100865"/>
        <s v="BB100866"/>
        <s v="BB100867"/>
        <s v="BB100868"/>
        <s v="BB100870"/>
        <s v="BB100871"/>
        <s v="BB100872"/>
        <s v="BB100873"/>
        <s v="BB100874"/>
        <s v="BB100875"/>
        <s v="BB100876"/>
        <s v="BB100877"/>
        <s v="BB100878"/>
        <s v="BB100879"/>
        <s v="BB100880"/>
        <s v="BB100881"/>
        <s v="BB100882"/>
        <s v="BB100883"/>
        <s v="BB100884"/>
        <s v="BB100885"/>
        <s v="BB100886"/>
        <s v="BB100887"/>
        <s v="BB100888"/>
        <s v="BB100889"/>
        <s v="BB100890"/>
        <s v="BB100891"/>
        <s v="BB100892"/>
        <s v="BB100893"/>
        <s v="BB100894"/>
        <s v="BB100895"/>
        <s v="BB100896"/>
        <s v="BB100897"/>
        <s v="BB100898"/>
        <s v="BB100899"/>
        <s v="BB100900"/>
        <s v="BB100968"/>
        <s v="BB100902"/>
        <s v="BB100903"/>
        <s v="BB100904"/>
        <s v="BB100905"/>
        <s v="BB100906"/>
        <s v="BB100907"/>
        <s v="BB100908"/>
        <s v="BB100909"/>
        <s v="BB100910"/>
        <s v="BB100911"/>
        <s v="BB100912"/>
        <s v="BB100913"/>
        <s v="BB100914"/>
        <s v="BB100915"/>
        <s v="BB100916"/>
        <s v="BB100917"/>
        <s v="BB100918"/>
        <s v="BB100919"/>
        <s v="BB100920"/>
        <s v="BB100921"/>
        <s v="BB100922"/>
        <s v="BB100923"/>
        <s v="BB100924"/>
        <s v="BB100925"/>
        <s v="BB100926"/>
        <s v="BB100927"/>
        <s v="BB100928"/>
        <s v="BB100929"/>
        <s v="BB100930"/>
        <s v="BB100931"/>
        <s v="BB100932"/>
        <s v="BB100933"/>
        <s v="BB100934"/>
        <s v="BB100935"/>
        <s v="BB100936"/>
        <s v="BB100937"/>
        <s v="BB100938"/>
        <s v="BB100939"/>
        <s v="BB100940"/>
        <s v="BB100942"/>
        <s v="BB100943"/>
        <s v="BB100944"/>
        <s v="BB100945"/>
        <s v="BB100946"/>
        <s v="BB100947"/>
        <s v="BB100948"/>
        <s v="BB100949"/>
        <s v="BB100950"/>
        <s v="BB100951"/>
        <s v="BB100952"/>
        <s v="BB100953"/>
        <s v="BB100954"/>
        <s v="BB100955"/>
        <s v="BB100958"/>
        <s v="BB100959"/>
        <s v="BB100960"/>
        <s v="BB100961"/>
        <s v="BB100962"/>
        <s v="BB100963"/>
        <s v="BB100964"/>
        <s v="BB100965"/>
        <s v="BB100966"/>
        <s v="BB100967"/>
        <s v="BB100969"/>
        <s v="BB100970"/>
        <s v="BB100971"/>
        <s v="BB100972"/>
        <s v="BB100973"/>
        <s v="BB100974"/>
        <s v="BB100975"/>
        <s v="BB100976"/>
        <s v="BB100977"/>
        <s v="BB100979"/>
        <s v="BB100980"/>
        <s v="BB100982"/>
        <s v="BB100983"/>
        <s v="BB100984"/>
        <s v="BB100985"/>
        <s v="BB100986"/>
        <s v="BB100987"/>
        <s v="BB100988"/>
        <s v="BB100989"/>
        <s v="BB100990"/>
        <s v="BB100991"/>
        <s v="BB100992"/>
        <s v="BB100993"/>
        <s v="BB100994"/>
        <s v="BB100995"/>
        <s v="BB100996"/>
        <s v="BB100997"/>
        <s v="BB100998"/>
        <s v="BB100999"/>
        <s v="BB101000"/>
      </sharedItems>
    </cacheField>
    <cacheField name="Order_Date" numFmtId="179">
      <sharedItems containsSemiMixedTypes="0" containsNonDate="0" containsDate="1" containsString="0" minDate="2025-01-02T00:00:00" maxDate="2026-01-01T00:00:00"/>
    </cacheField>
    <cacheField name="Order_Time" numFmtId="176">
      <sharedItems/>
    </cacheField>
    <cacheField name="Day_Name" numFmtId="0">
      <sharedItems/>
    </cacheField>
    <cacheField name="Month" numFmtId="0">
      <sharedItems count="12">
        <s v="October"/>
        <s v="November"/>
        <s v="September"/>
        <s v="February"/>
        <s v="August"/>
        <s v="March"/>
        <s v="July"/>
        <s v="May"/>
        <s v="December"/>
        <s v="January"/>
        <s v="June"/>
        <s v="April"/>
      </sharedItems>
    </cacheField>
    <cacheField name="Quarter" numFmtId="0">
      <sharedItems/>
    </cacheField>
    <cacheField name="Season" numFmtId="0">
      <sharedItems/>
    </cacheField>
    <cacheField name="Store_ID" numFmtId="0">
      <sharedItems/>
    </cacheField>
    <cacheField name="Store_Name" numFmtId="0">
      <sharedItems count="6">
        <s v="Connaught place"/>
        <s v="Banjara Hills"/>
        <s v="Park Street"/>
        <s v="Koramangala"/>
        <s v="C-Scheme"/>
        <s v="Bandra"/>
      </sharedItems>
    </cacheField>
    <cacheField name="City" numFmtId="0">
      <sharedItems count="6">
        <s v="Delhi"/>
        <s v="Hyderabad"/>
        <s v="Kolkata"/>
        <s v="Bangalore"/>
        <s v="Jaipur"/>
        <s v="Mumbai"/>
      </sharedItems>
    </cacheField>
    <cacheField name="Region" numFmtId="0">
      <sharedItems/>
    </cacheField>
    <cacheField name="Customer_ID" numFmtId="0">
      <sharedItems/>
    </cacheField>
    <cacheField name="Customer_Type" numFmtId="0">
      <sharedItems count="3">
        <s v="New"/>
        <s v="Returning"/>
        <s v="Member"/>
      </sharedItems>
    </cacheField>
    <cacheField name="Loyalty_Tier" numFmtId="0">
      <sharedItems/>
    </cacheField>
    <cacheField name="Product_ID" numFmtId="0">
      <sharedItems/>
    </cacheField>
    <cacheField name="Product" numFmtId="0">
      <sharedItems count="15">
        <s v="Iced Latte"/>
        <s v="Espresso"/>
        <s v="Latte"/>
        <s v="Cappuccino"/>
        <s v="Green Tea"/>
        <s v="Masala Tea"/>
        <s v="Paneer Sandwich"/>
        <s v="Brownie"/>
        <s v="Cold Coffee"/>
        <s v="Muffin"/>
        <s v="Americano"/>
        <s v="Lemonade"/>
        <s v="Cheesecake"/>
        <s v="Veg Sandwich"/>
        <s v="Tiramisu"/>
      </sharedItems>
    </cacheField>
    <cacheField name="Category" numFmtId="0">
      <sharedItems count="6">
        <s v="Cold"/>
        <s v="Coffee"/>
        <s v="Tea"/>
        <s v="Sandwich"/>
        <s v="Bakery"/>
        <s v="Dessert"/>
      </sharedItems>
    </cacheField>
    <cacheField name="Size" numFmtId="0">
      <sharedItems/>
    </cacheField>
    <cacheField name="Quantity" numFmtId="0">
      <sharedItems containsSemiMixedTypes="0" containsString="0" containsNumber="1" containsInteger="1" minValue="1" maxValue="4"/>
    </cacheField>
    <cacheField name="Ingredient_Cost" numFmtId="181">
      <sharedItems containsSemiMixedTypes="0" containsString="0" containsNumber="1" minValue="38.700000000000003" maxValue="138.18"/>
    </cacheField>
    <cacheField name="Packaging_Cost" numFmtId="178">
      <sharedItems containsSemiMixedTypes="0" containsString="0" containsNumber="1" containsInteger="1" minValue="12" maxValue="12"/>
    </cacheField>
    <cacheField name="Labour_Cost" numFmtId="178">
      <sharedItems containsSemiMixedTypes="0" containsString="0" containsNumber="1" containsInteger="1" minValue="22" maxValue="22"/>
    </cacheField>
    <cacheField name="Total_Cost" numFmtId="181">
      <sharedItems containsSemiMixedTypes="0" containsString="0" containsNumber="1" minValue="72.7" maxValue="172.18"/>
    </cacheField>
    <cacheField name="Selling_Price" numFmtId="181">
      <sharedItems containsSemiMixedTypes="0" containsString="0" containsNumber="1" minValue="129" maxValue="460.6"/>
    </cacheField>
    <cacheField name="Discount_%" numFmtId="182">
      <sharedItems containsSemiMixedTypes="0" containsString="0" containsNumber="1" containsInteger="1" minValue="0" maxValue="55"/>
    </cacheField>
    <cacheField name="Sales" numFmtId="180">
      <sharedItems containsSemiMixedTypes="0" containsString="0" containsNumber="1" minValue="116.1" maxValue="1658.16"/>
    </cacheField>
    <cacheField name="Profit" numFmtId="177">
      <sharedItems containsSemiMixedTypes="0" containsString="0" containsNumber="1" minValue="43.4" maxValue="969.44"/>
    </cacheField>
    <cacheField name="Profit_Margin_%" numFmtId="183">
      <sharedItems containsSemiMixedTypes="0" containsString="0" containsNumber="1" minValue="33.700000000000003" maxValue="60.62"/>
    </cacheField>
    <cacheField name="Payment_Mode" numFmtId="0">
      <sharedItems count="5">
        <s v="Wallet"/>
        <s v="Cash"/>
        <s v="UPI"/>
        <s v="Card"/>
        <s v="Not Specified"/>
      </sharedItems>
    </cacheField>
    <cacheField name="Order_Type" numFmtId="0">
      <sharedItems/>
    </cacheField>
    <cacheField name="Employee" numFmtId="0">
      <sharedItems/>
    </cacheField>
    <cacheField name="Customer_Rating" numFmtId="0">
      <sharedItems containsMixedTypes="1" containsNumber="1" containsInteger="1" minValue="3" maxValue="5"/>
    </cacheField>
    <cacheField name="Order_Status" numFmtId="0">
      <sharedItems/>
    </cacheField>
  </cacheFields>
  <extLst>
    <ext xmlns:x14="http://schemas.microsoft.com/office/spreadsheetml/2009/9/main" uri="{725AE2AE-9491-48be-B2B4-4EB974FC3084}">
      <x14:pivotCacheDefinition pivotCacheId="12256965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
  <r>
    <x v="0"/>
    <d v="2025-10-24T00:00:00"/>
    <s v="14:15"/>
    <s v="Friday"/>
    <x v="0"/>
    <s v="Q4"/>
    <s v="Autumn"/>
    <s v="S01"/>
    <x v="0"/>
    <x v="0"/>
    <s v="North"/>
    <s v="C2000"/>
    <x v="0"/>
    <s v="Silver"/>
    <s v="P034"/>
    <x v="0"/>
    <x v="0"/>
    <s v="Large"/>
    <n v="1"/>
    <n v="108.78"/>
    <n v="12"/>
    <n v="22"/>
    <n v="142.78"/>
    <n v="362.6"/>
    <n v="5"/>
    <n v="344.47"/>
    <n v="201.69"/>
    <n v="58.55"/>
    <x v="0"/>
    <s v="Dine-In"/>
    <s v="Aarav"/>
    <n v="3"/>
    <s v="Completed"/>
  </r>
  <r>
    <x v="1"/>
    <d v="2025-11-27T00:00:00"/>
    <s v="17:00"/>
    <s v="Thursday"/>
    <x v="1"/>
    <s v="Q4"/>
    <s v="Autumn"/>
    <s v="S10"/>
    <x v="1"/>
    <x v="1"/>
    <s v="South"/>
    <s v="C2001"/>
    <x v="1"/>
    <s v="Silver"/>
    <s v="P001"/>
    <x v="1"/>
    <x v="1"/>
    <s v="Small"/>
    <n v="3"/>
    <n v="44.7"/>
    <n v="12"/>
    <n v="22"/>
    <n v="78.7"/>
    <n v="149"/>
    <n v="0"/>
    <n v="447"/>
    <n v="210.9"/>
    <n v="47.18"/>
    <x v="0"/>
    <s v="Dine-In"/>
    <s v="Kabir"/>
    <n v="5"/>
    <s v="Completed"/>
  </r>
  <r>
    <x v="2"/>
    <d v="2025-09-13T00:00:00"/>
    <s v="18:30"/>
    <s v="Saturday"/>
    <x v="2"/>
    <s v="Q3"/>
    <s v="Monsoon"/>
    <s v="S12"/>
    <x v="2"/>
    <x v="2"/>
    <s v="East"/>
    <s v="C2002"/>
    <x v="2"/>
    <s v="Gold"/>
    <s v="P002"/>
    <x v="2"/>
    <x v="1"/>
    <s v="Medium"/>
    <n v="2"/>
    <n v="86.04"/>
    <n v="12"/>
    <n v="22"/>
    <n v="120.04"/>
    <n v="286.8"/>
    <n v="10"/>
    <n v="516.24"/>
    <n v="276.16000000000003"/>
    <n v="53.49"/>
    <x v="1"/>
    <s v="Takeaway"/>
    <s v="Aarav"/>
    <n v="4"/>
    <s v="Completed"/>
  </r>
  <r>
    <x v="3"/>
    <d v="2025-02-23T00:00:00"/>
    <s v="14:00"/>
    <s v="Sunday"/>
    <x v="3"/>
    <s v="Q1"/>
    <s v="Winter"/>
    <s v="S10"/>
    <x v="1"/>
    <x v="1"/>
    <s v="South"/>
    <s v="C2003"/>
    <x v="0"/>
    <s v="Gold"/>
    <s v="P003"/>
    <x v="3"/>
    <x v="1"/>
    <s v="Small"/>
    <n v="3"/>
    <n v="65.7"/>
    <n v="12"/>
    <n v="22"/>
    <n v="99.7"/>
    <n v="219"/>
    <n v="10"/>
    <n v="591.29999999999995"/>
    <n v="292.2"/>
    <n v="49.42"/>
    <x v="0"/>
    <s v="Dine-In"/>
    <s v="Rohan"/>
    <n v="3"/>
    <s v="Completed"/>
  </r>
  <r>
    <x v="4"/>
    <d v="2025-08-02T00:00:00"/>
    <s v="08:15"/>
    <s v="Saturday"/>
    <x v="4"/>
    <s v="Q3"/>
    <s v="Monsoon"/>
    <s v="S12"/>
    <x v="2"/>
    <x v="2"/>
    <s v="East"/>
    <s v="C2004"/>
    <x v="2"/>
    <s v="Gold"/>
    <s v="P014"/>
    <x v="4"/>
    <x v="2"/>
    <s v="Small"/>
    <n v="3"/>
    <n v="44.7"/>
    <n v="12"/>
    <n v="22"/>
    <n v="78.7"/>
    <n v="149"/>
    <n v="10"/>
    <n v="402.3"/>
    <n v="166.2"/>
    <n v="41.31"/>
    <x v="2"/>
    <s v="Takeaway"/>
    <s v="Diya"/>
    <n v="5"/>
    <s v="Completed"/>
  </r>
  <r>
    <x v="5"/>
    <d v="2025-03-21T00:00:00"/>
    <s v="17:45"/>
    <s v="Friday"/>
    <x v="5"/>
    <s v="Q1"/>
    <s v="Autumn"/>
    <s v="S10"/>
    <x v="1"/>
    <x v="1"/>
    <s v="South"/>
    <s v="C2005"/>
    <x v="1"/>
    <s v="Platinum"/>
    <s v="P003"/>
    <x v="3"/>
    <x v="1"/>
    <s v="Large"/>
    <n v="1"/>
    <n v="91.98"/>
    <n v="12"/>
    <n v="22"/>
    <n v="125.98"/>
    <n v="306.60000000000002"/>
    <n v="0"/>
    <n v="306.60000000000002"/>
    <n v="180.62"/>
    <n v="58.91"/>
    <x v="3"/>
    <s v="Dine-In"/>
    <s v="Rohan"/>
    <n v="5"/>
    <s v="Completed"/>
  </r>
  <r>
    <x v="6"/>
    <d v="2025-07-24T00:00:00"/>
    <s v="09:15"/>
    <s v="Thursday"/>
    <x v="6"/>
    <s v="Q3"/>
    <s v="Monsoon"/>
    <s v="S07"/>
    <x v="3"/>
    <x v="3"/>
    <s v="South"/>
    <s v="C2006"/>
    <x v="1"/>
    <s v="Gold"/>
    <s v="P013"/>
    <x v="5"/>
    <x v="2"/>
    <s v="Large"/>
    <n v="1"/>
    <n v="54.18"/>
    <n v="12"/>
    <n v="22"/>
    <n v="88.18"/>
    <n v="180.6"/>
    <n v="0"/>
    <n v="180.6"/>
    <n v="92.42"/>
    <n v="51.17"/>
    <x v="0"/>
    <s v="Takeaway"/>
    <s v="Aarav"/>
    <n v="3"/>
    <s v="Completed"/>
  </r>
  <r>
    <x v="7"/>
    <d v="2025-07-20T00:00:00"/>
    <s v="14:00"/>
    <s v="Sunday"/>
    <x v="6"/>
    <s v="Q3"/>
    <s v="Monsoon"/>
    <s v="S01"/>
    <x v="0"/>
    <x v="0"/>
    <s v="North"/>
    <s v="C2007"/>
    <x v="1"/>
    <s v="Platinum"/>
    <s v="P028"/>
    <x v="6"/>
    <x v="3"/>
    <s v="Large"/>
    <n v="3"/>
    <n v="104.58"/>
    <n v="12"/>
    <n v="22"/>
    <n v="138.58000000000001"/>
    <n v="348.6"/>
    <n v="15"/>
    <n v="888.93"/>
    <n v="473.19"/>
    <n v="53.23"/>
    <x v="0"/>
    <s v="Dine-In"/>
    <s v="Meera"/>
    <n v="5"/>
    <s v="Completed"/>
  </r>
  <r>
    <x v="8"/>
    <d v="2025-05-14T00:00:00"/>
    <s v="18:15"/>
    <s v="Wednesday"/>
    <x v="7"/>
    <s v="Q2"/>
    <s v="Summer"/>
    <s v="S14"/>
    <x v="4"/>
    <x v="4"/>
    <s v="North"/>
    <s v="C2008"/>
    <x v="1"/>
    <s v="Silver"/>
    <s v="P019"/>
    <x v="7"/>
    <x v="4"/>
    <s v="Large"/>
    <n v="2"/>
    <n v="83.58"/>
    <n v="12"/>
    <n v="22"/>
    <n v="117.58"/>
    <n v="278.60000000000002"/>
    <n v="5"/>
    <n v="529.34"/>
    <n v="294.18"/>
    <n v="55.57"/>
    <x v="2"/>
    <s v="Dine-In"/>
    <s v="Diya"/>
    <s v="Not Rated"/>
    <s v="Completed"/>
  </r>
  <r>
    <x v="9"/>
    <d v="2025-08-15T00:00:00"/>
    <s v="17:15"/>
    <s v="Friday"/>
    <x v="4"/>
    <s v="Q3"/>
    <s v="Monsoon"/>
    <s v="S04"/>
    <x v="5"/>
    <x v="5"/>
    <s v="West"/>
    <s v="C2009"/>
    <x v="0"/>
    <s v="Silver"/>
    <s v="P001"/>
    <x v="1"/>
    <x v="1"/>
    <s v="Large"/>
    <n v="3"/>
    <n v="62.58"/>
    <n v="12"/>
    <n v="22"/>
    <n v="96.58"/>
    <n v="208.6"/>
    <n v="5"/>
    <n v="594.51"/>
    <n v="304.77"/>
    <n v="51.26"/>
    <x v="1"/>
    <s v="Dine-In"/>
    <s v="Kabir"/>
    <n v="5"/>
    <s v="Completed"/>
  </r>
  <r>
    <x v="10"/>
    <d v="2025-12-12T00:00:00"/>
    <s v="09:30"/>
    <s v="Friday"/>
    <x v="8"/>
    <s v="Q4"/>
    <s v="Winter"/>
    <s v="S07"/>
    <x v="3"/>
    <x v="3"/>
    <s v="South"/>
    <s v="C2010"/>
    <x v="1"/>
    <s v="Platinum"/>
    <s v="P002"/>
    <x v="2"/>
    <x v="1"/>
    <s v="Medium"/>
    <n v="2"/>
    <n v="86.04"/>
    <n v="12"/>
    <n v="22"/>
    <n v="120.04"/>
    <n v="286.8"/>
    <n v="5"/>
    <n v="544.91999999999996"/>
    <n v="304.83999999999997"/>
    <n v="55.94"/>
    <x v="3"/>
    <s v="Takeaway"/>
    <s v="Aarav"/>
    <n v="4"/>
    <s v="Completed"/>
  </r>
  <r>
    <x v="11"/>
    <d v="2025-01-22T00:00:00"/>
    <s v="14:00"/>
    <s v="Wednesday"/>
    <x v="9"/>
    <s v="Q1"/>
    <s v="Winter"/>
    <s v="S10"/>
    <x v="1"/>
    <x v="1"/>
    <s v="South"/>
    <s v="C2011"/>
    <x v="0"/>
    <s v="Gold"/>
    <s v="P001"/>
    <x v="1"/>
    <x v="1"/>
    <s v="Medium"/>
    <n v="3"/>
    <n v="53.64"/>
    <n v="12"/>
    <n v="22"/>
    <n v="87.64"/>
    <n v="178.8"/>
    <n v="10"/>
    <n v="482.76"/>
    <n v="219.84"/>
    <n v="45.54"/>
    <x v="4"/>
    <s v="Takeaway"/>
    <s v="Diya"/>
    <n v="3"/>
    <s v="Completed"/>
  </r>
  <r>
    <x v="12"/>
    <d v="2025-08-19T00:00:00"/>
    <s v="09:45"/>
    <s v="Tuesday"/>
    <x v="4"/>
    <s v="Q3"/>
    <s v="Monsoon"/>
    <s v="S12"/>
    <x v="2"/>
    <x v="2"/>
    <s v="East"/>
    <s v="C2012"/>
    <x v="2"/>
    <s v="Silver"/>
    <s v="P014"/>
    <x v="4"/>
    <x v="2"/>
    <s v="Medium"/>
    <n v="2"/>
    <n v="53.64"/>
    <n v="12"/>
    <n v="22"/>
    <n v="87.64"/>
    <n v="178.8"/>
    <n v="0"/>
    <n v="357.6"/>
    <n v="182.32"/>
    <n v="50.98"/>
    <x v="2"/>
    <s v="Delivery"/>
    <s v="Aarav"/>
    <n v="4"/>
    <s v="Completed"/>
  </r>
  <r>
    <x v="13"/>
    <d v="2025-05-13T00:00:00"/>
    <s v="13:15"/>
    <s v="Tuesday"/>
    <x v="7"/>
    <s v="Q2"/>
    <s v="Summer"/>
    <s v="S12"/>
    <x v="2"/>
    <x v="2"/>
    <s v="East"/>
    <s v="C2013"/>
    <x v="1"/>
    <s v="Gold"/>
    <s v="P033"/>
    <x v="8"/>
    <x v="0"/>
    <s v="Medium"/>
    <n v="1"/>
    <n v="89.64"/>
    <n v="12"/>
    <n v="22"/>
    <n v="123.64"/>
    <n v="298.8"/>
    <n v="0"/>
    <n v="298.8"/>
    <n v="175.16"/>
    <n v="58.62"/>
    <x v="2"/>
    <s v="Takeaway"/>
    <s v="Rohan"/>
    <n v="5"/>
    <s v="Completed"/>
  </r>
  <r>
    <x v="14"/>
    <d v="2025-11-19T00:00:00"/>
    <s v="08:15"/>
    <s v="Wednesday"/>
    <x v="1"/>
    <s v="Q4"/>
    <s v="Autumn"/>
    <s v="S01"/>
    <x v="0"/>
    <x v="0"/>
    <s v="North"/>
    <s v="C2014"/>
    <x v="0"/>
    <s v="Silver"/>
    <s v="P013"/>
    <x v="5"/>
    <x v="2"/>
    <s v="Large"/>
    <n v="3"/>
    <n v="54.18"/>
    <n v="12"/>
    <n v="22"/>
    <n v="88.18"/>
    <n v="180.6"/>
    <n v="0"/>
    <n v="541.79999999999995"/>
    <n v="277.26"/>
    <n v="51.17"/>
    <x v="0"/>
    <s v="Takeaway"/>
    <s v="Meera"/>
    <n v="5"/>
    <s v="Completed"/>
  </r>
  <r>
    <x v="15"/>
    <d v="2025-01-15T00:00:00"/>
    <s v="17:45"/>
    <s v="Wednesday"/>
    <x v="9"/>
    <s v="Q1"/>
    <s v="Winter"/>
    <s v="S04"/>
    <x v="5"/>
    <x v="5"/>
    <s v="West"/>
    <s v="C2015"/>
    <x v="1"/>
    <s v="Silver"/>
    <s v="P020"/>
    <x v="9"/>
    <x v="4"/>
    <s v="Large"/>
    <n v="1"/>
    <n v="66.78"/>
    <n v="12"/>
    <n v="22"/>
    <n v="100.78"/>
    <n v="222.6"/>
    <n v="0"/>
    <n v="222.6"/>
    <n v="121.82"/>
    <n v="54.73"/>
    <x v="2"/>
    <s v="Dine-In"/>
    <s v="Meera"/>
    <n v="5"/>
    <s v="Completed"/>
  </r>
  <r>
    <x v="16"/>
    <d v="2025-01-09T00:00:00"/>
    <s v="09:00"/>
    <s v="Thursday"/>
    <x v="9"/>
    <s v="Q1"/>
    <s v="Winter"/>
    <s v="S04"/>
    <x v="5"/>
    <x v="5"/>
    <s v="West"/>
    <s v="C2016"/>
    <x v="0"/>
    <s v="Gold"/>
    <s v="P014"/>
    <x v="4"/>
    <x v="2"/>
    <s v="Medium"/>
    <n v="2"/>
    <n v="53.64"/>
    <n v="12"/>
    <n v="22"/>
    <n v="87.64"/>
    <n v="178.8"/>
    <n v="0"/>
    <n v="357.6"/>
    <n v="182.32"/>
    <n v="50.98"/>
    <x v="0"/>
    <s v="Dine-In"/>
    <s v="Diya"/>
    <n v="5"/>
    <s v="Completed"/>
  </r>
  <r>
    <x v="17"/>
    <d v="2025-06-04T00:00:00"/>
    <s v="13:15"/>
    <s v="Wednesday"/>
    <x v="10"/>
    <s v="Q2"/>
    <s v="Summer"/>
    <s v="S14"/>
    <x v="4"/>
    <x v="4"/>
    <s v="North"/>
    <s v="C2017"/>
    <x v="2"/>
    <s v="Gold"/>
    <s v="P004"/>
    <x v="10"/>
    <x v="1"/>
    <s v="Medium"/>
    <n v="3"/>
    <n v="60.84"/>
    <n v="12"/>
    <n v="22"/>
    <n v="94.84"/>
    <n v="202.8"/>
    <n v="0"/>
    <n v="608.4"/>
    <n v="323.88"/>
    <n v="53.23"/>
    <x v="2"/>
    <s v="Dine-In"/>
    <s v="Meera"/>
    <n v="5"/>
    <s v="Completed"/>
  </r>
  <r>
    <x v="18"/>
    <d v="2025-02-07T00:00:00"/>
    <s v="08:30"/>
    <s v="Friday"/>
    <x v="3"/>
    <s v="Q1"/>
    <s v="Winter"/>
    <s v="S01"/>
    <x v="0"/>
    <x v="0"/>
    <s v="North"/>
    <s v="C2018"/>
    <x v="0"/>
    <s v="Platinum"/>
    <s v="P002"/>
    <x v="2"/>
    <x v="1"/>
    <s v="Small"/>
    <n v="3"/>
    <n v="71.7"/>
    <n v="12"/>
    <n v="22"/>
    <n v="105.7"/>
    <n v="239"/>
    <n v="0"/>
    <n v="717"/>
    <n v="399.9"/>
    <n v="55.77"/>
    <x v="3"/>
    <s v="Takeaway"/>
    <s v="Diya"/>
    <n v="4"/>
    <s v="Completed"/>
  </r>
  <r>
    <x v="19"/>
    <d v="2025-05-01T00:00:00"/>
    <s v="13:00"/>
    <s v="Thursday"/>
    <x v="7"/>
    <s v="Q2"/>
    <s v="Summer"/>
    <s v="S12"/>
    <x v="2"/>
    <x v="2"/>
    <s v="East"/>
    <s v="C2019"/>
    <x v="0"/>
    <s v="Platinum"/>
    <s v="P034"/>
    <x v="0"/>
    <x v="0"/>
    <s v="Medium"/>
    <n v="3"/>
    <n v="93.24"/>
    <n v="12"/>
    <n v="22"/>
    <n v="127.24"/>
    <n v="310.8"/>
    <n v="5"/>
    <n v="885.78"/>
    <n v="504.06"/>
    <n v="56.91"/>
    <x v="1"/>
    <s v="Dine-In"/>
    <s v="Diya"/>
    <n v="5"/>
    <s v="Completed"/>
  </r>
  <r>
    <x v="20"/>
    <d v="2025-03-07T00:00:00"/>
    <s v="08:00"/>
    <s v="Friday"/>
    <x v="5"/>
    <s v="Q1"/>
    <s v="Autumn"/>
    <s v="S04"/>
    <x v="5"/>
    <x v="5"/>
    <s v="West"/>
    <s v="C2020"/>
    <x v="0"/>
    <s v="Platinum"/>
    <s v="P003"/>
    <x v="3"/>
    <x v="1"/>
    <s v="Medium"/>
    <n v="3"/>
    <n v="78.84"/>
    <n v="12"/>
    <n v="22"/>
    <n v="112.84"/>
    <n v="262.8"/>
    <n v="0"/>
    <n v="788.4"/>
    <n v="449.88"/>
    <n v="57.06"/>
    <x v="3"/>
    <s v="Dine-In"/>
    <s v="Diya"/>
    <s v="Not Rated"/>
    <s v="Completed"/>
  </r>
  <r>
    <x v="21"/>
    <d v="2025-06-28T00:00:00"/>
    <s v="17:15"/>
    <s v="Saturday"/>
    <x v="10"/>
    <s v="Q2"/>
    <s v="Summer"/>
    <s v="S14"/>
    <x v="4"/>
    <x v="4"/>
    <s v="North"/>
    <s v="C2021"/>
    <x v="1"/>
    <s v="Platinum"/>
    <s v="P036"/>
    <x v="11"/>
    <x v="0"/>
    <s v="Small"/>
    <n v="1"/>
    <n v="47.7"/>
    <n v="12"/>
    <n v="22"/>
    <n v="81.7"/>
    <n v="159"/>
    <n v="10"/>
    <n v="143.1"/>
    <n v="61.4"/>
    <n v="42.91"/>
    <x v="1"/>
    <s v="Delivery"/>
    <s v="Kabir"/>
    <n v="5"/>
    <s v="Completed"/>
  </r>
  <r>
    <x v="22"/>
    <d v="2025-11-20T00:00:00"/>
    <s v="09:15"/>
    <s v="Thursday"/>
    <x v="1"/>
    <s v="Q4"/>
    <s v="Autumn"/>
    <s v="S07"/>
    <x v="3"/>
    <x v="3"/>
    <s v="South"/>
    <s v="C2022"/>
    <x v="0"/>
    <s v="Gold"/>
    <s v="P004"/>
    <x v="10"/>
    <x v="1"/>
    <s v="Medium"/>
    <n v="3"/>
    <n v="60.84"/>
    <n v="12"/>
    <n v="22"/>
    <n v="94.84"/>
    <n v="202.8"/>
    <n v="0"/>
    <n v="608.4"/>
    <n v="323.88"/>
    <n v="53.23"/>
    <x v="3"/>
    <s v="Delivery"/>
    <s v="Aarav"/>
    <n v="3"/>
    <s v="Completed"/>
  </r>
  <r>
    <x v="23"/>
    <d v="2025-05-13T00:00:00"/>
    <s v="08:45"/>
    <s v="Tuesday"/>
    <x v="7"/>
    <s v="Q2"/>
    <s v="Summer"/>
    <s v="S04"/>
    <x v="5"/>
    <x v="5"/>
    <s v="West"/>
    <s v="C2023"/>
    <x v="2"/>
    <s v="Silver"/>
    <s v="P004"/>
    <x v="10"/>
    <x v="1"/>
    <s v="Medium"/>
    <n v="3"/>
    <n v="60.84"/>
    <n v="12"/>
    <n v="22"/>
    <n v="94.84"/>
    <n v="202.8"/>
    <n v="0"/>
    <n v="608.4"/>
    <n v="323.88"/>
    <n v="53.23"/>
    <x v="1"/>
    <s v="Delivery"/>
    <s v="Rohan"/>
    <n v="5"/>
    <s v="Completed"/>
  </r>
  <r>
    <x v="24"/>
    <d v="2025-02-28T00:00:00"/>
    <s v="18:30"/>
    <s v="Friday"/>
    <x v="3"/>
    <s v="Q1"/>
    <s v="Winter"/>
    <s v="S10"/>
    <x v="1"/>
    <x v="1"/>
    <s v="South"/>
    <s v="C2024"/>
    <x v="0"/>
    <s v="Platinum"/>
    <s v="P001"/>
    <x v="1"/>
    <x v="1"/>
    <s v="Small"/>
    <n v="2"/>
    <n v="44.7"/>
    <n v="12"/>
    <n v="22"/>
    <n v="78.7"/>
    <n v="149"/>
    <n v="0"/>
    <n v="298"/>
    <n v="140.6"/>
    <n v="47.18"/>
    <x v="0"/>
    <s v="Takeaway"/>
    <s v="Aarav"/>
    <n v="4"/>
    <s v="Completed"/>
  </r>
  <r>
    <x v="25"/>
    <d v="2025-03-23T00:00:00"/>
    <s v="14:45"/>
    <s v="Sunday"/>
    <x v="5"/>
    <s v="Q1"/>
    <s v="Autumn"/>
    <s v="S01"/>
    <x v="0"/>
    <x v="0"/>
    <s v="North"/>
    <s v="C2025"/>
    <x v="1"/>
    <s v="Silver"/>
    <s v="P036"/>
    <x v="11"/>
    <x v="0"/>
    <s v="Large"/>
    <n v="1"/>
    <n v="66.78"/>
    <n v="12"/>
    <n v="22"/>
    <n v="100.78"/>
    <n v="222.6"/>
    <n v="15"/>
    <n v="189.21"/>
    <n v="88.43"/>
    <n v="46.74"/>
    <x v="2"/>
    <s v="Dine-In"/>
    <s v="Rohan"/>
    <n v="4"/>
    <s v="Completed"/>
  </r>
  <r>
    <x v="26"/>
    <d v="2025-08-27T00:00:00"/>
    <s v="09:15"/>
    <s v="Wednesday"/>
    <x v="4"/>
    <s v="Q3"/>
    <s v="Monsoon"/>
    <s v="S04"/>
    <x v="5"/>
    <x v="5"/>
    <s v="West"/>
    <s v="C2026"/>
    <x v="2"/>
    <s v="Gold"/>
    <s v="P004"/>
    <x v="10"/>
    <x v="1"/>
    <s v="Large"/>
    <n v="2"/>
    <n v="70.98"/>
    <n v="12"/>
    <n v="22"/>
    <n v="104.98"/>
    <n v="236.6"/>
    <n v="10"/>
    <n v="425.88"/>
    <n v="215.92"/>
    <n v="50.7"/>
    <x v="1"/>
    <s v="Takeaway"/>
    <s v="Aarav"/>
    <n v="4"/>
    <s v="Completed"/>
  </r>
  <r>
    <x v="27"/>
    <d v="2025-08-26T00:00:00"/>
    <s v="17:15"/>
    <s v="Tuesday"/>
    <x v="4"/>
    <s v="Q3"/>
    <s v="Monsoon"/>
    <s v="S01"/>
    <x v="0"/>
    <x v="0"/>
    <s v="North"/>
    <s v="C2027"/>
    <x v="1"/>
    <s v="Silver"/>
    <s v="P002"/>
    <x v="2"/>
    <x v="1"/>
    <s v="Medium"/>
    <n v="1"/>
    <n v="86.04"/>
    <n v="12"/>
    <n v="22"/>
    <n v="120.04"/>
    <n v="286.8"/>
    <n v="0"/>
    <n v="286.8"/>
    <n v="166.76"/>
    <n v="58.15"/>
    <x v="2"/>
    <s v="Dine-In"/>
    <s v="Rohan"/>
    <n v="5"/>
    <s v="Completed"/>
  </r>
  <r>
    <x v="28"/>
    <d v="2025-09-01T00:00:00"/>
    <s v="08:45"/>
    <s v="Monday"/>
    <x v="2"/>
    <s v="Q3"/>
    <s v="Monsoon"/>
    <s v="S01"/>
    <x v="0"/>
    <x v="0"/>
    <s v="North"/>
    <s v="C2028"/>
    <x v="2"/>
    <s v="Silver"/>
    <s v="P002"/>
    <x v="2"/>
    <x v="1"/>
    <s v="Large"/>
    <n v="3"/>
    <n v="100.38"/>
    <n v="12"/>
    <n v="22"/>
    <n v="134.38"/>
    <n v="334.6"/>
    <n v="10"/>
    <n v="903.42"/>
    <n v="500.28"/>
    <n v="55.38"/>
    <x v="1"/>
    <s v="Takeaway"/>
    <s v="Kabir"/>
    <n v="5"/>
    <s v="Completed"/>
  </r>
  <r>
    <x v="29"/>
    <d v="2025-05-31T00:00:00"/>
    <s v="09:30"/>
    <s v="Saturday"/>
    <x v="7"/>
    <s v="Q2"/>
    <s v="Summer"/>
    <s v="S07"/>
    <x v="3"/>
    <x v="3"/>
    <s v="South"/>
    <s v="C2029"/>
    <x v="1"/>
    <s v="Platinum"/>
    <s v="P004"/>
    <x v="10"/>
    <x v="1"/>
    <s v="Large"/>
    <n v="3"/>
    <n v="70.98"/>
    <n v="12"/>
    <n v="22"/>
    <n v="104.98"/>
    <n v="236.6"/>
    <n v="10"/>
    <n v="638.82000000000005"/>
    <n v="323.88"/>
    <n v="50.7"/>
    <x v="3"/>
    <s v="Takeaway"/>
    <s v="Rohan"/>
    <n v="4"/>
    <s v="Completed"/>
  </r>
  <r>
    <x v="30"/>
    <d v="2025-06-07T00:00:00"/>
    <s v="17:30"/>
    <s v="Saturday"/>
    <x v="10"/>
    <s v="Q2"/>
    <s v="Summer"/>
    <s v="S04"/>
    <x v="5"/>
    <x v="5"/>
    <s v="West"/>
    <s v="C2030"/>
    <x v="1"/>
    <s v="Gold"/>
    <s v="P041"/>
    <x v="12"/>
    <x v="5"/>
    <s v="Small"/>
    <n v="2"/>
    <n v="89.7"/>
    <n v="12"/>
    <n v="22"/>
    <n v="123.7"/>
    <n v="299"/>
    <n v="10"/>
    <n v="538.20000000000005"/>
    <n v="290.8"/>
    <n v="54.03"/>
    <x v="1"/>
    <s v="Delivery"/>
    <s v="Rohan"/>
    <n v="5"/>
    <s v="Completed"/>
  </r>
  <r>
    <x v="31"/>
    <d v="2025-10-14T00:00:00"/>
    <s v="09:15"/>
    <s v="Tuesday"/>
    <x v="0"/>
    <s v="Q4"/>
    <s v="Autumn"/>
    <s v="S01"/>
    <x v="0"/>
    <x v="0"/>
    <s v="North"/>
    <s v="C2031"/>
    <x v="2"/>
    <s v="Gold"/>
    <s v="P004"/>
    <x v="10"/>
    <x v="1"/>
    <s v="Medium"/>
    <n v="2"/>
    <n v="60.84"/>
    <n v="12"/>
    <n v="22"/>
    <n v="94.84"/>
    <n v="202.8"/>
    <n v="10"/>
    <n v="365.04"/>
    <n v="175.36"/>
    <n v="48.04"/>
    <x v="2"/>
    <s v="Dine-In"/>
    <s v="Kabir"/>
    <n v="5"/>
    <s v="Completed"/>
  </r>
  <r>
    <x v="32"/>
    <d v="2025-01-22T00:00:00"/>
    <s v="18:00"/>
    <s v="Wednesday"/>
    <x v="9"/>
    <s v="Q1"/>
    <s v="Winter"/>
    <s v="S04"/>
    <x v="5"/>
    <x v="5"/>
    <s v="West"/>
    <s v="C2032"/>
    <x v="2"/>
    <s v="Gold"/>
    <s v="P003"/>
    <x v="3"/>
    <x v="1"/>
    <s v="Large"/>
    <n v="3"/>
    <n v="91.98"/>
    <n v="12"/>
    <n v="22"/>
    <n v="125.98"/>
    <n v="306.60000000000002"/>
    <n v="10"/>
    <n v="827.82"/>
    <n v="449.88"/>
    <n v="54.35"/>
    <x v="0"/>
    <s v="Dine-In"/>
    <s v="Rohan"/>
    <n v="5"/>
    <s v="Completed"/>
  </r>
  <r>
    <x v="33"/>
    <d v="2025-08-17T00:00:00"/>
    <s v="13:00"/>
    <s v="Sunday"/>
    <x v="4"/>
    <s v="Q3"/>
    <s v="Monsoon"/>
    <s v="S14"/>
    <x v="4"/>
    <x v="4"/>
    <s v="North"/>
    <s v="C2033"/>
    <x v="0"/>
    <s v="Gold"/>
    <s v="P013"/>
    <x v="5"/>
    <x v="2"/>
    <s v="Medium"/>
    <n v="3"/>
    <n v="46.44"/>
    <n v="12"/>
    <n v="22"/>
    <n v="80.44"/>
    <n v="154.80000000000001"/>
    <n v="15"/>
    <n v="394.74"/>
    <n v="153.41999999999999"/>
    <n v="38.869999999999997"/>
    <x v="3"/>
    <s v="Dine-In"/>
    <s v="Meera"/>
    <n v="4"/>
    <s v="Completed"/>
  </r>
  <r>
    <x v="34"/>
    <d v="2025-11-29T00:00:00"/>
    <s v="18:30"/>
    <s v="Saturday"/>
    <x v="1"/>
    <s v="Q4"/>
    <s v="Autumn"/>
    <s v="S14"/>
    <x v="4"/>
    <x v="4"/>
    <s v="North"/>
    <s v="C2034"/>
    <x v="0"/>
    <s v="Platinum"/>
    <s v="P004"/>
    <x v="10"/>
    <x v="1"/>
    <s v="Small"/>
    <n v="1"/>
    <n v="50.7"/>
    <n v="12"/>
    <n v="22"/>
    <n v="84.7"/>
    <n v="169"/>
    <n v="15"/>
    <n v="143.65"/>
    <n v="58.95"/>
    <n v="41.04"/>
    <x v="1"/>
    <s v="Delivery"/>
    <s v="Kabir"/>
    <n v="3"/>
    <s v="Completed"/>
  </r>
  <r>
    <x v="35"/>
    <d v="2025-12-04T00:00:00"/>
    <s v="17:15"/>
    <s v="Thursday"/>
    <x v="8"/>
    <s v="Q4"/>
    <s v="Winter"/>
    <s v="S10"/>
    <x v="1"/>
    <x v="1"/>
    <s v="South"/>
    <s v="C2035"/>
    <x v="2"/>
    <s v="Silver"/>
    <s v="P004"/>
    <x v="10"/>
    <x v="1"/>
    <s v="Small"/>
    <n v="2"/>
    <n v="50.7"/>
    <n v="12"/>
    <n v="22"/>
    <n v="84.7"/>
    <n v="169"/>
    <n v="0"/>
    <n v="338"/>
    <n v="168.6"/>
    <n v="49.88"/>
    <x v="3"/>
    <s v="Delivery"/>
    <s v="Aarav"/>
    <n v="4"/>
    <s v="Completed"/>
  </r>
  <r>
    <x v="36"/>
    <d v="2025-10-20T00:00:00"/>
    <s v="09:45"/>
    <s v="Monday"/>
    <x v="0"/>
    <s v="Q4"/>
    <s v="Autumn"/>
    <s v="S10"/>
    <x v="1"/>
    <x v="1"/>
    <s v="South"/>
    <s v="C2036"/>
    <x v="1"/>
    <s v="Silver"/>
    <s v="P003"/>
    <x v="3"/>
    <x v="1"/>
    <s v="Medium"/>
    <n v="1"/>
    <n v="78.84"/>
    <n v="12"/>
    <n v="22"/>
    <n v="112.84"/>
    <n v="262.8"/>
    <n v="10"/>
    <n v="236.52"/>
    <n v="123.68"/>
    <n v="52.29"/>
    <x v="2"/>
    <s v="Takeaway"/>
    <s v="Rohan"/>
    <n v="4"/>
    <s v="Completed"/>
  </r>
  <r>
    <x v="37"/>
    <d v="2025-01-03T00:00:00"/>
    <s v="09:15"/>
    <s v="Friday"/>
    <x v="9"/>
    <s v="Q1"/>
    <s v="Winter"/>
    <s v="S14"/>
    <x v="4"/>
    <x v="4"/>
    <s v="North"/>
    <s v="C2037"/>
    <x v="2"/>
    <s v="Platinum"/>
    <s v="P004"/>
    <x v="10"/>
    <x v="1"/>
    <s v="Large"/>
    <n v="1"/>
    <n v="70.98"/>
    <n v="12"/>
    <n v="22"/>
    <n v="104.98"/>
    <n v="236.6"/>
    <n v="0"/>
    <n v="236.6"/>
    <n v="131.62"/>
    <n v="55.63"/>
    <x v="1"/>
    <s v="Takeaway"/>
    <s v="Diya"/>
    <n v="3"/>
    <s v="Completed"/>
  </r>
  <r>
    <x v="38"/>
    <d v="2025-09-22T00:00:00"/>
    <s v="08:30"/>
    <s v="Monday"/>
    <x v="2"/>
    <s v="Q3"/>
    <s v="Monsoon"/>
    <s v="S12"/>
    <x v="2"/>
    <x v="2"/>
    <s v="East"/>
    <s v="C2038"/>
    <x v="2"/>
    <s v="Silver"/>
    <s v="P013"/>
    <x v="5"/>
    <x v="2"/>
    <s v="Large"/>
    <n v="1"/>
    <n v="54.18"/>
    <n v="12"/>
    <n v="22"/>
    <n v="88.18"/>
    <n v="180.6"/>
    <n v="5"/>
    <n v="171.57"/>
    <n v="83.39"/>
    <n v="48.6"/>
    <x v="3"/>
    <s v="Dine-In"/>
    <s v="Aarav"/>
    <n v="3"/>
    <s v="Completed"/>
  </r>
  <r>
    <x v="39"/>
    <d v="2025-08-04T00:00:00"/>
    <s v="14:00"/>
    <s v="Monday"/>
    <x v="4"/>
    <s v="Q3"/>
    <s v="Monsoon"/>
    <s v="S07"/>
    <x v="3"/>
    <x v="3"/>
    <s v="South"/>
    <s v="C2039"/>
    <x v="2"/>
    <s v="Silver"/>
    <s v="P034"/>
    <x v="0"/>
    <x v="0"/>
    <s v="Large"/>
    <n v="2"/>
    <n v="108.78"/>
    <n v="12"/>
    <n v="22"/>
    <n v="142.78"/>
    <n v="362.6"/>
    <n v="0"/>
    <n v="725.2"/>
    <n v="439.64"/>
    <n v="60.62"/>
    <x v="1"/>
    <s v="Dine-In"/>
    <s v="Rohan"/>
    <n v="5"/>
    <s v="Completed"/>
  </r>
  <r>
    <x v="40"/>
    <d v="2025-02-03T00:00:00"/>
    <s v="14:15"/>
    <s v="Monday"/>
    <x v="3"/>
    <s v="Q1"/>
    <s v="Winter"/>
    <s v="S01"/>
    <x v="0"/>
    <x v="0"/>
    <s v="North"/>
    <s v="C2040"/>
    <x v="1"/>
    <s v="Platinum"/>
    <s v="P002"/>
    <x v="2"/>
    <x v="1"/>
    <s v="Medium"/>
    <n v="2"/>
    <n v="86.04"/>
    <n v="12"/>
    <n v="22"/>
    <n v="120.04"/>
    <n v="286.8"/>
    <n v="10"/>
    <n v="516.24"/>
    <n v="276.16000000000003"/>
    <n v="53.49"/>
    <x v="2"/>
    <s v="Takeaway"/>
    <s v="Rohan"/>
    <n v="5"/>
    <s v="Completed"/>
  </r>
  <r>
    <x v="41"/>
    <d v="2025-03-14T00:00:00"/>
    <s v="08:45"/>
    <s v="Friday"/>
    <x v="5"/>
    <s v="Q1"/>
    <s v="Autumn"/>
    <s v="S10"/>
    <x v="1"/>
    <x v="1"/>
    <s v="South"/>
    <s v="C2041"/>
    <x v="0"/>
    <s v="Gold"/>
    <s v="P004"/>
    <x v="10"/>
    <x v="1"/>
    <s v="Medium"/>
    <n v="3"/>
    <n v="60.84"/>
    <n v="12"/>
    <n v="22"/>
    <n v="94.84"/>
    <n v="202.8"/>
    <n v="10"/>
    <n v="547.55999999999995"/>
    <n v="263.04000000000002"/>
    <n v="48.04"/>
    <x v="1"/>
    <s v="Takeaway"/>
    <s v="Meera"/>
    <n v="4"/>
    <s v="Completed"/>
  </r>
  <r>
    <x v="42"/>
    <d v="2025-01-18T00:00:00"/>
    <s v="09:30"/>
    <s v="Saturday"/>
    <x v="9"/>
    <s v="Q1"/>
    <s v="Winter"/>
    <s v="S10"/>
    <x v="1"/>
    <x v="1"/>
    <s v="South"/>
    <s v="C2042"/>
    <x v="1"/>
    <s v="Gold"/>
    <s v="P003"/>
    <x v="3"/>
    <x v="1"/>
    <s v="Large"/>
    <n v="1"/>
    <n v="91.98"/>
    <n v="12"/>
    <n v="22"/>
    <n v="125.98"/>
    <n v="306.60000000000002"/>
    <n v="10"/>
    <n v="275.94"/>
    <n v="149.96"/>
    <n v="54.35"/>
    <x v="4"/>
    <s v="Takeaway"/>
    <s v="Meera"/>
    <n v="5"/>
    <s v="Completed"/>
  </r>
  <r>
    <x v="43"/>
    <d v="2025-09-17T00:00:00"/>
    <s v="17:00"/>
    <s v="Wednesday"/>
    <x v="2"/>
    <s v="Q3"/>
    <s v="Monsoon"/>
    <s v="S04"/>
    <x v="5"/>
    <x v="5"/>
    <s v="West"/>
    <s v="C2043"/>
    <x v="0"/>
    <s v="Silver"/>
    <s v="P001"/>
    <x v="1"/>
    <x v="1"/>
    <s v="Large"/>
    <n v="2"/>
    <n v="62.58"/>
    <n v="12"/>
    <n v="22"/>
    <n v="96.58"/>
    <n v="208.6"/>
    <n v="5"/>
    <n v="396.34"/>
    <n v="203.18"/>
    <n v="51.26"/>
    <x v="0"/>
    <s v="Dine-In"/>
    <s v="Rohan"/>
    <n v="5"/>
    <s v="Completed"/>
  </r>
  <r>
    <x v="44"/>
    <d v="2025-02-14T00:00:00"/>
    <s v="08:45"/>
    <s v="Friday"/>
    <x v="3"/>
    <s v="Q1"/>
    <s v="Winter"/>
    <s v="S07"/>
    <x v="3"/>
    <x v="3"/>
    <s v="South"/>
    <s v="C2044"/>
    <x v="2"/>
    <s v="Gold"/>
    <s v="P002"/>
    <x v="2"/>
    <x v="1"/>
    <s v="Large"/>
    <n v="1"/>
    <n v="100.38"/>
    <n v="12"/>
    <n v="22"/>
    <n v="134.38"/>
    <n v="334.6"/>
    <n v="0"/>
    <n v="334.6"/>
    <n v="200.22"/>
    <n v="59.84"/>
    <x v="0"/>
    <s v="Takeaway"/>
    <s v="Kabir"/>
    <n v="5"/>
    <s v="Completed"/>
  </r>
  <r>
    <x v="45"/>
    <d v="2025-08-12T00:00:00"/>
    <s v="17:30"/>
    <s v="Tuesday"/>
    <x v="4"/>
    <s v="Q3"/>
    <s v="Monsoon"/>
    <s v="S10"/>
    <x v="1"/>
    <x v="1"/>
    <s v="South"/>
    <s v="C2045"/>
    <x v="2"/>
    <s v="Gold"/>
    <s v="P002"/>
    <x v="2"/>
    <x v="1"/>
    <s v="Large"/>
    <n v="3"/>
    <n v="100.38"/>
    <n v="12"/>
    <n v="22"/>
    <n v="134.38"/>
    <n v="334.6"/>
    <n v="0"/>
    <n v="1003.8"/>
    <n v="600.66"/>
    <n v="59.84"/>
    <x v="1"/>
    <s v="Dine-In"/>
    <s v="Diya"/>
    <n v="5"/>
    <s v="Completed"/>
  </r>
  <r>
    <x v="46"/>
    <d v="2025-02-13T00:00:00"/>
    <s v="17:15"/>
    <s v="Thursday"/>
    <x v="3"/>
    <s v="Q1"/>
    <s v="Winter"/>
    <s v="S01"/>
    <x v="0"/>
    <x v="0"/>
    <s v="North"/>
    <s v="C2046"/>
    <x v="1"/>
    <s v="Platinum"/>
    <s v="P019"/>
    <x v="7"/>
    <x v="4"/>
    <s v="Large"/>
    <n v="2"/>
    <n v="83.58"/>
    <n v="12"/>
    <n v="22"/>
    <n v="117.58"/>
    <n v="278.60000000000002"/>
    <n v="0"/>
    <n v="557.20000000000005"/>
    <n v="322.04000000000002"/>
    <n v="57.8"/>
    <x v="0"/>
    <s v="Delivery"/>
    <s v="Kabir"/>
    <n v="4"/>
    <s v="Completed"/>
  </r>
  <r>
    <x v="47"/>
    <d v="2025-07-13T00:00:00"/>
    <s v="09:00"/>
    <s v="Sunday"/>
    <x v="6"/>
    <s v="Q3"/>
    <s v="Monsoon"/>
    <s v="S07"/>
    <x v="3"/>
    <x v="3"/>
    <s v="South"/>
    <s v="C2047"/>
    <x v="1"/>
    <s v="Gold"/>
    <s v="P002"/>
    <x v="2"/>
    <x v="1"/>
    <s v="Medium"/>
    <n v="3"/>
    <n v="86.04"/>
    <n v="12"/>
    <n v="22"/>
    <n v="120.04"/>
    <n v="286.8"/>
    <n v="15"/>
    <n v="731.34"/>
    <n v="371.22"/>
    <n v="50.76"/>
    <x v="3"/>
    <s v="Takeaway"/>
    <s v="Aarav"/>
    <n v="4"/>
    <s v="Completed"/>
  </r>
  <r>
    <x v="48"/>
    <d v="2025-09-13T00:00:00"/>
    <s v="08:45"/>
    <s v="Saturday"/>
    <x v="2"/>
    <s v="Q3"/>
    <s v="Monsoon"/>
    <s v="S01"/>
    <x v="0"/>
    <x v="0"/>
    <s v="North"/>
    <s v="C2048"/>
    <x v="0"/>
    <s v="Gold"/>
    <s v="P001"/>
    <x v="1"/>
    <x v="1"/>
    <s v="Large"/>
    <n v="1"/>
    <n v="62.58"/>
    <n v="12"/>
    <n v="22"/>
    <n v="96.58"/>
    <n v="208.6"/>
    <n v="15"/>
    <n v="177.31"/>
    <n v="80.73"/>
    <n v="45.53"/>
    <x v="0"/>
    <s v="Takeaway"/>
    <s v="Aarav"/>
    <n v="5"/>
    <s v="Completed"/>
  </r>
  <r>
    <x v="49"/>
    <d v="2025-02-14T00:00:00"/>
    <s v="09:00"/>
    <s v="Friday"/>
    <x v="3"/>
    <s v="Q1"/>
    <s v="Winter"/>
    <s v="S01"/>
    <x v="0"/>
    <x v="0"/>
    <s v="North"/>
    <s v="C2049"/>
    <x v="0"/>
    <s v="Gold"/>
    <s v="P002"/>
    <x v="2"/>
    <x v="1"/>
    <s v="Large"/>
    <n v="2"/>
    <n v="100.38"/>
    <n v="12"/>
    <n v="22"/>
    <n v="134.38"/>
    <n v="334.6"/>
    <n v="0"/>
    <n v="669.2"/>
    <n v="400.44"/>
    <n v="59.84"/>
    <x v="0"/>
    <s v="Dine-In"/>
    <s v="Diya"/>
    <n v="4"/>
    <s v="Completed"/>
  </r>
  <r>
    <x v="50"/>
    <d v="2025-11-04T00:00:00"/>
    <s v="17:00"/>
    <s v="Tuesday"/>
    <x v="1"/>
    <s v="Q4"/>
    <s v="Autumn"/>
    <s v="S14"/>
    <x v="4"/>
    <x v="4"/>
    <s v="North"/>
    <s v="C2050"/>
    <x v="0"/>
    <s v="Gold"/>
    <s v="P003"/>
    <x v="3"/>
    <x v="1"/>
    <s v="Small"/>
    <n v="3"/>
    <n v="65.7"/>
    <n v="12"/>
    <n v="22"/>
    <n v="99.7"/>
    <n v="219"/>
    <n v="10"/>
    <n v="591.29999999999995"/>
    <n v="292.2"/>
    <n v="49.42"/>
    <x v="3"/>
    <s v="Delivery"/>
    <s v="Meera"/>
    <n v="5"/>
    <s v="Completed"/>
  </r>
  <r>
    <x v="51"/>
    <d v="2025-03-17T00:00:00"/>
    <s v="08:45"/>
    <s v="Monday"/>
    <x v="5"/>
    <s v="Q1"/>
    <s v="Autumn"/>
    <s v="S10"/>
    <x v="1"/>
    <x v="1"/>
    <s v="South"/>
    <s v="C2051"/>
    <x v="0"/>
    <s v="Platinum"/>
    <s v="P014"/>
    <x v="4"/>
    <x v="2"/>
    <s v="Small"/>
    <n v="3"/>
    <n v="44.7"/>
    <n v="12"/>
    <n v="22"/>
    <n v="78.7"/>
    <n v="149"/>
    <n v="0"/>
    <n v="447"/>
    <n v="210.9"/>
    <n v="47.18"/>
    <x v="4"/>
    <s v="Dine-In"/>
    <s v="Kabir"/>
    <n v="5"/>
    <s v="Completed"/>
  </r>
  <r>
    <x v="52"/>
    <d v="2025-05-06T00:00:00"/>
    <s v="09:00"/>
    <s v="Tuesday"/>
    <x v="7"/>
    <s v="Q2"/>
    <s v="Summer"/>
    <s v="S10"/>
    <x v="1"/>
    <x v="1"/>
    <s v="South"/>
    <s v="C2052"/>
    <x v="2"/>
    <s v="Silver"/>
    <s v="P004"/>
    <x v="10"/>
    <x v="1"/>
    <s v="Large"/>
    <n v="3"/>
    <n v="70.98"/>
    <n v="12"/>
    <n v="22"/>
    <n v="104.98"/>
    <n v="236.6"/>
    <n v="5"/>
    <n v="674.31"/>
    <n v="359.37"/>
    <n v="53.29"/>
    <x v="3"/>
    <s v="Delivery"/>
    <s v="Kabir"/>
    <n v="5"/>
    <s v="Completed"/>
  </r>
  <r>
    <x v="53"/>
    <d v="2025-07-14T00:00:00"/>
    <s v="14:00"/>
    <s v="Monday"/>
    <x v="6"/>
    <s v="Q3"/>
    <s v="Monsoon"/>
    <s v="S14"/>
    <x v="4"/>
    <x v="4"/>
    <s v="North"/>
    <s v="C2053"/>
    <x v="2"/>
    <s v="Platinum"/>
    <s v="P014"/>
    <x v="4"/>
    <x v="2"/>
    <s v="Large"/>
    <n v="2"/>
    <n v="62.58"/>
    <n v="12"/>
    <n v="22"/>
    <n v="96.58"/>
    <n v="208.6"/>
    <n v="10"/>
    <n v="375.48"/>
    <n v="182.32"/>
    <n v="48.56"/>
    <x v="0"/>
    <s v="Delivery"/>
    <s v="Aarav"/>
    <n v="3"/>
    <s v="Completed"/>
  </r>
  <r>
    <x v="54"/>
    <d v="2025-11-19T00:00:00"/>
    <s v="13:15"/>
    <s v="Wednesday"/>
    <x v="1"/>
    <s v="Q4"/>
    <s v="Autumn"/>
    <s v="S04"/>
    <x v="5"/>
    <x v="5"/>
    <s v="West"/>
    <s v="C2054"/>
    <x v="2"/>
    <s v="Gold"/>
    <s v="P001"/>
    <x v="1"/>
    <x v="1"/>
    <s v="Large"/>
    <n v="2"/>
    <n v="62.58"/>
    <n v="12"/>
    <n v="22"/>
    <n v="96.58"/>
    <n v="208.6"/>
    <n v="5"/>
    <n v="396.34"/>
    <n v="203.18"/>
    <n v="51.26"/>
    <x v="0"/>
    <s v="Takeaway"/>
    <s v="Aarav"/>
    <n v="5"/>
    <s v="Completed"/>
  </r>
  <r>
    <x v="55"/>
    <d v="2025-07-09T00:00:00"/>
    <s v="14:45"/>
    <s v="Wednesday"/>
    <x v="6"/>
    <s v="Q3"/>
    <s v="Monsoon"/>
    <s v="S14"/>
    <x v="4"/>
    <x v="4"/>
    <s v="North"/>
    <s v="C2055"/>
    <x v="2"/>
    <s v="Platinum"/>
    <s v="P013"/>
    <x v="5"/>
    <x v="2"/>
    <s v="Large"/>
    <n v="1"/>
    <n v="54.18"/>
    <n v="12"/>
    <n v="22"/>
    <n v="88.18"/>
    <n v="180.6"/>
    <n v="10"/>
    <n v="162.54"/>
    <n v="74.36"/>
    <n v="45.75"/>
    <x v="2"/>
    <s v="Takeaway"/>
    <s v="Kabir"/>
    <n v="4"/>
    <s v="Completed"/>
  </r>
  <r>
    <x v="56"/>
    <d v="2025-07-25T00:00:00"/>
    <s v="17:45"/>
    <s v="Friday"/>
    <x v="6"/>
    <s v="Q3"/>
    <s v="Monsoon"/>
    <s v="S04"/>
    <x v="5"/>
    <x v="5"/>
    <s v="West"/>
    <s v="C2056"/>
    <x v="1"/>
    <s v="Platinum"/>
    <s v="P003"/>
    <x v="3"/>
    <x v="1"/>
    <s v="Large"/>
    <n v="3"/>
    <n v="91.98"/>
    <n v="12"/>
    <n v="22"/>
    <n v="125.98"/>
    <n v="306.60000000000002"/>
    <n v="0"/>
    <n v="919.8"/>
    <n v="541.86"/>
    <n v="58.91"/>
    <x v="1"/>
    <s v="Dine-In"/>
    <s v="Rohan"/>
    <n v="4"/>
    <s v="Completed"/>
  </r>
  <r>
    <x v="57"/>
    <d v="2025-06-23T00:00:00"/>
    <s v="17:30"/>
    <s v="Monday"/>
    <x v="10"/>
    <s v="Q2"/>
    <s v="Summer"/>
    <s v="S07"/>
    <x v="3"/>
    <x v="3"/>
    <s v="South"/>
    <s v="C2057"/>
    <x v="0"/>
    <s v="Silver"/>
    <s v="P033"/>
    <x v="8"/>
    <x v="0"/>
    <s v="Large"/>
    <n v="1"/>
    <n v="104.58"/>
    <n v="12"/>
    <n v="22"/>
    <n v="138.58000000000001"/>
    <n v="348.6"/>
    <n v="5"/>
    <n v="331.17"/>
    <n v="192.59"/>
    <n v="58.15"/>
    <x v="2"/>
    <s v="Dine-In"/>
    <s v="Aarav"/>
    <n v="5"/>
    <s v="Completed"/>
  </r>
  <r>
    <x v="58"/>
    <d v="2025-02-11T00:00:00"/>
    <s v="17:00"/>
    <s v="Tuesday"/>
    <x v="3"/>
    <s v="Q1"/>
    <s v="Winter"/>
    <s v="S12"/>
    <x v="2"/>
    <x v="2"/>
    <s v="East"/>
    <s v="C2058"/>
    <x v="0"/>
    <s v="Silver"/>
    <s v="P001"/>
    <x v="1"/>
    <x v="1"/>
    <s v="Large"/>
    <n v="1"/>
    <n v="62.58"/>
    <n v="12"/>
    <n v="22"/>
    <n v="96.58"/>
    <n v="208.6"/>
    <n v="0"/>
    <n v="208.6"/>
    <n v="112.02"/>
    <n v="53.7"/>
    <x v="2"/>
    <s v="Dine-In"/>
    <s v="Kabir"/>
    <n v="4"/>
    <s v="Completed"/>
  </r>
  <r>
    <x v="59"/>
    <d v="2025-05-06T00:00:00"/>
    <s v="13:15"/>
    <s v="Tuesday"/>
    <x v="7"/>
    <s v="Q2"/>
    <s v="Summer"/>
    <s v="S12"/>
    <x v="2"/>
    <x v="2"/>
    <s v="East"/>
    <s v="C2059"/>
    <x v="1"/>
    <s v="Platinum"/>
    <s v="P027"/>
    <x v="13"/>
    <x v="3"/>
    <s v="Small"/>
    <n v="3"/>
    <n v="68.7"/>
    <n v="12"/>
    <n v="22"/>
    <n v="102.7"/>
    <n v="229"/>
    <n v="0"/>
    <n v="687"/>
    <n v="378.9"/>
    <n v="55.15"/>
    <x v="1"/>
    <s v="Takeaway"/>
    <s v="Rohan"/>
    <n v="5"/>
    <s v="Completed"/>
  </r>
  <r>
    <x v="60"/>
    <d v="2025-12-11T00:00:00"/>
    <s v="09:30"/>
    <s v="Thursday"/>
    <x v="8"/>
    <s v="Q4"/>
    <s v="Winter"/>
    <s v="S01"/>
    <x v="0"/>
    <x v="0"/>
    <s v="North"/>
    <s v="C2060"/>
    <x v="0"/>
    <s v="Gold"/>
    <s v="P001"/>
    <x v="1"/>
    <x v="1"/>
    <s v="Large"/>
    <n v="2"/>
    <n v="62.58"/>
    <n v="12"/>
    <n v="22"/>
    <n v="96.58"/>
    <n v="208.6"/>
    <n v="5"/>
    <n v="396.34"/>
    <n v="203.18"/>
    <n v="51.26"/>
    <x v="3"/>
    <s v="Delivery"/>
    <s v="Aarav"/>
    <n v="4"/>
    <s v="Completed"/>
  </r>
  <r>
    <x v="61"/>
    <d v="2025-04-10T00:00:00"/>
    <s v="14:45"/>
    <s v="Thursday"/>
    <x v="11"/>
    <s v="Q2"/>
    <s v="Summer"/>
    <s v="S04"/>
    <x v="5"/>
    <x v="5"/>
    <s v="West"/>
    <s v="C2061"/>
    <x v="1"/>
    <s v="Gold"/>
    <s v="P033"/>
    <x v="8"/>
    <x v="0"/>
    <s v="Large"/>
    <n v="3"/>
    <n v="104.58"/>
    <n v="12"/>
    <n v="22"/>
    <n v="138.58000000000001"/>
    <n v="348.6"/>
    <n v="0"/>
    <n v="1045.8"/>
    <n v="630.05999999999995"/>
    <n v="60.25"/>
    <x v="2"/>
    <s v="Takeaway"/>
    <s v="Meera"/>
    <n v="5"/>
    <s v="Completed"/>
  </r>
  <r>
    <x v="62"/>
    <d v="2025-09-05T00:00:00"/>
    <s v="17:45"/>
    <s v="Friday"/>
    <x v="2"/>
    <s v="Q3"/>
    <s v="Monsoon"/>
    <s v="S12"/>
    <x v="2"/>
    <x v="2"/>
    <s v="East"/>
    <s v="C2062"/>
    <x v="2"/>
    <s v="Platinum"/>
    <s v="P014"/>
    <x v="4"/>
    <x v="2"/>
    <s v="Large"/>
    <n v="3"/>
    <n v="62.58"/>
    <n v="12"/>
    <n v="22"/>
    <n v="96.58"/>
    <n v="208.6"/>
    <n v="5"/>
    <n v="594.51"/>
    <n v="304.77"/>
    <n v="51.26"/>
    <x v="1"/>
    <s v="Dine-In"/>
    <s v="Rohan"/>
    <n v="5"/>
    <s v="Completed"/>
  </r>
  <r>
    <x v="63"/>
    <d v="2025-07-23T00:00:00"/>
    <s v="09:00"/>
    <s v="Wednesday"/>
    <x v="6"/>
    <s v="Q3"/>
    <s v="Monsoon"/>
    <s v="S07"/>
    <x v="3"/>
    <x v="3"/>
    <s v="South"/>
    <s v="C2063"/>
    <x v="0"/>
    <s v="Silver"/>
    <s v="P014"/>
    <x v="4"/>
    <x v="2"/>
    <s v="Medium"/>
    <n v="3"/>
    <n v="53.64"/>
    <n v="12"/>
    <n v="22"/>
    <n v="87.64"/>
    <n v="178.8"/>
    <n v="10"/>
    <n v="482.76"/>
    <n v="219.84"/>
    <n v="45.54"/>
    <x v="3"/>
    <s v="Takeaway"/>
    <s v="Kabir"/>
    <n v="4"/>
    <s v="Completed"/>
  </r>
  <r>
    <x v="64"/>
    <d v="2025-09-27T00:00:00"/>
    <s v="09:15"/>
    <s v="Saturday"/>
    <x v="2"/>
    <s v="Q3"/>
    <s v="Monsoon"/>
    <s v="S12"/>
    <x v="2"/>
    <x v="2"/>
    <s v="East"/>
    <s v="C2064"/>
    <x v="2"/>
    <s v="Silver"/>
    <s v="P014"/>
    <x v="4"/>
    <x v="2"/>
    <s v="Medium"/>
    <n v="3"/>
    <n v="53.64"/>
    <n v="12"/>
    <n v="22"/>
    <n v="87.64"/>
    <n v="178.8"/>
    <n v="10"/>
    <n v="482.76"/>
    <n v="219.84"/>
    <n v="45.54"/>
    <x v="2"/>
    <s v="Takeaway"/>
    <s v="Kabir"/>
    <n v="4"/>
    <s v="Completed"/>
  </r>
  <r>
    <x v="65"/>
    <d v="2025-03-17T00:00:00"/>
    <s v="17:45"/>
    <s v="Monday"/>
    <x v="5"/>
    <s v="Q1"/>
    <s v="Autumn"/>
    <s v="S10"/>
    <x v="1"/>
    <x v="1"/>
    <s v="South"/>
    <s v="C2065"/>
    <x v="1"/>
    <s v="Silver"/>
    <s v="P003"/>
    <x v="3"/>
    <x v="1"/>
    <s v="Large"/>
    <n v="1"/>
    <n v="91.98"/>
    <n v="12"/>
    <n v="22"/>
    <n v="125.98"/>
    <n v="306.60000000000002"/>
    <n v="10"/>
    <n v="275.94"/>
    <n v="149.96"/>
    <n v="54.35"/>
    <x v="3"/>
    <s v="Delivery"/>
    <s v="Rohan"/>
    <n v="4"/>
    <s v="Completed"/>
  </r>
  <r>
    <x v="66"/>
    <d v="2025-03-30T00:00:00"/>
    <s v="17:00"/>
    <s v="Sunday"/>
    <x v="5"/>
    <s v="Q1"/>
    <s v="Autumn"/>
    <s v="S07"/>
    <x v="3"/>
    <x v="3"/>
    <s v="South"/>
    <s v="C2066"/>
    <x v="0"/>
    <s v="Platinum"/>
    <s v="P002"/>
    <x v="2"/>
    <x v="1"/>
    <s v="Large"/>
    <n v="2"/>
    <n v="100.38"/>
    <n v="12"/>
    <n v="22"/>
    <n v="134.38"/>
    <n v="334.6"/>
    <n v="10"/>
    <n v="602.28"/>
    <n v="333.52"/>
    <n v="55.38"/>
    <x v="2"/>
    <s v="Dine-In"/>
    <s v="Kabir"/>
    <n v="5"/>
    <s v="Completed"/>
  </r>
  <r>
    <x v="67"/>
    <d v="2025-05-13T00:00:00"/>
    <s v="17:30"/>
    <s v="Tuesday"/>
    <x v="7"/>
    <s v="Q2"/>
    <s v="Summer"/>
    <s v="S10"/>
    <x v="1"/>
    <x v="1"/>
    <s v="South"/>
    <s v="C2067"/>
    <x v="2"/>
    <s v="Gold"/>
    <s v="P034"/>
    <x v="0"/>
    <x v="0"/>
    <s v="Medium"/>
    <n v="1"/>
    <n v="93.24"/>
    <n v="12"/>
    <n v="22"/>
    <n v="127.24"/>
    <n v="310.8"/>
    <n v="5"/>
    <n v="295.26"/>
    <n v="168.02"/>
    <n v="56.91"/>
    <x v="1"/>
    <s v="Dine-In"/>
    <s v="Diya"/>
    <n v="5"/>
    <s v="Completed"/>
  </r>
  <r>
    <x v="68"/>
    <d v="2025-03-04T00:00:00"/>
    <s v="18:15"/>
    <s v="Tuesday"/>
    <x v="5"/>
    <s v="Q1"/>
    <s v="Autumn"/>
    <s v="S12"/>
    <x v="2"/>
    <x v="2"/>
    <s v="East"/>
    <s v="C2068"/>
    <x v="1"/>
    <s v="Silver"/>
    <s v="P019"/>
    <x v="7"/>
    <x v="4"/>
    <s v="Medium"/>
    <n v="2"/>
    <n v="71.64"/>
    <n v="12"/>
    <n v="22"/>
    <n v="105.64"/>
    <n v="238.8"/>
    <n v="0"/>
    <n v="477.6"/>
    <n v="266.32"/>
    <n v="55.76"/>
    <x v="0"/>
    <s v="Delivery"/>
    <s v="Meera"/>
    <n v="5"/>
    <s v="Completed"/>
  </r>
  <r>
    <x v="69"/>
    <d v="2025-06-02T00:00:00"/>
    <s v="09:30"/>
    <s v="Monday"/>
    <x v="10"/>
    <s v="Q2"/>
    <s v="Summer"/>
    <s v="S10"/>
    <x v="1"/>
    <x v="1"/>
    <s v="South"/>
    <s v="C2069"/>
    <x v="2"/>
    <s v="Platinum"/>
    <s v="P003"/>
    <x v="3"/>
    <x v="1"/>
    <s v="Large"/>
    <n v="1"/>
    <n v="91.98"/>
    <n v="12"/>
    <n v="22"/>
    <n v="125.98"/>
    <n v="306.60000000000002"/>
    <n v="0"/>
    <n v="306.60000000000002"/>
    <n v="180.62"/>
    <n v="58.91"/>
    <x v="0"/>
    <s v="Takeaway"/>
    <s v="Meera"/>
    <n v="4"/>
    <s v="Completed"/>
  </r>
  <r>
    <x v="70"/>
    <d v="2025-09-14T00:00:00"/>
    <s v="14:15"/>
    <s v="Sunday"/>
    <x v="2"/>
    <s v="Q3"/>
    <s v="Monsoon"/>
    <s v="S12"/>
    <x v="2"/>
    <x v="2"/>
    <s v="East"/>
    <s v="C2070"/>
    <x v="0"/>
    <s v="Gold"/>
    <s v="P027"/>
    <x v="13"/>
    <x v="3"/>
    <s v="Large"/>
    <n v="2"/>
    <n v="96.18"/>
    <n v="12"/>
    <n v="22"/>
    <n v="130.18"/>
    <n v="320.60000000000002"/>
    <n v="10"/>
    <n v="577.08000000000004"/>
    <n v="316.72000000000003"/>
    <n v="54.88"/>
    <x v="1"/>
    <s v="Dine-In"/>
    <s v="Diya"/>
    <n v="5"/>
    <s v="Completed"/>
  </r>
  <r>
    <x v="71"/>
    <d v="2025-09-20T00:00:00"/>
    <s v="17:30"/>
    <s v="Saturday"/>
    <x v="2"/>
    <s v="Q3"/>
    <s v="Monsoon"/>
    <s v="S14"/>
    <x v="4"/>
    <x v="4"/>
    <s v="North"/>
    <s v="C2071"/>
    <x v="2"/>
    <s v="Silver"/>
    <s v="P004"/>
    <x v="10"/>
    <x v="1"/>
    <s v="Small"/>
    <n v="4"/>
    <n v="50.7"/>
    <n v="12"/>
    <n v="22"/>
    <n v="84.7"/>
    <n v="169"/>
    <n v="10"/>
    <n v="608.4"/>
    <n v="269.60000000000002"/>
    <n v="44.31"/>
    <x v="2"/>
    <s v="Delivery"/>
    <s v="Diya"/>
    <n v="5"/>
    <s v="Completed"/>
  </r>
  <r>
    <x v="72"/>
    <d v="2025-08-06T00:00:00"/>
    <s v="18:30"/>
    <s v="Wednesday"/>
    <x v="4"/>
    <s v="Q3"/>
    <s v="Monsoon"/>
    <s v="S12"/>
    <x v="2"/>
    <x v="2"/>
    <s v="East"/>
    <s v="C2072"/>
    <x v="1"/>
    <s v="Gold"/>
    <s v="P001"/>
    <x v="1"/>
    <x v="1"/>
    <s v="Medium"/>
    <n v="3"/>
    <n v="53.64"/>
    <n v="12"/>
    <n v="22"/>
    <n v="87.64"/>
    <n v="178.8"/>
    <n v="0"/>
    <n v="536.4"/>
    <n v="273.48"/>
    <n v="50.98"/>
    <x v="1"/>
    <s v="Dine-In"/>
    <s v="Rohan"/>
    <n v="5"/>
    <s v="Completed"/>
  </r>
  <r>
    <x v="73"/>
    <d v="2025-03-31T00:00:00"/>
    <s v="17:00"/>
    <s v="Monday"/>
    <x v="5"/>
    <s v="Q1"/>
    <s v="Autumn"/>
    <s v="S10"/>
    <x v="1"/>
    <x v="1"/>
    <s v="South"/>
    <s v="C2073"/>
    <x v="2"/>
    <s v="Silver"/>
    <s v="P020"/>
    <x v="9"/>
    <x v="4"/>
    <s v="Small"/>
    <n v="3"/>
    <n v="47.7"/>
    <n v="12"/>
    <n v="22"/>
    <n v="81.7"/>
    <n v="159"/>
    <n v="10"/>
    <n v="429.3"/>
    <n v="184.2"/>
    <n v="42.91"/>
    <x v="2"/>
    <s v="Delivery"/>
    <s v="Kabir"/>
    <n v="4"/>
    <s v="Completed"/>
  </r>
  <r>
    <x v="74"/>
    <d v="2025-11-04T00:00:00"/>
    <s v="13:45"/>
    <s v="Tuesday"/>
    <x v="1"/>
    <s v="Q4"/>
    <s v="Autumn"/>
    <s v="S14"/>
    <x v="4"/>
    <x v="4"/>
    <s v="North"/>
    <s v="C2074"/>
    <x v="0"/>
    <s v="Platinum"/>
    <s v="P001"/>
    <x v="1"/>
    <x v="1"/>
    <s v="Medium"/>
    <n v="1"/>
    <n v="53.64"/>
    <n v="12"/>
    <n v="22"/>
    <n v="87.64"/>
    <n v="178.8"/>
    <n v="0"/>
    <n v="178.8"/>
    <n v="91.16"/>
    <n v="50.98"/>
    <x v="1"/>
    <s v="Takeaway"/>
    <s v="Aarav"/>
    <n v="5"/>
    <s v="Completed"/>
  </r>
  <r>
    <x v="75"/>
    <d v="2025-09-19T00:00:00"/>
    <s v="13:30"/>
    <s v="Friday"/>
    <x v="2"/>
    <s v="Q3"/>
    <s v="Monsoon"/>
    <s v="S10"/>
    <x v="1"/>
    <x v="1"/>
    <s v="South"/>
    <s v="C2075"/>
    <x v="2"/>
    <s v="Silver"/>
    <s v="P004"/>
    <x v="10"/>
    <x v="1"/>
    <s v="Small"/>
    <n v="3"/>
    <n v="50.7"/>
    <n v="12"/>
    <n v="22"/>
    <n v="84.7"/>
    <n v="169"/>
    <n v="0"/>
    <n v="507"/>
    <n v="252.9"/>
    <n v="49.88"/>
    <x v="1"/>
    <s v="Dine-In"/>
    <s v="Meera"/>
    <n v="5"/>
    <s v="Completed"/>
  </r>
  <r>
    <x v="76"/>
    <d v="2025-02-12T00:00:00"/>
    <s v="09:15"/>
    <s v="Wednesday"/>
    <x v="3"/>
    <s v="Q1"/>
    <s v="Winter"/>
    <s v="S10"/>
    <x v="1"/>
    <x v="1"/>
    <s v="South"/>
    <s v="C2076"/>
    <x v="0"/>
    <s v="Platinum"/>
    <s v="P004"/>
    <x v="10"/>
    <x v="1"/>
    <s v="Large"/>
    <n v="1"/>
    <n v="70.98"/>
    <n v="12"/>
    <n v="22"/>
    <n v="104.98"/>
    <n v="236.6"/>
    <n v="0"/>
    <n v="236.6"/>
    <n v="131.62"/>
    <n v="55.63"/>
    <x v="0"/>
    <s v="Takeaway"/>
    <s v="Diya"/>
    <n v="5"/>
    <s v="Completed"/>
  </r>
  <r>
    <x v="77"/>
    <d v="2025-05-07T00:00:00"/>
    <s v="13:15"/>
    <s v="Wednesday"/>
    <x v="7"/>
    <s v="Q2"/>
    <s v="Summer"/>
    <s v="S04"/>
    <x v="5"/>
    <x v="5"/>
    <s v="West"/>
    <s v="C2077"/>
    <x v="2"/>
    <s v="Silver"/>
    <s v="P002"/>
    <x v="2"/>
    <x v="1"/>
    <s v="Small"/>
    <n v="3"/>
    <n v="71.7"/>
    <n v="12"/>
    <n v="22"/>
    <n v="105.7"/>
    <n v="239"/>
    <n v="0"/>
    <n v="717"/>
    <n v="399.9"/>
    <n v="55.77"/>
    <x v="2"/>
    <s v="Delivery"/>
    <s v="Kabir"/>
    <n v="3"/>
    <s v="Completed"/>
  </r>
  <r>
    <x v="78"/>
    <d v="2025-04-02T00:00:00"/>
    <s v="17:30"/>
    <s v="Wednesday"/>
    <x v="11"/>
    <s v="Q2"/>
    <s v="Summer"/>
    <s v="S10"/>
    <x v="1"/>
    <x v="1"/>
    <s v="South"/>
    <s v="C2078"/>
    <x v="2"/>
    <s v="Silver"/>
    <s v="P001"/>
    <x v="1"/>
    <x v="1"/>
    <s v="Large"/>
    <n v="3"/>
    <n v="62.58"/>
    <n v="12"/>
    <n v="22"/>
    <n v="96.58"/>
    <n v="208.6"/>
    <n v="0"/>
    <n v="625.79999999999995"/>
    <n v="336.06"/>
    <n v="53.7"/>
    <x v="2"/>
    <s v="Dine-In"/>
    <s v="Diya"/>
    <n v="4"/>
    <s v="Completed"/>
  </r>
  <r>
    <x v="79"/>
    <d v="2025-05-08T00:00:00"/>
    <s v="08:30"/>
    <s v="Thursday"/>
    <x v="7"/>
    <s v="Q2"/>
    <s v="Summer"/>
    <s v="S14"/>
    <x v="4"/>
    <x v="4"/>
    <s v="North"/>
    <s v="C2079"/>
    <x v="1"/>
    <s v="Platinum"/>
    <s v="P001"/>
    <x v="1"/>
    <x v="1"/>
    <s v="Medium"/>
    <n v="1"/>
    <n v="53.64"/>
    <n v="12"/>
    <n v="22"/>
    <n v="87.64"/>
    <n v="178.8"/>
    <n v="5"/>
    <n v="169.86"/>
    <n v="82.22"/>
    <n v="48.4"/>
    <x v="3"/>
    <s v="Takeaway"/>
    <s v="Meera"/>
    <n v="3"/>
    <s v="Completed"/>
  </r>
  <r>
    <x v="80"/>
    <d v="2025-12-13T00:00:00"/>
    <s v="14:15"/>
    <s v="Saturday"/>
    <x v="8"/>
    <s v="Q4"/>
    <s v="Winter"/>
    <s v="S10"/>
    <x v="1"/>
    <x v="1"/>
    <s v="South"/>
    <s v="C2080"/>
    <x v="1"/>
    <s v="Gold"/>
    <s v="P041"/>
    <x v="12"/>
    <x v="5"/>
    <s v="Small"/>
    <n v="1"/>
    <n v="89.7"/>
    <n v="12"/>
    <n v="22"/>
    <n v="123.7"/>
    <n v="299"/>
    <n v="10"/>
    <n v="269.10000000000002"/>
    <n v="145.4"/>
    <n v="54.03"/>
    <x v="2"/>
    <s v="Delivery"/>
    <s v="Aarav"/>
    <n v="4"/>
    <s v="Completed"/>
  </r>
  <r>
    <x v="81"/>
    <d v="2025-07-07T00:00:00"/>
    <s v="08:15"/>
    <s v="Monday"/>
    <x v="6"/>
    <s v="Q3"/>
    <s v="Monsoon"/>
    <s v="S12"/>
    <x v="2"/>
    <x v="2"/>
    <s v="East"/>
    <s v="C2081"/>
    <x v="0"/>
    <s v="Silver"/>
    <s v="P003"/>
    <x v="3"/>
    <x v="1"/>
    <s v="Small"/>
    <n v="3"/>
    <n v="65.7"/>
    <n v="12"/>
    <n v="22"/>
    <n v="99.7"/>
    <n v="219"/>
    <n v="10"/>
    <n v="591.29999999999995"/>
    <n v="292.2"/>
    <n v="49.42"/>
    <x v="0"/>
    <s v="Takeaway"/>
    <s v="Rohan"/>
    <n v="4"/>
    <s v="Completed"/>
  </r>
  <r>
    <x v="82"/>
    <d v="2025-12-19T00:00:00"/>
    <s v="08:15"/>
    <s v="Friday"/>
    <x v="8"/>
    <s v="Q4"/>
    <s v="Winter"/>
    <s v="S14"/>
    <x v="4"/>
    <x v="4"/>
    <s v="North"/>
    <s v="C2082"/>
    <x v="0"/>
    <s v="Platinum"/>
    <s v="P002"/>
    <x v="2"/>
    <x v="1"/>
    <s v="Small"/>
    <n v="2"/>
    <n v="71.7"/>
    <n v="12"/>
    <n v="22"/>
    <n v="105.7"/>
    <n v="239"/>
    <n v="0"/>
    <n v="478"/>
    <n v="266.60000000000002"/>
    <n v="55.77"/>
    <x v="2"/>
    <s v="Dine-In"/>
    <s v="Aarav"/>
    <n v="5"/>
    <s v="Completed"/>
  </r>
  <r>
    <x v="83"/>
    <d v="2025-10-21T00:00:00"/>
    <s v="18:00"/>
    <s v="Tuesday"/>
    <x v="0"/>
    <s v="Q4"/>
    <s v="Autumn"/>
    <s v="S01"/>
    <x v="0"/>
    <x v="0"/>
    <s v="North"/>
    <s v="C2083"/>
    <x v="1"/>
    <s v="Platinum"/>
    <s v="P004"/>
    <x v="10"/>
    <x v="1"/>
    <s v="Small"/>
    <n v="3"/>
    <n v="50.7"/>
    <n v="12"/>
    <n v="22"/>
    <n v="84.7"/>
    <n v="169"/>
    <n v="10"/>
    <n v="456.3"/>
    <n v="202.2"/>
    <n v="44.31"/>
    <x v="2"/>
    <s v="Takeaway"/>
    <s v="Rohan"/>
    <n v="5"/>
    <s v="Completed"/>
  </r>
  <r>
    <x v="84"/>
    <d v="2025-07-21T00:00:00"/>
    <s v="18:15"/>
    <s v="Monday"/>
    <x v="6"/>
    <s v="Q3"/>
    <s v="Monsoon"/>
    <s v="S14"/>
    <x v="4"/>
    <x v="4"/>
    <s v="North"/>
    <s v="C2084"/>
    <x v="0"/>
    <s v="Gold"/>
    <s v="P004"/>
    <x v="10"/>
    <x v="1"/>
    <s v="Large"/>
    <n v="3"/>
    <n v="70.98"/>
    <n v="12"/>
    <n v="22"/>
    <n v="104.98"/>
    <n v="236.6"/>
    <n v="10"/>
    <n v="638.82000000000005"/>
    <n v="323.88"/>
    <n v="50.7"/>
    <x v="0"/>
    <s v="Dine-In"/>
    <s v="Rohan"/>
    <n v="4"/>
    <s v="Completed"/>
  </r>
  <r>
    <x v="85"/>
    <d v="2025-01-19T00:00:00"/>
    <s v="13:00"/>
    <s v="Sunday"/>
    <x v="9"/>
    <s v="Q1"/>
    <s v="Winter"/>
    <s v="S12"/>
    <x v="2"/>
    <x v="2"/>
    <s v="East"/>
    <s v="C2085"/>
    <x v="0"/>
    <s v="Gold"/>
    <s v="P034"/>
    <x v="0"/>
    <x v="0"/>
    <s v="Small"/>
    <n v="1"/>
    <n v="77.7"/>
    <n v="12"/>
    <n v="22"/>
    <n v="111.7"/>
    <n v="259"/>
    <n v="15"/>
    <n v="220.15"/>
    <n v="108.45"/>
    <n v="49.26"/>
    <x v="1"/>
    <s v="Delivery"/>
    <s v="Diya"/>
    <n v="4"/>
    <s v="Completed"/>
  </r>
  <r>
    <x v="86"/>
    <d v="2025-02-20T00:00:00"/>
    <s v="17:15"/>
    <s v="Thursday"/>
    <x v="3"/>
    <s v="Q1"/>
    <s v="Winter"/>
    <s v="S10"/>
    <x v="1"/>
    <x v="1"/>
    <s v="South"/>
    <s v="C2086"/>
    <x v="1"/>
    <s v="Platinum"/>
    <s v="P003"/>
    <x v="3"/>
    <x v="1"/>
    <s v="Large"/>
    <n v="3"/>
    <n v="91.98"/>
    <n v="12"/>
    <n v="22"/>
    <n v="125.98"/>
    <n v="306.60000000000002"/>
    <n v="5"/>
    <n v="873.81"/>
    <n v="495.87"/>
    <n v="56.75"/>
    <x v="3"/>
    <s v="Dine-In"/>
    <s v="Rohan"/>
    <n v="4"/>
    <s v="Completed"/>
  </r>
  <r>
    <x v="87"/>
    <d v="2025-07-31T00:00:00"/>
    <s v="17:15"/>
    <s v="Thursday"/>
    <x v="6"/>
    <s v="Q3"/>
    <s v="Monsoon"/>
    <s v="S07"/>
    <x v="3"/>
    <x v="3"/>
    <s v="South"/>
    <s v="C2087"/>
    <x v="0"/>
    <s v="Gold"/>
    <s v="P014"/>
    <x v="4"/>
    <x v="2"/>
    <s v="Small"/>
    <n v="1"/>
    <n v="44.7"/>
    <n v="12"/>
    <n v="22"/>
    <n v="78.7"/>
    <n v="149"/>
    <n v="0"/>
    <n v="149"/>
    <n v="70.3"/>
    <n v="47.18"/>
    <x v="0"/>
    <s v="Delivery"/>
    <s v="Rohan"/>
    <n v="3"/>
    <s v="Completed"/>
  </r>
  <r>
    <x v="88"/>
    <d v="2025-06-18T00:00:00"/>
    <s v="17:15"/>
    <s v="Wednesday"/>
    <x v="10"/>
    <s v="Q2"/>
    <s v="Summer"/>
    <s v="S14"/>
    <x v="4"/>
    <x v="4"/>
    <s v="North"/>
    <s v="C2088"/>
    <x v="2"/>
    <s v="Platinum"/>
    <s v="P020"/>
    <x v="9"/>
    <x v="4"/>
    <s v="Large"/>
    <n v="1"/>
    <n v="66.78"/>
    <n v="12"/>
    <n v="22"/>
    <n v="100.78"/>
    <n v="222.6"/>
    <n v="0"/>
    <n v="222.6"/>
    <n v="121.82"/>
    <n v="54.73"/>
    <x v="3"/>
    <s v="Delivery"/>
    <s v="Kabir"/>
    <n v="5"/>
    <s v="Completed"/>
  </r>
  <r>
    <x v="89"/>
    <d v="2025-06-25T00:00:00"/>
    <s v="18:45"/>
    <s v="Wednesday"/>
    <x v="10"/>
    <s v="Q2"/>
    <s v="Summer"/>
    <s v="S10"/>
    <x v="1"/>
    <x v="1"/>
    <s v="South"/>
    <s v="C2089"/>
    <x v="1"/>
    <s v="Silver"/>
    <s v="P033"/>
    <x v="8"/>
    <x v="0"/>
    <s v="Medium"/>
    <n v="1"/>
    <n v="89.64"/>
    <n v="12"/>
    <n v="22"/>
    <n v="123.64"/>
    <n v="298.8"/>
    <n v="5"/>
    <n v="283.86"/>
    <n v="160.22"/>
    <n v="56.44"/>
    <x v="2"/>
    <s v="Dine-In"/>
    <s v="Kabir"/>
    <n v="3"/>
    <s v="Completed"/>
  </r>
  <r>
    <x v="90"/>
    <d v="2025-11-27T00:00:00"/>
    <s v="14:45"/>
    <s v="Thursday"/>
    <x v="1"/>
    <s v="Q4"/>
    <s v="Autumn"/>
    <s v="S01"/>
    <x v="0"/>
    <x v="0"/>
    <s v="North"/>
    <s v="C2090"/>
    <x v="1"/>
    <s v="Silver"/>
    <s v="P034"/>
    <x v="0"/>
    <x v="0"/>
    <s v="Small"/>
    <n v="1"/>
    <n v="77.7"/>
    <n v="12"/>
    <n v="22"/>
    <n v="111.7"/>
    <n v="259"/>
    <n v="10"/>
    <n v="233.1"/>
    <n v="121.4"/>
    <n v="52.08"/>
    <x v="1"/>
    <s v="Dine-In"/>
    <s v="Meera"/>
    <n v="5"/>
    <s v="Completed"/>
  </r>
  <r>
    <x v="91"/>
    <d v="2025-10-25T00:00:00"/>
    <s v="13:30"/>
    <s v="Saturday"/>
    <x v="0"/>
    <s v="Q4"/>
    <s v="Autumn"/>
    <s v="S10"/>
    <x v="1"/>
    <x v="1"/>
    <s v="South"/>
    <s v="C2091"/>
    <x v="2"/>
    <s v="Gold"/>
    <s v="P027"/>
    <x v="13"/>
    <x v="3"/>
    <s v="Small"/>
    <n v="2"/>
    <n v="68.7"/>
    <n v="12"/>
    <n v="22"/>
    <n v="102.7"/>
    <n v="229"/>
    <n v="15"/>
    <n v="389.3"/>
    <n v="183.9"/>
    <n v="47.24"/>
    <x v="0"/>
    <s v="Delivery"/>
    <s v="Kabir"/>
    <n v="5"/>
    <s v="Completed"/>
  </r>
  <r>
    <x v="92"/>
    <d v="2025-01-18T00:00:00"/>
    <s v="08:15"/>
    <s v="Saturday"/>
    <x v="9"/>
    <s v="Q1"/>
    <s v="Winter"/>
    <s v="S07"/>
    <x v="3"/>
    <x v="3"/>
    <s v="South"/>
    <s v="C2092"/>
    <x v="1"/>
    <s v="Silver"/>
    <s v="P002"/>
    <x v="2"/>
    <x v="1"/>
    <s v="Large"/>
    <n v="1"/>
    <n v="100.38"/>
    <n v="12"/>
    <n v="22"/>
    <n v="134.38"/>
    <n v="334.6"/>
    <n v="15"/>
    <n v="284.41000000000003"/>
    <n v="150.03"/>
    <n v="52.75"/>
    <x v="2"/>
    <s v="Takeaway"/>
    <s v="Aarav"/>
    <n v="5"/>
    <s v="Completed"/>
  </r>
  <r>
    <x v="93"/>
    <d v="2025-01-03T00:00:00"/>
    <s v="08:15"/>
    <s v="Friday"/>
    <x v="9"/>
    <s v="Q1"/>
    <s v="Winter"/>
    <s v="S14"/>
    <x v="4"/>
    <x v="4"/>
    <s v="North"/>
    <s v="C2093"/>
    <x v="1"/>
    <s v="Gold"/>
    <s v="P001"/>
    <x v="1"/>
    <x v="1"/>
    <s v="Medium"/>
    <n v="1"/>
    <n v="53.64"/>
    <n v="12"/>
    <n v="22"/>
    <n v="87.64"/>
    <n v="178.8"/>
    <n v="10"/>
    <n v="160.91999999999999"/>
    <n v="73.28"/>
    <n v="45.54"/>
    <x v="1"/>
    <s v="Takeaway"/>
    <s v="Rohan"/>
    <n v="4"/>
    <s v="Completed"/>
  </r>
  <r>
    <x v="94"/>
    <d v="2025-12-12T00:00:00"/>
    <s v="09:15"/>
    <s v="Friday"/>
    <x v="8"/>
    <s v="Q4"/>
    <s v="Winter"/>
    <s v="S04"/>
    <x v="5"/>
    <x v="5"/>
    <s v="West"/>
    <s v="C2094"/>
    <x v="2"/>
    <s v="Platinum"/>
    <s v="P003"/>
    <x v="3"/>
    <x v="1"/>
    <s v="Medium"/>
    <n v="1"/>
    <n v="78.84"/>
    <n v="12"/>
    <n v="22"/>
    <n v="112.84"/>
    <n v="262.8"/>
    <n v="10"/>
    <n v="236.52"/>
    <n v="123.68"/>
    <n v="52.29"/>
    <x v="1"/>
    <s v="Takeaway"/>
    <s v="Rohan"/>
    <n v="4"/>
    <s v="Completed"/>
  </r>
  <r>
    <x v="95"/>
    <d v="2025-05-07T00:00:00"/>
    <s v="13:00"/>
    <s v="Wednesday"/>
    <x v="7"/>
    <s v="Q2"/>
    <s v="Summer"/>
    <s v="S01"/>
    <x v="0"/>
    <x v="0"/>
    <s v="North"/>
    <s v="C2095"/>
    <x v="1"/>
    <s v="Platinum"/>
    <s v="P028"/>
    <x v="6"/>
    <x v="3"/>
    <s v="Small"/>
    <n v="2"/>
    <n v="74.7"/>
    <n v="12"/>
    <n v="22"/>
    <n v="108.7"/>
    <n v="249"/>
    <n v="0"/>
    <n v="498"/>
    <n v="280.60000000000002"/>
    <n v="56.35"/>
    <x v="2"/>
    <s v="Delivery"/>
    <s v="Rohan"/>
    <n v="5"/>
    <s v="Completed"/>
  </r>
  <r>
    <x v="96"/>
    <d v="2025-10-30T00:00:00"/>
    <s v="13:00"/>
    <s v="Thursday"/>
    <x v="0"/>
    <s v="Q4"/>
    <s v="Autumn"/>
    <s v="S07"/>
    <x v="3"/>
    <x v="3"/>
    <s v="South"/>
    <s v="C2096"/>
    <x v="0"/>
    <s v="Gold"/>
    <s v="P033"/>
    <x v="8"/>
    <x v="0"/>
    <s v="Small"/>
    <n v="3"/>
    <n v="74.7"/>
    <n v="12"/>
    <n v="22"/>
    <n v="108.7"/>
    <n v="249"/>
    <n v="0"/>
    <n v="747"/>
    <n v="420.9"/>
    <n v="56.35"/>
    <x v="3"/>
    <s v="Dine-In"/>
    <s v="Meera"/>
    <n v="5"/>
    <s v="Completed"/>
  </r>
  <r>
    <x v="97"/>
    <d v="2025-10-20T00:00:00"/>
    <s v="18:00"/>
    <s v="Monday"/>
    <x v="0"/>
    <s v="Q4"/>
    <s v="Autumn"/>
    <s v="S07"/>
    <x v="3"/>
    <x v="3"/>
    <s v="South"/>
    <s v="C2097"/>
    <x v="2"/>
    <s v="Silver"/>
    <s v="P002"/>
    <x v="2"/>
    <x v="1"/>
    <s v="Medium"/>
    <n v="3"/>
    <n v="86.04"/>
    <n v="12"/>
    <n v="22"/>
    <n v="120.04"/>
    <n v="286.8"/>
    <n v="0"/>
    <n v="860.4"/>
    <n v="500.28"/>
    <n v="58.15"/>
    <x v="1"/>
    <s v="Dine-In"/>
    <s v="Diya"/>
    <n v="5"/>
    <s v="Completed"/>
  </r>
  <r>
    <x v="98"/>
    <d v="2025-03-16T00:00:00"/>
    <s v="09:30"/>
    <s v="Sunday"/>
    <x v="5"/>
    <s v="Q1"/>
    <s v="Autumn"/>
    <s v="S04"/>
    <x v="5"/>
    <x v="5"/>
    <s v="West"/>
    <s v="C2098"/>
    <x v="0"/>
    <s v="Platinum"/>
    <s v="P041"/>
    <x v="12"/>
    <x v="5"/>
    <s v="Large"/>
    <n v="2"/>
    <n v="125.58"/>
    <n v="12"/>
    <n v="22"/>
    <n v="159.58000000000001"/>
    <n v="418.6"/>
    <n v="10"/>
    <n v="753.48"/>
    <n v="434.32"/>
    <n v="57.64"/>
    <x v="2"/>
    <s v="Takeaway"/>
    <s v="Meera"/>
    <s v="Not Rated"/>
    <s v="Completed"/>
  </r>
  <r>
    <x v="99"/>
    <d v="2025-05-30T00:00:00"/>
    <s v="09:15"/>
    <s v="Friday"/>
    <x v="7"/>
    <s v="Q2"/>
    <s v="Summer"/>
    <s v="S07"/>
    <x v="3"/>
    <x v="3"/>
    <s v="South"/>
    <s v="C2099"/>
    <x v="1"/>
    <s v="Silver"/>
    <s v="P033"/>
    <x v="8"/>
    <x v="0"/>
    <s v="Medium"/>
    <n v="2"/>
    <n v="89.64"/>
    <n v="12"/>
    <n v="22"/>
    <n v="123.64"/>
    <n v="298.8"/>
    <n v="0"/>
    <n v="597.6"/>
    <n v="350.32"/>
    <n v="58.62"/>
    <x v="3"/>
    <s v="Dine-In"/>
    <s v="Diya"/>
    <n v="5"/>
    <s v="Completed"/>
  </r>
  <r>
    <x v="100"/>
    <d v="2025-03-13T00:00:00"/>
    <s v="18:00"/>
    <s v="Thursday"/>
    <x v="5"/>
    <s v="Q1"/>
    <s v="Autumn"/>
    <s v="S04"/>
    <x v="5"/>
    <x v="5"/>
    <s v="West"/>
    <s v="C2100"/>
    <x v="0"/>
    <s v="Platinum"/>
    <s v="P001"/>
    <x v="1"/>
    <x v="1"/>
    <s v="Large"/>
    <n v="2"/>
    <n v="62.58"/>
    <n v="12"/>
    <n v="22"/>
    <n v="96.58"/>
    <n v="208.6"/>
    <n v="0"/>
    <n v="417.2"/>
    <n v="224.04"/>
    <n v="53.7"/>
    <x v="4"/>
    <s v="Delivery"/>
    <s v="Meera"/>
    <n v="4"/>
    <s v="Completed"/>
  </r>
  <r>
    <x v="101"/>
    <d v="2025-10-24T00:00:00"/>
    <s v="08:00"/>
    <s v="Friday"/>
    <x v="0"/>
    <s v="Q4"/>
    <s v="Autumn"/>
    <s v="S12"/>
    <x v="2"/>
    <x v="2"/>
    <s v="East"/>
    <s v="C2101"/>
    <x v="1"/>
    <s v="Gold"/>
    <s v="P004"/>
    <x v="10"/>
    <x v="1"/>
    <s v="Large"/>
    <n v="3"/>
    <n v="70.98"/>
    <n v="12"/>
    <n v="22"/>
    <n v="104.98"/>
    <n v="236.6"/>
    <n v="5"/>
    <n v="674.31"/>
    <n v="359.37"/>
    <n v="53.29"/>
    <x v="2"/>
    <s v="Takeaway"/>
    <s v="Kabir"/>
    <n v="4"/>
    <s v="Completed"/>
  </r>
  <r>
    <x v="102"/>
    <d v="2025-07-13T00:00:00"/>
    <s v="14:15"/>
    <s v="Sunday"/>
    <x v="6"/>
    <s v="Q3"/>
    <s v="Monsoon"/>
    <s v="S04"/>
    <x v="5"/>
    <x v="5"/>
    <s v="West"/>
    <s v="C2102"/>
    <x v="2"/>
    <s v="Silver"/>
    <s v="P036"/>
    <x v="11"/>
    <x v="0"/>
    <s v="Large"/>
    <n v="2"/>
    <n v="66.78"/>
    <n v="12"/>
    <n v="22"/>
    <n v="100.78"/>
    <n v="222.6"/>
    <n v="15"/>
    <n v="378.42"/>
    <n v="176.86"/>
    <n v="46.74"/>
    <x v="1"/>
    <s v="Dine-In"/>
    <s v="Meera"/>
    <n v="5"/>
    <s v="Completed"/>
  </r>
  <r>
    <x v="103"/>
    <d v="2025-01-12T00:00:00"/>
    <s v="09:30"/>
    <s v="Sunday"/>
    <x v="9"/>
    <s v="Q1"/>
    <s v="Winter"/>
    <s v="S14"/>
    <x v="4"/>
    <x v="4"/>
    <s v="North"/>
    <s v="C2103"/>
    <x v="2"/>
    <s v="Silver"/>
    <s v="P002"/>
    <x v="2"/>
    <x v="1"/>
    <s v="Large"/>
    <n v="3"/>
    <n v="100.38"/>
    <n v="12"/>
    <n v="22"/>
    <n v="134.38"/>
    <n v="334.6"/>
    <n v="10"/>
    <n v="903.42"/>
    <n v="500.28"/>
    <n v="55.38"/>
    <x v="1"/>
    <s v="Takeaway"/>
    <s v="Kabir"/>
    <n v="5"/>
    <s v="Completed"/>
  </r>
  <r>
    <x v="104"/>
    <d v="2025-10-09T00:00:00"/>
    <s v="17:15"/>
    <s v="Thursday"/>
    <x v="0"/>
    <s v="Q4"/>
    <s v="Autumn"/>
    <s v="S07"/>
    <x v="3"/>
    <x v="3"/>
    <s v="South"/>
    <s v="C2104"/>
    <x v="1"/>
    <s v="Platinum"/>
    <s v="P004"/>
    <x v="10"/>
    <x v="1"/>
    <s v="Small"/>
    <n v="3"/>
    <n v="50.7"/>
    <n v="12"/>
    <n v="22"/>
    <n v="84.7"/>
    <n v="169"/>
    <n v="0"/>
    <n v="507"/>
    <n v="252.9"/>
    <n v="49.88"/>
    <x v="1"/>
    <s v="Takeaway"/>
    <s v="Diya"/>
    <n v="3"/>
    <s v="Completed"/>
  </r>
  <r>
    <x v="105"/>
    <d v="2025-03-24T00:00:00"/>
    <s v="18:15"/>
    <s v="Monday"/>
    <x v="5"/>
    <s v="Q1"/>
    <s v="Autumn"/>
    <s v="S07"/>
    <x v="3"/>
    <x v="3"/>
    <s v="South"/>
    <s v="C2105"/>
    <x v="0"/>
    <s v="Gold"/>
    <s v="P019"/>
    <x v="7"/>
    <x v="4"/>
    <s v="Small"/>
    <n v="2"/>
    <n v="59.7"/>
    <n v="12"/>
    <n v="22"/>
    <n v="93.7"/>
    <n v="199"/>
    <n v="0"/>
    <n v="398"/>
    <n v="210.6"/>
    <n v="52.91"/>
    <x v="2"/>
    <s v="Delivery"/>
    <s v="Diya"/>
    <n v="4"/>
    <s v="Completed"/>
  </r>
  <r>
    <x v="106"/>
    <d v="2025-01-06T00:00:00"/>
    <s v="08:45"/>
    <s v="Monday"/>
    <x v="9"/>
    <s v="Q1"/>
    <s v="Winter"/>
    <s v="S14"/>
    <x v="4"/>
    <x v="4"/>
    <s v="North"/>
    <s v="C2106"/>
    <x v="1"/>
    <s v="Silver"/>
    <s v="P013"/>
    <x v="5"/>
    <x v="2"/>
    <s v="Small"/>
    <n v="2"/>
    <n v="38.700000000000003"/>
    <n v="12"/>
    <n v="22"/>
    <n v="72.7"/>
    <n v="129"/>
    <n v="5"/>
    <n v="245.1"/>
    <n v="99.7"/>
    <n v="40.68"/>
    <x v="3"/>
    <s v="Delivery"/>
    <s v="Meera"/>
    <n v="4"/>
    <s v="Completed"/>
  </r>
  <r>
    <x v="107"/>
    <d v="2025-10-23T00:00:00"/>
    <s v="08:00"/>
    <s v="Thursday"/>
    <x v="0"/>
    <s v="Q4"/>
    <s v="Autumn"/>
    <s v="S12"/>
    <x v="2"/>
    <x v="2"/>
    <s v="East"/>
    <s v="C2107"/>
    <x v="2"/>
    <s v="Platinum"/>
    <s v="P003"/>
    <x v="3"/>
    <x v="1"/>
    <s v="Large"/>
    <n v="1"/>
    <n v="91.98"/>
    <n v="12"/>
    <n v="22"/>
    <n v="125.98"/>
    <n v="306.60000000000002"/>
    <n v="10"/>
    <n v="275.94"/>
    <n v="149.96"/>
    <n v="54.35"/>
    <x v="2"/>
    <s v="Takeaway"/>
    <s v="Diya"/>
    <n v="4"/>
    <s v="Completed"/>
  </r>
  <r>
    <x v="108"/>
    <d v="2025-10-01T00:00:00"/>
    <s v="17:15"/>
    <s v="Wednesday"/>
    <x v="0"/>
    <s v="Q4"/>
    <s v="Autumn"/>
    <s v="S04"/>
    <x v="5"/>
    <x v="5"/>
    <s v="West"/>
    <s v="C2108"/>
    <x v="2"/>
    <s v="Platinum"/>
    <s v="P020"/>
    <x v="9"/>
    <x v="4"/>
    <s v="Large"/>
    <n v="2"/>
    <n v="66.78"/>
    <n v="12"/>
    <n v="22"/>
    <n v="100.78"/>
    <n v="222.6"/>
    <n v="0"/>
    <n v="445.2"/>
    <n v="243.64"/>
    <n v="54.73"/>
    <x v="2"/>
    <s v="Dine-In"/>
    <s v="Aarav"/>
    <n v="4"/>
    <s v="Completed"/>
  </r>
  <r>
    <x v="109"/>
    <d v="2025-09-26T00:00:00"/>
    <s v="09:00"/>
    <s v="Friday"/>
    <x v="2"/>
    <s v="Q3"/>
    <s v="Monsoon"/>
    <s v="S10"/>
    <x v="1"/>
    <x v="1"/>
    <s v="South"/>
    <s v="C2109"/>
    <x v="0"/>
    <s v="Platinum"/>
    <s v="P013"/>
    <x v="5"/>
    <x v="2"/>
    <s v="Small"/>
    <n v="3"/>
    <n v="38.700000000000003"/>
    <n v="12"/>
    <n v="22"/>
    <n v="72.7"/>
    <n v="129"/>
    <n v="5"/>
    <n v="367.65"/>
    <n v="149.55000000000001"/>
    <n v="40.68"/>
    <x v="2"/>
    <s v="Delivery"/>
    <s v="Kabir"/>
    <n v="5"/>
    <s v="Completed"/>
  </r>
  <r>
    <x v="110"/>
    <d v="2025-02-28T00:00:00"/>
    <s v="17:15"/>
    <s v="Friday"/>
    <x v="3"/>
    <s v="Q1"/>
    <s v="Winter"/>
    <s v="S12"/>
    <x v="2"/>
    <x v="2"/>
    <s v="East"/>
    <s v="C2110"/>
    <x v="2"/>
    <s v="Silver"/>
    <s v="P001"/>
    <x v="1"/>
    <x v="1"/>
    <s v="Medium"/>
    <n v="3"/>
    <n v="53.64"/>
    <n v="12"/>
    <n v="22"/>
    <n v="87.64"/>
    <n v="178.8"/>
    <n v="0"/>
    <n v="536.4"/>
    <n v="273.48"/>
    <n v="50.98"/>
    <x v="2"/>
    <s v="Takeaway"/>
    <s v="Rohan"/>
    <n v="5"/>
    <s v="Completed"/>
  </r>
  <r>
    <x v="111"/>
    <d v="2025-12-08T00:00:00"/>
    <s v="08:30"/>
    <s v="Monday"/>
    <x v="8"/>
    <s v="Q4"/>
    <s v="Winter"/>
    <s v="S14"/>
    <x v="4"/>
    <x v="4"/>
    <s v="North"/>
    <s v="C2111"/>
    <x v="0"/>
    <s v="Gold"/>
    <s v="P003"/>
    <x v="3"/>
    <x v="1"/>
    <s v="Medium"/>
    <n v="3"/>
    <n v="78.84"/>
    <n v="12"/>
    <n v="22"/>
    <n v="112.84"/>
    <n v="262.8"/>
    <n v="5"/>
    <n v="748.98"/>
    <n v="410.46"/>
    <n v="54.8"/>
    <x v="3"/>
    <s v="Takeaway"/>
    <s v="Rohan"/>
    <n v="5"/>
    <s v="Completed"/>
  </r>
  <r>
    <x v="112"/>
    <d v="2025-06-04T00:00:00"/>
    <s v="13:30"/>
    <s v="Wednesday"/>
    <x v="10"/>
    <s v="Q2"/>
    <s v="Summer"/>
    <s v="S01"/>
    <x v="0"/>
    <x v="0"/>
    <s v="North"/>
    <s v="C2112"/>
    <x v="0"/>
    <s v="Silver"/>
    <s v="P036"/>
    <x v="11"/>
    <x v="0"/>
    <s v="Large"/>
    <n v="2"/>
    <n v="66.78"/>
    <n v="12"/>
    <n v="22"/>
    <n v="100.78"/>
    <n v="222.6"/>
    <n v="0"/>
    <n v="445.2"/>
    <n v="243.64"/>
    <n v="54.73"/>
    <x v="2"/>
    <s v="Dine-In"/>
    <s v="Kabir"/>
    <n v="5"/>
    <s v="Completed"/>
  </r>
  <r>
    <x v="113"/>
    <d v="2025-12-22T00:00:00"/>
    <s v="08:00"/>
    <s v="Monday"/>
    <x v="8"/>
    <s v="Q4"/>
    <s v="Winter"/>
    <s v="S07"/>
    <x v="3"/>
    <x v="3"/>
    <s v="South"/>
    <s v="C2113"/>
    <x v="0"/>
    <s v="Silver"/>
    <s v="P014"/>
    <x v="4"/>
    <x v="2"/>
    <s v="Large"/>
    <n v="3"/>
    <n v="62.58"/>
    <n v="12"/>
    <n v="22"/>
    <n v="96.58"/>
    <n v="208.6"/>
    <n v="5"/>
    <n v="594.51"/>
    <n v="304.77"/>
    <n v="51.26"/>
    <x v="3"/>
    <s v="Delivery"/>
    <s v="Rohan"/>
    <n v="3"/>
    <s v="Completed"/>
  </r>
  <r>
    <x v="114"/>
    <d v="2025-10-12T00:00:00"/>
    <s v="14:30"/>
    <s v="Sunday"/>
    <x v="0"/>
    <s v="Q4"/>
    <s v="Autumn"/>
    <s v="S12"/>
    <x v="2"/>
    <x v="2"/>
    <s v="East"/>
    <s v="C2114"/>
    <x v="0"/>
    <s v="Silver"/>
    <s v="P027"/>
    <x v="13"/>
    <x v="3"/>
    <s v="Large"/>
    <n v="2"/>
    <n v="96.18"/>
    <n v="12"/>
    <n v="22"/>
    <n v="130.18"/>
    <n v="320.60000000000002"/>
    <n v="15"/>
    <n v="545.02"/>
    <n v="284.66000000000003"/>
    <n v="52.23"/>
    <x v="0"/>
    <s v="Takeaway"/>
    <s v="Diya"/>
    <n v="4"/>
    <s v="Completed"/>
  </r>
  <r>
    <x v="115"/>
    <d v="2025-03-01T00:00:00"/>
    <s v="09:30"/>
    <s v="Saturday"/>
    <x v="5"/>
    <s v="Q1"/>
    <s v="Autumn"/>
    <s v="S10"/>
    <x v="1"/>
    <x v="1"/>
    <s v="South"/>
    <s v="C2115"/>
    <x v="1"/>
    <s v="Silver"/>
    <s v="P014"/>
    <x v="4"/>
    <x v="2"/>
    <s v="Medium"/>
    <n v="1"/>
    <n v="53.64"/>
    <n v="12"/>
    <n v="22"/>
    <n v="87.64"/>
    <n v="178.8"/>
    <n v="15"/>
    <n v="151.97999999999999"/>
    <n v="64.34"/>
    <n v="42.33"/>
    <x v="3"/>
    <s v="Takeaway"/>
    <s v="Rohan"/>
    <n v="3"/>
    <s v="Completed"/>
  </r>
  <r>
    <x v="116"/>
    <d v="2025-06-16T00:00:00"/>
    <s v="18:15"/>
    <s v="Monday"/>
    <x v="10"/>
    <s v="Q2"/>
    <s v="Summer"/>
    <s v="S10"/>
    <x v="1"/>
    <x v="1"/>
    <s v="South"/>
    <s v="C2116"/>
    <x v="1"/>
    <s v="Silver"/>
    <s v="P001"/>
    <x v="1"/>
    <x v="1"/>
    <s v="Large"/>
    <n v="1"/>
    <n v="62.58"/>
    <n v="12"/>
    <n v="22"/>
    <n v="96.58"/>
    <n v="208.6"/>
    <n v="0"/>
    <n v="208.6"/>
    <n v="112.02"/>
    <n v="53.7"/>
    <x v="0"/>
    <s v="Dine-In"/>
    <s v="Aarav"/>
    <n v="5"/>
    <s v="Completed"/>
  </r>
  <r>
    <x v="117"/>
    <d v="2025-10-05T00:00:00"/>
    <s v="18:15"/>
    <s v="Sunday"/>
    <x v="0"/>
    <s v="Q4"/>
    <s v="Autumn"/>
    <s v="S01"/>
    <x v="0"/>
    <x v="0"/>
    <s v="North"/>
    <s v="C2117"/>
    <x v="1"/>
    <s v="Silver"/>
    <s v="P041"/>
    <x v="12"/>
    <x v="5"/>
    <s v="Large"/>
    <n v="1"/>
    <n v="125.58"/>
    <n v="12"/>
    <n v="22"/>
    <n v="159.58000000000001"/>
    <n v="418.6"/>
    <n v="10"/>
    <n v="376.74"/>
    <n v="217.16"/>
    <n v="57.64"/>
    <x v="0"/>
    <s v="Takeaway"/>
    <s v="Aarav"/>
    <n v="3"/>
    <s v="Completed"/>
  </r>
  <r>
    <x v="118"/>
    <d v="2025-08-07T00:00:00"/>
    <s v="18:30"/>
    <s v="Thursday"/>
    <x v="4"/>
    <s v="Q3"/>
    <s v="Monsoon"/>
    <s v="S01"/>
    <x v="0"/>
    <x v="0"/>
    <s v="North"/>
    <s v="C2118"/>
    <x v="2"/>
    <s v="Platinum"/>
    <s v="P019"/>
    <x v="7"/>
    <x v="4"/>
    <s v="Small"/>
    <n v="3"/>
    <n v="59.7"/>
    <n v="12"/>
    <n v="22"/>
    <n v="93.7"/>
    <n v="199"/>
    <n v="0"/>
    <n v="597"/>
    <n v="315.89999999999998"/>
    <n v="52.91"/>
    <x v="3"/>
    <s v="Dine-In"/>
    <s v="Meera"/>
    <n v="4"/>
    <s v="Completed"/>
  </r>
  <r>
    <x v="119"/>
    <d v="2025-10-11T00:00:00"/>
    <s v="08:15"/>
    <s v="Saturday"/>
    <x v="0"/>
    <s v="Q4"/>
    <s v="Autumn"/>
    <s v="S07"/>
    <x v="3"/>
    <x v="3"/>
    <s v="South"/>
    <s v="C2119"/>
    <x v="0"/>
    <s v="Gold"/>
    <s v="P004"/>
    <x v="10"/>
    <x v="1"/>
    <s v="Large"/>
    <n v="2"/>
    <n v="70.98"/>
    <n v="12"/>
    <n v="22"/>
    <n v="104.98"/>
    <n v="236.6"/>
    <n v="10"/>
    <n v="425.88"/>
    <n v="215.92"/>
    <n v="50.7"/>
    <x v="3"/>
    <s v="Takeaway"/>
    <s v="Rohan"/>
    <n v="3"/>
    <s v="Completed"/>
  </r>
  <r>
    <x v="120"/>
    <d v="2025-04-21T00:00:00"/>
    <s v="09:00"/>
    <s v="Monday"/>
    <x v="11"/>
    <s v="Q2"/>
    <s v="Summer"/>
    <s v="S01"/>
    <x v="0"/>
    <x v="0"/>
    <s v="North"/>
    <s v="C2120"/>
    <x v="2"/>
    <s v="Gold"/>
    <s v="P004"/>
    <x v="10"/>
    <x v="1"/>
    <s v="Large"/>
    <n v="2"/>
    <n v="70.98"/>
    <n v="12"/>
    <n v="22"/>
    <n v="104.98"/>
    <n v="236.6"/>
    <n v="0"/>
    <n v="473.2"/>
    <n v="263.24"/>
    <n v="55.63"/>
    <x v="2"/>
    <s v="Takeaway"/>
    <s v="Diya"/>
    <n v="4"/>
    <s v="Completed"/>
  </r>
  <r>
    <x v="121"/>
    <d v="2025-05-02T00:00:00"/>
    <s v="18:30"/>
    <s v="Friday"/>
    <x v="7"/>
    <s v="Q2"/>
    <s v="Summer"/>
    <s v="S04"/>
    <x v="5"/>
    <x v="5"/>
    <s v="West"/>
    <s v="C2121"/>
    <x v="2"/>
    <s v="Silver"/>
    <s v="P002"/>
    <x v="2"/>
    <x v="1"/>
    <s v="Large"/>
    <n v="2"/>
    <n v="100.38"/>
    <n v="12"/>
    <n v="22"/>
    <n v="134.38"/>
    <n v="334.6"/>
    <n v="5"/>
    <n v="635.74"/>
    <n v="366.98"/>
    <n v="57.72"/>
    <x v="2"/>
    <s v="Takeaway"/>
    <s v="Meera"/>
    <n v="4"/>
    <s v="Completed"/>
  </r>
  <r>
    <x v="122"/>
    <d v="2025-10-21T00:00:00"/>
    <s v="17:00"/>
    <s v="Tuesday"/>
    <x v="0"/>
    <s v="Q4"/>
    <s v="Autumn"/>
    <s v="S07"/>
    <x v="3"/>
    <x v="3"/>
    <s v="South"/>
    <s v="C2122"/>
    <x v="1"/>
    <s v="Silver"/>
    <s v="P002"/>
    <x v="2"/>
    <x v="1"/>
    <s v="Large"/>
    <n v="3"/>
    <n v="100.38"/>
    <n v="12"/>
    <n v="22"/>
    <n v="134.38"/>
    <n v="334.6"/>
    <n v="5"/>
    <n v="953.61"/>
    <n v="550.47"/>
    <n v="57.72"/>
    <x v="3"/>
    <s v="Delivery"/>
    <s v="Rohan"/>
    <n v="5"/>
    <s v="Completed"/>
  </r>
  <r>
    <x v="123"/>
    <d v="2025-04-16T00:00:00"/>
    <s v="09:45"/>
    <s v="Wednesday"/>
    <x v="11"/>
    <s v="Q2"/>
    <s v="Summer"/>
    <s v="S07"/>
    <x v="3"/>
    <x v="3"/>
    <s v="South"/>
    <s v="C2123"/>
    <x v="1"/>
    <s v="Gold"/>
    <s v="P002"/>
    <x v="2"/>
    <x v="1"/>
    <s v="Small"/>
    <n v="1"/>
    <n v="71.7"/>
    <n v="12"/>
    <n v="22"/>
    <n v="105.7"/>
    <n v="239"/>
    <n v="10"/>
    <n v="215.1"/>
    <n v="109.4"/>
    <n v="50.86"/>
    <x v="2"/>
    <s v="Takeaway"/>
    <s v="Aarav"/>
    <n v="3"/>
    <s v="Completed"/>
  </r>
  <r>
    <x v="124"/>
    <d v="2025-08-27T00:00:00"/>
    <s v="13:45"/>
    <s v="Wednesday"/>
    <x v="4"/>
    <s v="Q3"/>
    <s v="Monsoon"/>
    <s v="S07"/>
    <x v="3"/>
    <x v="3"/>
    <s v="South"/>
    <s v="C2124"/>
    <x v="1"/>
    <s v="Gold"/>
    <s v="P013"/>
    <x v="5"/>
    <x v="2"/>
    <s v="Small"/>
    <n v="2"/>
    <n v="38.700000000000003"/>
    <n v="12"/>
    <n v="22"/>
    <n v="72.7"/>
    <n v="129"/>
    <n v="10"/>
    <n v="232.2"/>
    <n v="86.8"/>
    <n v="37.380000000000003"/>
    <x v="0"/>
    <s v="Takeaway"/>
    <s v="Aarav"/>
    <n v="5"/>
    <s v="Completed"/>
  </r>
  <r>
    <x v="125"/>
    <d v="2025-02-04T00:00:00"/>
    <s v="17:30"/>
    <s v="Tuesday"/>
    <x v="3"/>
    <s v="Q1"/>
    <s v="Winter"/>
    <s v="S04"/>
    <x v="5"/>
    <x v="5"/>
    <s v="West"/>
    <s v="C2125"/>
    <x v="1"/>
    <s v="Gold"/>
    <s v="P002"/>
    <x v="2"/>
    <x v="1"/>
    <s v="Small"/>
    <n v="3"/>
    <n v="71.7"/>
    <n v="12"/>
    <n v="22"/>
    <n v="105.7"/>
    <n v="239"/>
    <n v="5"/>
    <n v="681.15"/>
    <n v="364.05"/>
    <n v="53.45"/>
    <x v="3"/>
    <s v="Delivery"/>
    <s v="Kabir"/>
    <n v="5"/>
    <s v="Completed"/>
  </r>
  <r>
    <x v="126"/>
    <d v="2025-05-12T00:00:00"/>
    <s v="18:45"/>
    <s v="Monday"/>
    <x v="7"/>
    <s v="Q2"/>
    <s v="Summer"/>
    <s v="S07"/>
    <x v="3"/>
    <x v="3"/>
    <s v="South"/>
    <s v="C2126"/>
    <x v="1"/>
    <s v="Silver"/>
    <s v="P001"/>
    <x v="1"/>
    <x v="1"/>
    <s v="Medium"/>
    <n v="3"/>
    <n v="53.64"/>
    <n v="12"/>
    <n v="22"/>
    <n v="87.64"/>
    <n v="178.8"/>
    <n v="5"/>
    <n v="509.58"/>
    <n v="246.66"/>
    <n v="48.4"/>
    <x v="1"/>
    <s v="Takeaway"/>
    <s v="Kabir"/>
    <s v="Not Rated"/>
    <s v="Completed"/>
  </r>
  <r>
    <x v="127"/>
    <d v="2025-01-19T00:00:00"/>
    <s v="14:30"/>
    <s v="Sunday"/>
    <x v="9"/>
    <s v="Q1"/>
    <s v="Winter"/>
    <s v="S01"/>
    <x v="0"/>
    <x v="0"/>
    <s v="North"/>
    <s v="C2127"/>
    <x v="1"/>
    <s v="Silver"/>
    <s v="P027"/>
    <x v="13"/>
    <x v="3"/>
    <s v="Small"/>
    <n v="3"/>
    <n v="68.7"/>
    <n v="12"/>
    <n v="22"/>
    <n v="102.7"/>
    <n v="229"/>
    <n v="10"/>
    <n v="618.29999999999995"/>
    <n v="310.2"/>
    <n v="50.17"/>
    <x v="3"/>
    <s v="Dine-In"/>
    <s v="Aarav"/>
    <n v="5"/>
    <s v="Completed"/>
  </r>
  <r>
    <x v="128"/>
    <d v="2025-02-07T00:00:00"/>
    <s v="18:30"/>
    <s v="Friday"/>
    <x v="3"/>
    <s v="Q1"/>
    <s v="Winter"/>
    <s v="S10"/>
    <x v="1"/>
    <x v="1"/>
    <s v="South"/>
    <s v="C2128"/>
    <x v="1"/>
    <s v="Platinum"/>
    <s v="P004"/>
    <x v="10"/>
    <x v="1"/>
    <s v="Large"/>
    <n v="1"/>
    <n v="70.98"/>
    <n v="12"/>
    <n v="22"/>
    <n v="104.98"/>
    <n v="236.6"/>
    <n v="0"/>
    <n v="236.6"/>
    <n v="131.62"/>
    <n v="55.63"/>
    <x v="1"/>
    <s v="Takeaway"/>
    <s v="Aarav"/>
    <n v="4"/>
    <s v="Completed"/>
  </r>
  <r>
    <x v="129"/>
    <d v="2025-01-26T00:00:00"/>
    <s v="17:30"/>
    <s v="Sunday"/>
    <x v="9"/>
    <s v="Q1"/>
    <s v="Winter"/>
    <s v="S07"/>
    <x v="3"/>
    <x v="3"/>
    <s v="South"/>
    <s v="C2129"/>
    <x v="0"/>
    <s v="Platinum"/>
    <s v="P019"/>
    <x v="7"/>
    <x v="4"/>
    <s v="Large"/>
    <n v="2"/>
    <n v="83.58"/>
    <n v="12"/>
    <n v="22"/>
    <n v="117.58"/>
    <n v="278.60000000000002"/>
    <n v="10"/>
    <n v="501.48"/>
    <n v="266.32"/>
    <n v="53.11"/>
    <x v="1"/>
    <s v="Dine-In"/>
    <s v="Rohan"/>
    <n v="5"/>
    <s v="Completed"/>
  </r>
  <r>
    <x v="130"/>
    <d v="2025-12-09T00:00:00"/>
    <s v="09:45"/>
    <s v="Tuesday"/>
    <x v="8"/>
    <s v="Q4"/>
    <s v="Winter"/>
    <s v="S10"/>
    <x v="1"/>
    <x v="1"/>
    <s v="South"/>
    <s v="C2130"/>
    <x v="2"/>
    <s v="Gold"/>
    <s v="P014"/>
    <x v="4"/>
    <x v="2"/>
    <s v="Large"/>
    <n v="3"/>
    <n v="62.58"/>
    <n v="12"/>
    <n v="22"/>
    <n v="96.58"/>
    <n v="208.6"/>
    <n v="10"/>
    <n v="563.22"/>
    <n v="273.48"/>
    <n v="48.56"/>
    <x v="1"/>
    <s v="Takeaway"/>
    <s v="Rohan"/>
    <n v="5"/>
    <s v="Completed"/>
  </r>
  <r>
    <x v="131"/>
    <d v="2025-04-29T00:00:00"/>
    <s v="14:00"/>
    <s v="Tuesday"/>
    <x v="11"/>
    <s v="Q2"/>
    <s v="Summer"/>
    <s v="S14"/>
    <x v="4"/>
    <x v="4"/>
    <s v="North"/>
    <s v="C2131"/>
    <x v="0"/>
    <s v="Platinum"/>
    <s v="P027"/>
    <x v="13"/>
    <x v="3"/>
    <s v="Small"/>
    <n v="1"/>
    <n v="68.7"/>
    <n v="12"/>
    <n v="22"/>
    <n v="102.7"/>
    <n v="229"/>
    <n v="0"/>
    <n v="229"/>
    <n v="126.3"/>
    <n v="55.15"/>
    <x v="2"/>
    <s v="Dine-In"/>
    <s v="Aarav"/>
    <n v="4"/>
    <s v="Completed"/>
  </r>
  <r>
    <x v="132"/>
    <d v="2025-10-31T00:00:00"/>
    <s v="09:45"/>
    <s v="Friday"/>
    <x v="0"/>
    <s v="Q4"/>
    <s v="Autumn"/>
    <s v="S04"/>
    <x v="5"/>
    <x v="5"/>
    <s v="West"/>
    <s v="C2132"/>
    <x v="1"/>
    <s v="Silver"/>
    <s v="P003"/>
    <x v="3"/>
    <x v="1"/>
    <s v="Large"/>
    <n v="2"/>
    <n v="91.98"/>
    <n v="12"/>
    <n v="22"/>
    <n v="125.98"/>
    <n v="306.60000000000002"/>
    <n v="0"/>
    <n v="613.20000000000005"/>
    <n v="361.24"/>
    <n v="58.91"/>
    <x v="3"/>
    <s v="Takeaway"/>
    <s v="Meera"/>
    <n v="4"/>
    <s v="Completed"/>
  </r>
  <r>
    <x v="133"/>
    <d v="2025-12-05T00:00:00"/>
    <s v="17:15"/>
    <s v="Friday"/>
    <x v="8"/>
    <s v="Q4"/>
    <s v="Winter"/>
    <s v="S14"/>
    <x v="4"/>
    <x v="4"/>
    <s v="North"/>
    <s v="C2133"/>
    <x v="1"/>
    <s v="Platinum"/>
    <s v="P002"/>
    <x v="2"/>
    <x v="1"/>
    <s v="Medium"/>
    <n v="2"/>
    <n v="86.04"/>
    <n v="12"/>
    <n v="22"/>
    <n v="120.04"/>
    <n v="286.8"/>
    <n v="10"/>
    <n v="516.24"/>
    <n v="276.16000000000003"/>
    <n v="53.49"/>
    <x v="0"/>
    <s v="Takeaway"/>
    <s v="Kabir"/>
    <n v="5"/>
    <s v="Completed"/>
  </r>
  <r>
    <x v="134"/>
    <d v="2025-01-19T00:00:00"/>
    <s v="09:15"/>
    <s v="Sunday"/>
    <x v="9"/>
    <s v="Q1"/>
    <s v="Winter"/>
    <s v="S01"/>
    <x v="0"/>
    <x v="0"/>
    <s v="North"/>
    <s v="C2134"/>
    <x v="1"/>
    <s v="Gold"/>
    <s v="P003"/>
    <x v="3"/>
    <x v="1"/>
    <s v="Medium"/>
    <n v="1"/>
    <n v="78.84"/>
    <n v="12"/>
    <n v="22"/>
    <n v="112.84"/>
    <n v="262.8"/>
    <n v="10"/>
    <n v="236.52"/>
    <n v="123.68"/>
    <n v="52.29"/>
    <x v="3"/>
    <s v="Takeaway"/>
    <s v="Meera"/>
    <n v="5"/>
    <s v="Completed"/>
  </r>
  <r>
    <x v="135"/>
    <d v="2025-04-06T00:00:00"/>
    <s v="09:15"/>
    <s v="Sunday"/>
    <x v="11"/>
    <s v="Q2"/>
    <s v="Summer"/>
    <s v="S04"/>
    <x v="5"/>
    <x v="5"/>
    <s v="West"/>
    <s v="C2135"/>
    <x v="1"/>
    <s v="Silver"/>
    <s v="P034"/>
    <x v="0"/>
    <x v="0"/>
    <s v="Small"/>
    <n v="1"/>
    <n v="77.7"/>
    <n v="12"/>
    <n v="22"/>
    <n v="111.7"/>
    <n v="259"/>
    <n v="10"/>
    <n v="233.1"/>
    <n v="121.4"/>
    <n v="52.08"/>
    <x v="2"/>
    <s v="Dine-In"/>
    <s v="Aarav"/>
    <n v="4"/>
    <s v="Completed"/>
  </r>
  <r>
    <x v="136"/>
    <d v="2025-01-17T00:00:00"/>
    <s v="08:45"/>
    <s v="Friday"/>
    <x v="9"/>
    <s v="Q1"/>
    <s v="Winter"/>
    <s v="S14"/>
    <x v="4"/>
    <x v="4"/>
    <s v="North"/>
    <s v="C2136"/>
    <x v="2"/>
    <s v="Gold"/>
    <s v="P002"/>
    <x v="2"/>
    <x v="1"/>
    <s v="Small"/>
    <n v="2"/>
    <n v="71.7"/>
    <n v="12"/>
    <n v="22"/>
    <n v="105.7"/>
    <n v="239"/>
    <n v="10"/>
    <n v="430.2"/>
    <n v="218.8"/>
    <n v="50.86"/>
    <x v="3"/>
    <s v="Dine-In"/>
    <s v="Aarav"/>
    <n v="5"/>
    <s v="Completed"/>
  </r>
  <r>
    <x v="137"/>
    <d v="2025-06-30T00:00:00"/>
    <s v="08:00"/>
    <s v="Monday"/>
    <x v="10"/>
    <s v="Q2"/>
    <s v="Summer"/>
    <s v="S04"/>
    <x v="5"/>
    <x v="5"/>
    <s v="West"/>
    <s v="C2137"/>
    <x v="1"/>
    <s v="Silver"/>
    <s v="P004"/>
    <x v="10"/>
    <x v="1"/>
    <s v="Large"/>
    <n v="2"/>
    <n v="70.98"/>
    <n v="12"/>
    <n v="22"/>
    <n v="104.98"/>
    <n v="236.6"/>
    <n v="0"/>
    <n v="473.2"/>
    <n v="263.24"/>
    <n v="55.63"/>
    <x v="2"/>
    <s v="Takeaway"/>
    <s v="Aarav"/>
    <n v="5"/>
    <s v="Completed"/>
  </r>
  <r>
    <x v="138"/>
    <d v="2025-08-26T00:00:00"/>
    <s v="09:30"/>
    <s v="Tuesday"/>
    <x v="4"/>
    <s v="Q3"/>
    <s v="Monsoon"/>
    <s v="S01"/>
    <x v="0"/>
    <x v="0"/>
    <s v="North"/>
    <s v="C2138"/>
    <x v="2"/>
    <s v="Silver"/>
    <s v="P002"/>
    <x v="2"/>
    <x v="1"/>
    <s v="Large"/>
    <n v="2"/>
    <n v="100.38"/>
    <n v="12"/>
    <n v="22"/>
    <n v="134.38"/>
    <n v="334.6"/>
    <n v="0"/>
    <n v="669.2"/>
    <n v="400.44"/>
    <n v="59.84"/>
    <x v="3"/>
    <s v="Takeaway"/>
    <s v="Meera"/>
    <n v="4"/>
    <s v="Completed"/>
  </r>
  <r>
    <x v="139"/>
    <d v="2025-03-26T00:00:00"/>
    <s v="18:30"/>
    <s v="Wednesday"/>
    <x v="5"/>
    <s v="Q1"/>
    <s v="Autumn"/>
    <s v="S12"/>
    <x v="2"/>
    <x v="2"/>
    <s v="East"/>
    <s v="C2139"/>
    <x v="1"/>
    <s v="Platinum"/>
    <s v="P002"/>
    <x v="2"/>
    <x v="1"/>
    <s v="Small"/>
    <n v="1"/>
    <n v="71.7"/>
    <n v="12"/>
    <n v="22"/>
    <n v="105.7"/>
    <n v="239"/>
    <n v="5"/>
    <n v="227.05"/>
    <n v="121.35"/>
    <n v="53.45"/>
    <x v="1"/>
    <s v="Takeaway"/>
    <s v="Meera"/>
    <n v="4"/>
    <s v="Completed"/>
  </r>
  <r>
    <x v="140"/>
    <d v="2025-10-10T00:00:00"/>
    <s v="09:45"/>
    <s v="Friday"/>
    <x v="0"/>
    <s v="Q4"/>
    <s v="Autumn"/>
    <s v="S14"/>
    <x v="4"/>
    <x v="4"/>
    <s v="North"/>
    <s v="C2140"/>
    <x v="0"/>
    <s v="Silver"/>
    <s v="P014"/>
    <x v="4"/>
    <x v="2"/>
    <s v="Medium"/>
    <n v="2"/>
    <n v="53.64"/>
    <n v="12"/>
    <n v="22"/>
    <n v="87.64"/>
    <n v="178.8"/>
    <n v="0"/>
    <n v="357.6"/>
    <n v="182.32"/>
    <n v="50.98"/>
    <x v="1"/>
    <s v="Delivery"/>
    <s v="Meera"/>
    <n v="5"/>
    <s v="Completed"/>
  </r>
  <r>
    <x v="141"/>
    <d v="2025-12-24T00:00:00"/>
    <s v="17:15"/>
    <s v="Wednesday"/>
    <x v="8"/>
    <s v="Q4"/>
    <s v="Winter"/>
    <s v="S10"/>
    <x v="1"/>
    <x v="1"/>
    <s v="South"/>
    <s v="C2141"/>
    <x v="1"/>
    <s v="Gold"/>
    <s v="P020"/>
    <x v="9"/>
    <x v="4"/>
    <s v="Medium"/>
    <n v="1"/>
    <n v="57.24"/>
    <n v="12"/>
    <n v="22"/>
    <n v="91.240000000000009"/>
    <n v="190.8"/>
    <n v="5"/>
    <n v="181.26"/>
    <n v="90.02"/>
    <n v="49.66"/>
    <x v="0"/>
    <s v="Dine-In"/>
    <s v="Meera"/>
    <s v="Not Rated"/>
    <s v="Completed"/>
  </r>
  <r>
    <x v="142"/>
    <d v="2025-08-19T00:00:00"/>
    <s v="14:30"/>
    <s v="Tuesday"/>
    <x v="4"/>
    <s v="Q3"/>
    <s v="Monsoon"/>
    <s v="S14"/>
    <x v="4"/>
    <x v="4"/>
    <s v="North"/>
    <s v="C2142"/>
    <x v="1"/>
    <s v="Gold"/>
    <s v="P028"/>
    <x v="6"/>
    <x v="3"/>
    <s v="Small"/>
    <n v="1"/>
    <n v="74.7"/>
    <n v="12"/>
    <n v="22"/>
    <n v="108.7"/>
    <n v="249"/>
    <n v="0"/>
    <n v="249"/>
    <n v="140.30000000000001"/>
    <n v="56.35"/>
    <x v="0"/>
    <s v="Takeaway"/>
    <s v="Meera"/>
    <n v="3"/>
    <s v="Completed"/>
  </r>
  <r>
    <x v="143"/>
    <d v="2025-06-09T00:00:00"/>
    <s v="13:00"/>
    <s v="Monday"/>
    <x v="10"/>
    <s v="Q2"/>
    <s v="Summer"/>
    <s v="S10"/>
    <x v="1"/>
    <x v="1"/>
    <s v="South"/>
    <s v="C2143"/>
    <x v="2"/>
    <s v="Gold"/>
    <s v="P033"/>
    <x v="8"/>
    <x v="0"/>
    <s v="Medium"/>
    <n v="2"/>
    <n v="89.64"/>
    <n v="12"/>
    <n v="22"/>
    <n v="123.64"/>
    <n v="298.8"/>
    <n v="10"/>
    <n v="537.84"/>
    <n v="290.56"/>
    <n v="54.02"/>
    <x v="3"/>
    <s v="Takeaway"/>
    <s v="Aarav"/>
    <n v="4"/>
    <s v="Completed"/>
  </r>
  <r>
    <x v="144"/>
    <d v="2025-05-11T00:00:00"/>
    <s v="09:45"/>
    <s v="Sunday"/>
    <x v="7"/>
    <s v="Q2"/>
    <s v="Summer"/>
    <s v="S14"/>
    <x v="4"/>
    <x v="4"/>
    <s v="North"/>
    <s v="C2144"/>
    <x v="1"/>
    <s v="Gold"/>
    <s v="P042"/>
    <x v="14"/>
    <x v="5"/>
    <s v="Medium"/>
    <n v="2"/>
    <n v="118.44"/>
    <n v="12"/>
    <n v="22"/>
    <n v="152.44"/>
    <n v="394.8"/>
    <n v="10"/>
    <n v="710.64"/>
    <n v="405.76"/>
    <n v="57.1"/>
    <x v="1"/>
    <s v="Takeaway"/>
    <s v="Aarav"/>
    <n v="5"/>
    <s v="Completed"/>
  </r>
  <r>
    <x v="145"/>
    <d v="2025-03-11T00:00:00"/>
    <s v="17:45"/>
    <s v="Tuesday"/>
    <x v="5"/>
    <s v="Q1"/>
    <s v="Autumn"/>
    <s v="S07"/>
    <x v="3"/>
    <x v="3"/>
    <s v="South"/>
    <s v="C2145"/>
    <x v="2"/>
    <s v="Silver"/>
    <s v="P020"/>
    <x v="9"/>
    <x v="4"/>
    <s v="Large"/>
    <n v="3"/>
    <n v="66.78"/>
    <n v="12"/>
    <n v="22"/>
    <n v="100.78"/>
    <n v="222.6"/>
    <n v="10"/>
    <n v="601.02"/>
    <n v="298.68"/>
    <n v="49.7"/>
    <x v="1"/>
    <s v="Takeaway"/>
    <s v="Rohan"/>
    <n v="3"/>
    <s v="Completed"/>
  </r>
  <r>
    <x v="146"/>
    <d v="2025-05-24T00:00:00"/>
    <s v="17:30"/>
    <s v="Saturday"/>
    <x v="7"/>
    <s v="Q2"/>
    <s v="Summer"/>
    <s v="S14"/>
    <x v="4"/>
    <x v="4"/>
    <s v="North"/>
    <s v="C2146"/>
    <x v="0"/>
    <s v="Silver"/>
    <s v="P001"/>
    <x v="1"/>
    <x v="1"/>
    <s v="Medium"/>
    <n v="2"/>
    <n v="53.64"/>
    <n v="12"/>
    <n v="22"/>
    <n v="87.64"/>
    <n v="178.8"/>
    <n v="15"/>
    <n v="303.95999999999998"/>
    <n v="128.68"/>
    <n v="42.33"/>
    <x v="2"/>
    <s v="Delivery"/>
    <s v="Aarav"/>
    <n v="4"/>
    <s v="Completed"/>
  </r>
  <r>
    <x v="147"/>
    <d v="2025-10-17T00:00:00"/>
    <s v="08:15"/>
    <s v="Friday"/>
    <x v="0"/>
    <s v="Q4"/>
    <s v="Autumn"/>
    <s v="S04"/>
    <x v="5"/>
    <x v="5"/>
    <s v="West"/>
    <s v="C2147"/>
    <x v="1"/>
    <s v="Gold"/>
    <s v="P002"/>
    <x v="2"/>
    <x v="1"/>
    <s v="Large"/>
    <n v="2"/>
    <n v="100.38"/>
    <n v="12"/>
    <n v="22"/>
    <n v="134.38"/>
    <n v="334.6"/>
    <n v="0"/>
    <n v="669.2"/>
    <n v="400.44"/>
    <n v="59.84"/>
    <x v="1"/>
    <s v="Dine-In"/>
    <s v="Meera"/>
    <n v="4"/>
    <s v="Completed"/>
  </r>
  <r>
    <x v="148"/>
    <d v="2025-08-24T00:00:00"/>
    <s v="09:00"/>
    <s v="Sunday"/>
    <x v="4"/>
    <s v="Q3"/>
    <s v="Monsoon"/>
    <s v="S01"/>
    <x v="0"/>
    <x v="0"/>
    <s v="North"/>
    <s v="C2148"/>
    <x v="0"/>
    <s v="Platinum"/>
    <s v="P002"/>
    <x v="2"/>
    <x v="1"/>
    <s v="Medium"/>
    <n v="2"/>
    <n v="86.04"/>
    <n v="12"/>
    <n v="22"/>
    <n v="120.04"/>
    <n v="286.8"/>
    <n v="10"/>
    <n v="516.24"/>
    <n v="276.16000000000003"/>
    <n v="53.49"/>
    <x v="3"/>
    <s v="Takeaway"/>
    <s v="Kabir"/>
    <n v="3"/>
    <s v="Completed"/>
  </r>
  <r>
    <x v="149"/>
    <d v="2025-10-19T00:00:00"/>
    <s v="08:30"/>
    <s v="Sunday"/>
    <x v="0"/>
    <s v="Q4"/>
    <s v="Autumn"/>
    <s v="S07"/>
    <x v="3"/>
    <x v="3"/>
    <s v="South"/>
    <s v="C2150"/>
    <x v="0"/>
    <s v="Gold"/>
    <s v="P001"/>
    <x v="1"/>
    <x v="1"/>
    <s v="Large"/>
    <n v="2"/>
    <n v="62.58"/>
    <n v="12"/>
    <n v="22"/>
    <n v="96.58"/>
    <n v="208.6"/>
    <n v="10"/>
    <n v="375.48"/>
    <n v="182.32"/>
    <n v="48.56"/>
    <x v="3"/>
    <s v="Takeaway"/>
    <s v="Rohan"/>
    <n v="4"/>
    <s v="Completed"/>
  </r>
  <r>
    <x v="150"/>
    <d v="2025-01-12T00:00:00"/>
    <s v="17:00"/>
    <s v="Sunday"/>
    <x v="9"/>
    <s v="Q1"/>
    <s v="Winter"/>
    <s v="S07"/>
    <x v="3"/>
    <x v="3"/>
    <s v="South"/>
    <s v="C2151"/>
    <x v="2"/>
    <s v="Platinum"/>
    <s v="P003"/>
    <x v="3"/>
    <x v="1"/>
    <s v="Large"/>
    <n v="3"/>
    <n v="91.98"/>
    <n v="12"/>
    <n v="22"/>
    <n v="125.98"/>
    <n v="306.60000000000002"/>
    <n v="10"/>
    <n v="827.82"/>
    <n v="449.88"/>
    <n v="54.35"/>
    <x v="0"/>
    <s v="Delivery"/>
    <s v="Aarav"/>
    <n v="4"/>
    <s v="Completed"/>
  </r>
  <r>
    <x v="151"/>
    <d v="2025-10-21T00:00:00"/>
    <s v="13:30"/>
    <s v="Tuesday"/>
    <x v="0"/>
    <s v="Q4"/>
    <s v="Autumn"/>
    <s v="S04"/>
    <x v="5"/>
    <x v="5"/>
    <s v="West"/>
    <s v="C2152"/>
    <x v="0"/>
    <s v="Silver"/>
    <s v="P034"/>
    <x v="0"/>
    <x v="0"/>
    <s v="Large"/>
    <n v="1"/>
    <n v="108.78"/>
    <n v="12"/>
    <n v="22"/>
    <n v="142.78"/>
    <n v="362.6"/>
    <n v="0"/>
    <n v="362.6"/>
    <n v="219.82"/>
    <n v="60.62"/>
    <x v="1"/>
    <s v="Delivery"/>
    <s v="Meera"/>
    <n v="5"/>
    <s v="Completed"/>
  </r>
  <r>
    <x v="152"/>
    <d v="2025-03-13T00:00:00"/>
    <s v="17:00"/>
    <s v="Thursday"/>
    <x v="5"/>
    <s v="Q1"/>
    <s v="Autumn"/>
    <s v="S04"/>
    <x v="5"/>
    <x v="5"/>
    <s v="West"/>
    <s v="C2153"/>
    <x v="1"/>
    <s v="Platinum"/>
    <s v="P002"/>
    <x v="2"/>
    <x v="1"/>
    <s v="Large"/>
    <n v="1"/>
    <n v="100.38"/>
    <n v="12"/>
    <n v="22"/>
    <n v="134.38"/>
    <n v="334.6"/>
    <n v="0"/>
    <n v="334.6"/>
    <n v="200.22"/>
    <n v="59.84"/>
    <x v="2"/>
    <s v="Dine-In"/>
    <s v="Diya"/>
    <n v="5"/>
    <s v="Completed"/>
  </r>
  <r>
    <x v="153"/>
    <d v="2025-07-23T00:00:00"/>
    <s v="18:00"/>
    <s v="Wednesday"/>
    <x v="6"/>
    <s v="Q3"/>
    <s v="Monsoon"/>
    <s v="S12"/>
    <x v="2"/>
    <x v="2"/>
    <s v="East"/>
    <s v="C2154"/>
    <x v="2"/>
    <s v="Silver"/>
    <s v="P014"/>
    <x v="4"/>
    <x v="2"/>
    <s v="Large"/>
    <n v="2"/>
    <n v="62.58"/>
    <n v="12"/>
    <n v="22"/>
    <n v="96.58"/>
    <n v="208.6"/>
    <n v="0"/>
    <n v="417.2"/>
    <n v="224.04"/>
    <n v="53.7"/>
    <x v="3"/>
    <s v="Takeaway"/>
    <s v="Meera"/>
    <n v="5"/>
    <s v="Completed"/>
  </r>
  <r>
    <x v="154"/>
    <d v="2025-06-22T00:00:00"/>
    <s v="18:00"/>
    <s v="Sunday"/>
    <x v="10"/>
    <s v="Q2"/>
    <s v="Summer"/>
    <s v="S10"/>
    <x v="1"/>
    <x v="1"/>
    <s v="South"/>
    <s v="C2155"/>
    <x v="1"/>
    <s v="Platinum"/>
    <s v="P019"/>
    <x v="7"/>
    <x v="4"/>
    <s v="Medium"/>
    <n v="3"/>
    <n v="71.64"/>
    <n v="12"/>
    <n v="22"/>
    <n v="105.64"/>
    <n v="238.8"/>
    <n v="10"/>
    <n v="644.76"/>
    <n v="327.84"/>
    <n v="50.85"/>
    <x v="0"/>
    <s v="Takeaway"/>
    <s v="Rohan"/>
    <n v="5"/>
    <s v="Completed"/>
  </r>
  <r>
    <x v="155"/>
    <d v="2025-11-06T00:00:00"/>
    <s v="08:15"/>
    <s v="Thursday"/>
    <x v="1"/>
    <s v="Q4"/>
    <s v="Autumn"/>
    <s v="S04"/>
    <x v="5"/>
    <x v="5"/>
    <s v="West"/>
    <s v="C2156"/>
    <x v="0"/>
    <s v="Silver"/>
    <s v="P003"/>
    <x v="3"/>
    <x v="1"/>
    <s v="Large"/>
    <n v="1"/>
    <n v="91.98"/>
    <n v="12"/>
    <n v="22"/>
    <n v="125.98"/>
    <n v="306.60000000000002"/>
    <n v="0"/>
    <n v="306.60000000000002"/>
    <n v="180.62"/>
    <n v="58.91"/>
    <x v="3"/>
    <s v="Takeaway"/>
    <s v="Kabir"/>
    <n v="5"/>
    <s v="Completed"/>
  </r>
  <r>
    <x v="156"/>
    <d v="2025-05-01T00:00:00"/>
    <s v="09:30"/>
    <s v="Thursday"/>
    <x v="7"/>
    <s v="Q2"/>
    <s v="Summer"/>
    <s v="S07"/>
    <x v="3"/>
    <x v="3"/>
    <s v="South"/>
    <s v="C2157"/>
    <x v="1"/>
    <s v="Silver"/>
    <s v="P033"/>
    <x v="8"/>
    <x v="0"/>
    <s v="Large"/>
    <n v="1"/>
    <n v="104.58"/>
    <n v="12"/>
    <n v="22"/>
    <n v="138.58000000000001"/>
    <n v="348.6"/>
    <n v="5"/>
    <n v="331.17"/>
    <n v="192.59"/>
    <n v="58.15"/>
    <x v="0"/>
    <s v="Takeaway"/>
    <s v="Meera"/>
    <n v="4"/>
    <s v="Completed"/>
  </r>
  <r>
    <x v="157"/>
    <d v="2025-11-24T00:00:00"/>
    <s v="09:00"/>
    <s v="Monday"/>
    <x v="1"/>
    <s v="Q4"/>
    <s v="Autumn"/>
    <s v="S07"/>
    <x v="3"/>
    <x v="3"/>
    <s v="South"/>
    <s v="C2158"/>
    <x v="2"/>
    <s v="Silver"/>
    <s v="P001"/>
    <x v="1"/>
    <x v="1"/>
    <s v="Large"/>
    <n v="3"/>
    <n v="62.58"/>
    <n v="12"/>
    <n v="22"/>
    <n v="96.58"/>
    <n v="208.6"/>
    <n v="0"/>
    <n v="625.79999999999995"/>
    <n v="336.06"/>
    <n v="53.7"/>
    <x v="3"/>
    <s v="Takeaway"/>
    <s v="Rohan"/>
    <n v="4"/>
    <s v="Completed"/>
  </r>
  <r>
    <x v="158"/>
    <d v="2025-07-01T00:00:00"/>
    <s v="09:00"/>
    <s v="Tuesday"/>
    <x v="6"/>
    <s v="Q3"/>
    <s v="Monsoon"/>
    <s v="S14"/>
    <x v="4"/>
    <x v="4"/>
    <s v="North"/>
    <s v="C2159"/>
    <x v="1"/>
    <s v="Gold"/>
    <s v="P003"/>
    <x v="3"/>
    <x v="1"/>
    <s v="Large"/>
    <n v="2"/>
    <n v="91.98"/>
    <n v="12"/>
    <n v="22"/>
    <n v="125.98"/>
    <n v="306.60000000000002"/>
    <n v="0"/>
    <n v="613.20000000000005"/>
    <n v="361.24"/>
    <n v="58.91"/>
    <x v="1"/>
    <s v="Takeaway"/>
    <s v="Meera"/>
    <n v="3"/>
    <s v="Completed"/>
  </r>
  <r>
    <x v="159"/>
    <d v="2025-02-16T00:00:00"/>
    <s v="17:45"/>
    <s v="Sunday"/>
    <x v="3"/>
    <s v="Q1"/>
    <s v="Winter"/>
    <s v="S12"/>
    <x v="2"/>
    <x v="2"/>
    <s v="East"/>
    <s v="C2160"/>
    <x v="2"/>
    <s v="Platinum"/>
    <s v="P003"/>
    <x v="3"/>
    <x v="1"/>
    <s v="Large"/>
    <n v="2"/>
    <n v="91.98"/>
    <n v="12"/>
    <n v="22"/>
    <n v="125.98"/>
    <n v="306.60000000000002"/>
    <n v="15"/>
    <n v="521.22"/>
    <n v="269.26"/>
    <n v="51.66"/>
    <x v="2"/>
    <s v="Takeaway"/>
    <s v="Diya"/>
    <n v="5"/>
    <s v="Completed"/>
  </r>
  <r>
    <x v="160"/>
    <d v="2025-05-03T00:00:00"/>
    <s v="08:30"/>
    <s v="Saturday"/>
    <x v="7"/>
    <s v="Q2"/>
    <s v="Summer"/>
    <s v="S04"/>
    <x v="5"/>
    <x v="5"/>
    <s v="West"/>
    <s v="C2161"/>
    <x v="1"/>
    <s v="Platinum"/>
    <s v="P001"/>
    <x v="1"/>
    <x v="1"/>
    <s v="Small"/>
    <n v="1"/>
    <n v="44.7"/>
    <n v="12"/>
    <n v="22"/>
    <n v="78.7"/>
    <n v="149"/>
    <n v="10"/>
    <n v="134.1"/>
    <n v="55.4"/>
    <n v="41.31"/>
    <x v="3"/>
    <s v="Dine-In"/>
    <s v="Diya"/>
    <n v="4"/>
    <s v="Completed"/>
  </r>
  <r>
    <x v="161"/>
    <d v="2025-09-25T00:00:00"/>
    <s v="08:00"/>
    <s v="Thursday"/>
    <x v="2"/>
    <s v="Q3"/>
    <s v="Monsoon"/>
    <s v="S07"/>
    <x v="3"/>
    <x v="3"/>
    <s v="South"/>
    <s v="C2162"/>
    <x v="1"/>
    <s v="Silver"/>
    <s v="P003"/>
    <x v="3"/>
    <x v="1"/>
    <s v="Medium"/>
    <n v="2"/>
    <n v="78.84"/>
    <n v="12"/>
    <n v="22"/>
    <n v="112.84"/>
    <n v="262.8"/>
    <n v="0"/>
    <n v="525.6"/>
    <n v="299.92"/>
    <n v="57.06"/>
    <x v="3"/>
    <s v="Takeaway"/>
    <s v="Rohan"/>
    <n v="5"/>
    <s v="Completed"/>
  </r>
  <r>
    <x v="162"/>
    <d v="2025-06-24T00:00:00"/>
    <s v="13:45"/>
    <s v="Tuesday"/>
    <x v="10"/>
    <s v="Q2"/>
    <s v="Summer"/>
    <s v="S04"/>
    <x v="5"/>
    <x v="5"/>
    <s v="West"/>
    <s v="C2163"/>
    <x v="2"/>
    <s v="Platinum"/>
    <s v="P001"/>
    <x v="1"/>
    <x v="1"/>
    <s v="Large"/>
    <n v="3"/>
    <n v="62.58"/>
    <n v="12"/>
    <n v="22"/>
    <n v="96.58"/>
    <n v="208.6"/>
    <n v="10"/>
    <n v="563.22"/>
    <n v="273.48"/>
    <n v="48.56"/>
    <x v="1"/>
    <s v="Dine-In"/>
    <s v="Diya"/>
    <n v="5"/>
    <s v="Completed"/>
  </r>
  <r>
    <x v="163"/>
    <d v="2025-06-07T00:00:00"/>
    <s v="14:15"/>
    <s v="Saturday"/>
    <x v="10"/>
    <s v="Q2"/>
    <s v="Summer"/>
    <s v="S14"/>
    <x v="4"/>
    <x v="4"/>
    <s v="North"/>
    <s v="C2164"/>
    <x v="1"/>
    <s v="Silver"/>
    <s v="P027"/>
    <x v="13"/>
    <x v="3"/>
    <s v="Small"/>
    <n v="2"/>
    <n v="68.7"/>
    <n v="12"/>
    <n v="22"/>
    <n v="102.7"/>
    <n v="229"/>
    <n v="10"/>
    <n v="412.2"/>
    <n v="206.8"/>
    <n v="50.17"/>
    <x v="1"/>
    <s v="Takeaway"/>
    <s v="Rohan"/>
    <n v="5"/>
    <s v="Completed"/>
  </r>
  <r>
    <x v="164"/>
    <d v="2025-06-25T00:00:00"/>
    <s v="18:15"/>
    <s v="Wednesday"/>
    <x v="10"/>
    <s v="Q2"/>
    <s v="Summer"/>
    <s v="S04"/>
    <x v="5"/>
    <x v="5"/>
    <s v="West"/>
    <s v="C2165"/>
    <x v="0"/>
    <s v="Gold"/>
    <s v="P019"/>
    <x v="7"/>
    <x v="4"/>
    <s v="Medium"/>
    <n v="3"/>
    <n v="71.64"/>
    <n v="12"/>
    <n v="22"/>
    <n v="105.64"/>
    <n v="238.8"/>
    <n v="0"/>
    <n v="716.4"/>
    <n v="399.48"/>
    <n v="55.76"/>
    <x v="1"/>
    <s v="Dine-In"/>
    <s v="Diya"/>
    <n v="4"/>
    <s v="Completed"/>
  </r>
  <r>
    <x v="165"/>
    <d v="2025-11-15T00:00:00"/>
    <s v="18:15"/>
    <s v="Saturday"/>
    <x v="1"/>
    <s v="Q4"/>
    <s v="Autumn"/>
    <s v="S01"/>
    <x v="0"/>
    <x v="0"/>
    <s v="North"/>
    <s v="C2166"/>
    <x v="1"/>
    <s v="Silver"/>
    <s v="P042"/>
    <x v="14"/>
    <x v="5"/>
    <s v="Small"/>
    <n v="3"/>
    <n v="98.7"/>
    <n v="12"/>
    <n v="22"/>
    <n v="132.69999999999999"/>
    <n v="329"/>
    <n v="10"/>
    <n v="888.3"/>
    <n v="490.2"/>
    <n v="55.18"/>
    <x v="2"/>
    <s v="Takeaway"/>
    <s v="Meera"/>
    <n v="5"/>
    <s v="Completed"/>
  </r>
  <r>
    <x v="166"/>
    <d v="2025-09-06T00:00:00"/>
    <s v="17:15"/>
    <s v="Saturday"/>
    <x v="2"/>
    <s v="Q3"/>
    <s v="Monsoon"/>
    <s v="S14"/>
    <x v="4"/>
    <x v="4"/>
    <s v="North"/>
    <s v="C2167"/>
    <x v="2"/>
    <s v="Platinum"/>
    <s v="P014"/>
    <x v="4"/>
    <x v="2"/>
    <s v="Small"/>
    <n v="4"/>
    <n v="44.7"/>
    <n v="12"/>
    <n v="22"/>
    <n v="78.7"/>
    <n v="149"/>
    <n v="15"/>
    <n v="506.6"/>
    <n v="191.8"/>
    <n v="37.86"/>
    <x v="0"/>
    <s v="Delivery"/>
    <s v="Meera"/>
    <n v="5"/>
    <s v="Completed"/>
  </r>
  <r>
    <x v="167"/>
    <d v="2025-05-29T00:00:00"/>
    <s v="09:45"/>
    <s v="Thursday"/>
    <x v="7"/>
    <s v="Q2"/>
    <s v="Summer"/>
    <s v="S04"/>
    <x v="5"/>
    <x v="5"/>
    <s v="West"/>
    <s v="C2168"/>
    <x v="0"/>
    <s v="Silver"/>
    <s v="P034"/>
    <x v="0"/>
    <x v="0"/>
    <s v="Small"/>
    <n v="3"/>
    <n v="77.7"/>
    <n v="12"/>
    <n v="22"/>
    <n v="111.7"/>
    <n v="259"/>
    <n v="0"/>
    <n v="777"/>
    <n v="441.9"/>
    <n v="56.87"/>
    <x v="0"/>
    <s v="Dine-In"/>
    <s v="Aarav"/>
    <n v="3"/>
    <s v="Completed"/>
  </r>
  <r>
    <x v="168"/>
    <d v="2025-02-17T00:00:00"/>
    <s v="13:45"/>
    <s v="Monday"/>
    <x v="3"/>
    <s v="Q1"/>
    <s v="Winter"/>
    <s v="S07"/>
    <x v="3"/>
    <x v="3"/>
    <s v="South"/>
    <s v="C2169"/>
    <x v="0"/>
    <s v="Silver"/>
    <s v="P002"/>
    <x v="2"/>
    <x v="1"/>
    <s v="Large"/>
    <n v="2"/>
    <n v="100.38"/>
    <n v="12"/>
    <n v="22"/>
    <n v="134.38"/>
    <n v="334.6"/>
    <n v="0"/>
    <n v="669.2"/>
    <n v="400.44"/>
    <n v="59.84"/>
    <x v="3"/>
    <s v="Dine-In"/>
    <s v="Diya"/>
    <n v="5"/>
    <s v="Completed"/>
  </r>
  <r>
    <x v="169"/>
    <d v="2025-06-09T00:00:00"/>
    <s v="18:45"/>
    <s v="Monday"/>
    <x v="10"/>
    <s v="Q2"/>
    <s v="Summer"/>
    <s v="S14"/>
    <x v="4"/>
    <x v="4"/>
    <s v="North"/>
    <s v="C2170"/>
    <x v="1"/>
    <s v="Gold"/>
    <s v="P002"/>
    <x v="2"/>
    <x v="1"/>
    <s v="Small"/>
    <n v="3"/>
    <n v="71.7"/>
    <n v="12"/>
    <n v="22"/>
    <n v="105.7"/>
    <n v="239"/>
    <n v="55"/>
    <n v="717"/>
    <n v="399.9"/>
    <n v="55.77"/>
    <x v="0"/>
    <s v="Dine-In"/>
    <s v="Meera"/>
    <n v="5"/>
    <s v="Completed"/>
  </r>
  <r>
    <x v="170"/>
    <d v="2025-03-13T00:00:00"/>
    <s v="18:15"/>
    <s v="Thursday"/>
    <x v="5"/>
    <s v="Q1"/>
    <s v="Autumn"/>
    <s v="S07"/>
    <x v="3"/>
    <x v="3"/>
    <s v="South"/>
    <s v="C2171"/>
    <x v="1"/>
    <s v="Silver"/>
    <s v="P001"/>
    <x v="1"/>
    <x v="1"/>
    <s v="Large"/>
    <n v="1"/>
    <n v="62.58"/>
    <n v="12"/>
    <n v="22"/>
    <n v="96.58"/>
    <n v="208.6"/>
    <n v="0"/>
    <n v="208.6"/>
    <n v="112.02"/>
    <n v="53.7"/>
    <x v="0"/>
    <s v="Dine-In"/>
    <s v="Rohan"/>
    <n v="4"/>
    <s v="Completed"/>
  </r>
  <r>
    <x v="171"/>
    <d v="2025-01-31T00:00:00"/>
    <s v="09:15"/>
    <s v="Friday"/>
    <x v="9"/>
    <s v="Q1"/>
    <s v="Winter"/>
    <s v="S04"/>
    <x v="5"/>
    <x v="5"/>
    <s v="West"/>
    <s v="C2172"/>
    <x v="0"/>
    <s v="Gold"/>
    <s v="P014"/>
    <x v="4"/>
    <x v="2"/>
    <s v="Small"/>
    <n v="1"/>
    <n v="44.7"/>
    <n v="12"/>
    <n v="22"/>
    <n v="78.7"/>
    <n v="149"/>
    <n v="0"/>
    <n v="149"/>
    <n v="70.3"/>
    <n v="47.18"/>
    <x v="1"/>
    <s v="Takeaway"/>
    <s v="Aarav"/>
    <n v="5"/>
    <s v="Completed"/>
  </r>
  <r>
    <x v="172"/>
    <d v="2025-06-22T00:00:00"/>
    <s v="09:00"/>
    <s v="Sunday"/>
    <x v="10"/>
    <s v="Q2"/>
    <s v="Summer"/>
    <s v="S12"/>
    <x v="2"/>
    <x v="2"/>
    <s v="East"/>
    <s v="C2173"/>
    <x v="1"/>
    <s v="Gold"/>
    <s v="P034"/>
    <x v="0"/>
    <x v="0"/>
    <s v="Small"/>
    <n v="2"/>
    <n v="77.7"/>
    <n v="12"/>
    <n v="22"/>
    <n v="111.7"/>
    <n v="259"/>
    <n v="15"/>
    <n v="440.3"/>
    <n v="216.9"/>
    <n v="49.26"/>
    <x v="2"/>
    <s v="Dine-In"/>
    <s v="Meera"/>
    <n v="5"/>
    <s v="Completed"/>
  </r>
  <r>
    <x v="173"/>
    <d v="2025-03-06T00:00:00"/>
    <s v="09:15"/>
    <s v="Thursday"/>
    <x v="5"/>
    <s v="Q1"/>
    <s v="Autumn"/>
    <s v="S07"/>
    <x v="3"/>
    <x v="3"/>
    <s v="South"/>
    <s v="C2174"/>
    <x v="0"/>
    <s v="Gold"/>
    <s v="P013"/>
    <x v="5"/>
    <x v="2"/>
    <s v="Medium"/>
    <n v="3"/>
    <n v="46.44"/>
    <n v="12"/>
    <n v="22"/>
    <n v="80.44"/>
    <n v="154.80000000000001"/>
    <n v="10"/>
    <n v="417.96"/>
    <n v="176.64"/>
    <n v="42.26"/>
    <x v="1"/>
    <s v="Takeaway"/>
    <s v="Rohan"/>
    <n v="4"/>
    <s v="Completed"/>
  </r>
  <r>
    <x v="174"/>
    <d v="2025-09-05T00:00:00"/>
    <s v="17:30"/>
    <s v="Friday"/>
    <x v="2"/>
    <s v="Q3"/>
    <s v="Monsoon"/>
    <s v="S14"/>
    <x v="4"/>
    <x v="4"/>
    <s v="North"/>
    <s v="C2175"/>
    <x v="1"/>
    <s v="Silver"/>
    <s v="P004"/>
    <x v="10"/>
    <x v="1"/>
    <s v="Large"/>
    <n v="1"/>
    <n v="70.98"/>
    <n v="12"/>
    <n v="22"/>
    <n v="104.98"/>
    <n v="236.6"/>
    <n v="5"/>
    <n v="224.77"/>
    <n v="119.79"/>
    <n v="53.29"/>
    <x v="2"/>
    <s v="Dine-In"/>
    <s v="Kabir"/>
    <n v="5"/>
    <s v="Completed"/>
  </r>
  <r>
    <x v="175"/>
    <d v="2025-01-29T00:00:00"/>
    <s v="17:30"/>
    <s v="Wednesday"/>
    <x v="9"/>
    <s v="Q1"/>
    <s v="Winter"/>
    <s v="S01"/>
    <x v="0"/>
    <x v="0"/>
    <s v="North"/>
    <s v="C2176"/>
    <x v="2"/>
    <s v="Silver"/>
    <s v="P004"/>
    <x v="10"/>
    <x v="1"/>
    <s v="Medium"/>
    <n v="2"/>
    <n v="60.84"/>
    <n v="12"/>
    <n v="22"/>
    <n v="94.84"/>
    <n v="202.8"/>
    <n v="5"/>
    <n v="385.32"/>
    <n v="195.64"/>
    <n v="50.77"/>
    <x v="1"/>
    <s v="Dine-In"/>
    <s v="Aarav"/>
    <n v="5"/>
    <s v="Completed"/>
  </r>
  <r>
    <x v="176"/>
    <d v="2025-11-02T00:00:00"/>
    <s v="18:00"/>
    <s v="Sunday"/>
    <x v="1"/>
    <s v="Q4"/>
    <s v="Autumn"/>
    <s v="S07"/>
    <x v="3"/>
    <x v="3"/>
    <s v="South"/>
    <s v="C2177"/>
    <x v="0"/>
    <s v="Gold"/>
    <s v="P002"/>
    <x v="2"/>
    <x v="1"/>
    <s v="Large"/>
    <n v="2"/>
    <n v="100.38"/>
    <n v="12"/>
    <n v="22"/>
    <n v="134.38"/>
    <n v="334.6"/>
    <n v="10"/>
    <n v="602.28"/>
    <n v="333.52"/>
    <n v="55.38"/>
    <x v="2"/>
    <s v="Takeaway"/>
    <s v="Aarav"/>
    <n v="5"/>
    <s v="Completed"/>
  </r>
  <r>
    <x v="177"/>
    <d v="2025-12-28T00:00:00"/>
    <s v="14:30"/>
    <s v="Sunday"/>
    <x v="8"/>
    <s v="Q4"/>
    <s v="Winter"/>
    <s v="S14"/>
    <x v="4"/>
    <x v="4"/>
    <s v="North"/>
    <s v="C2178"/>
    <x v="1"/>
    <s v="Silver"/>
    <s v="P036"/>
    <x v="11"/>
    <x v="0"/>
    <s v="Large"/>
    <n v="2"/>
    <n v="66.78"/>
    <n v="12"/>
    <n v="22"/>
    <n v="100.78"/>
    <n v="222.6"/>
    <n v="10"/>
    <n v="400.68"/>
    <n v="199.12"/>
    <n v="49.7"/>
    <x v="1"/>
    <s v="Dine-In"/>
    <s v="Kabir"/>
    <n v="5"/>
    <s v="Completed"/>
  </r>
  <r>
    <x v="178"/>
    <d v="2025-03-15T00:00:00"/>
    <s v="17:45"/>
    <s v="Saturday"/>
    <x v="5"/>
    <s v="Q1"/>
    <s v="Autumn"/>
    <s v="S04"/>
    <x v="5"/>
    <x v="5"/>
    <s v="West"/>
    <s v="C2179"/>
    <x v="1"/>
    <s v="Silver"/>
    <s v="P004"/>
    <x v="10"/>
    <x v="1"/>
    <s v="Large"/>
    <n v="3"/>
    <n v="70.98"/>
    <n v="12"/>
    <n v="22"/>
    <n v="104.98"/>
    <n v="236.6"/>
    <n v="10"/>
    <n v="638.82000000000005"/>
    <n v="323.88"/>
    <n v="50.7"/>
    <x v="0"/>
    <s v="Delivery"/>
    <s v="Diya"/>
    <n v="5"/>
    <s v="Completed"/>
  </r>
  <r>
    <x v="179"/>
    <d v="2025-08-13T00:00:00"/>
    <s v="14:45"/>
    <s v="Wednesday"/>
    <x v="4"/>
    <s v="Q3"/>
    <s v="Monsoon"/>
    <s v="S12"/>
    <x v="2"/>
    <x v="2"/>
    <s v="East"/>
    <s v="C2180"/>
    <x v="0"/>
    <s v="Platinum"/>
    <s v="P013"/>
    <x v="5"/>
    <x v="2"/>
    <s v="Medium"/>
    <n v="1"/>
    <n v="46.44"/>
    <n v="12"/>
    <n v="22"/>
    <n v="80.44"/>
    <n v="154.80000000000001"/>
    <n v="10"/>
    <n v="139.32"/>
    <n v="58.88"/>
    <n v="42.26"/>
    <x v="3"/>
    <s v="Dine-In"/>
    <s v="Diya"/>
    <n v="4"/>
    <s v="Completed"/>
  </r>
  <r>
    <x v="180"/>
    <d v="2025-03-13T00:00:00"/>
    <s v="18:15"/>
    <s v="Thursday"/>
    <x v="5"/>
    <s v="Q1"/>
    <s v="Autumn"/>
    <s v="S01"/>
    <x v="0"/>
    <x v="0"/>
    <s v="North"/>
    <s v="C2181"/>
    <x v="2"/>
    <s v="Gold"/>
    <s v="P020"/>
    <x v="9"/>
    <x v="4"/>
    <s v="Medium"/>
    <n v="2"/>
    <n v="57.24"/>
    <n v="12"/>
    <n v="22"/>
    <n v="91.240000000000009"/>
    <n v="190.8"/>
    <n v="10"/>
    <n v="343.44"/>
    <n v="160.96"/>
    <n v="46.87"/>
    <x v="1"/>
    <s v="Delivery"/>
    <s v="Meera"/>
    <n v="4"/>
    <s v="Completed"/>
  </r>
  <r>
    <x v="181"/>
    <d v="2025-01-25T00:00:00"/>
    <s v="08:45"/>
    <s v="Saturday"/>
    <x v="9"/>
    <s v="Q1"/>
    <s v="Winter"/>
    <s v="S01"/>
    <x v="0"/>
    <x v="0"/>
    <s v="North"/>
    <s v="C2182"/>
    <x v="1"/>
    <s v="Silver"/>
    <s v="P002"/>
    <x v="2"/>
    <x v="1"/>
    <s v="Medium"/>
    <n v="1"/>
    <n v="86.04"/>
    <n v="12"/>
    <n v="22"/>
    <n v="120.04"/>
    <n v="286.8"/>
    <n v="10"/>
    <n v="258.12"/>
    <n v="138.08000000000001"/>
    <n v="53.49"/>
    <x v="2"/>
    <s v="Takeaway"/>
    <s v="Meera"/>
    <n v="4"/>
    <s v="Completed"/>
  </r>
  <r>
    <x v="182"/>
    <d v="2025-04-14T00:00:00"/>
    <s v="17:15"/>
    <s v="Monday"/>
    <x v="11"/>
    <s v="Q2"/>
    <s v="Summer"/>
    <s v="S07"/>
    <x v="3"/>
    <x v="3"/>
    <s v="South"/>
    <s v="C2183"/>
    <x v="2"/>
    <s v="Gold"/>
    <s v="P003"/>
    <x v="3"/>
    <x v="1"/>
    <s v="Medium"/>
    <n v="1"/>
    <n v="78.84"/>
    <n v="12"/>
    <n v="22"/>
    <n v="112.84"/>
    <n v="262.8"/>
    <n v="0"/>
    <n v="262.8"/>
    <n v="149.96"/>
    <n v="57.06"/>
    <x v="2"/>
    <s v="Dine-In"/>
    <s v="Aarav"/>
    <n v="5"/>
    <s v="Completed"/>
  </r>
  <r>
    <x v="183"/>
    <d v="2025-05-27T00:00:00"/>
    <s v="09:30"/>
    <s v="Tuesday"/>
    <x v="7"/>
    <s v="Q2"/>
    <s v="Summer"/>
    <s v="S07"/>
    <x v="3"/>
    <x v="3"/>
    <s v="South"/>
    <s v="C2184"/>
    <x v="1"/>
    <s v="Silver"/>
    <s v="P001"/>
    <x v="1"/>
    <x v="1"/>
    <s v="Medium"/>
    <n v="2"/>
    <n v="53.64"/>
    <n v="12"/>
    <n v="22"/>
    <n v="87.64"/>
    <n v="178.8"/>
    <n v="0"/>
    <n v="357.6"/>
    <n v="182.32"/>
    <n v="50.98"/>
    <x v="3"/>
    <s v="Delivery"/>
    <s v="Diya"/>
    <n v="5"/>
    <s v="Completed"/>
  </r>
  <r>
    <x v="184"/>
    <d v="2025-07-09T00:00:00"/>
    <s v="17:30"/>
    <s v="Wednesday"/>
    <x v="6"/>
    <s v="Q3"/>
    <s v="Monsoon"/>
    <s v="S07"/>
    <x v="3"/>
    <x v="3"/>
    <s v="South"/>
    <s v="C2185"/>
    <x v="2"/>
    <s v="Gold"/>
    <s v="P019"/>
    <x v="7"/>
    <x v="4"/>
    <s v="Large"/>
    <n v="2"/>
    <n v="83.58"/>
    <n v="12"/>
    <n v="22"/>
    <n v="117.58"/>
    <n v="278.60000000000002"/>
    <n v="10"/>
    <n v="501.48"/>
    <n v="266.32"/>
    <n v="53.11"/>
    <x v="1"/>
    <s v="Takeaway"/>
    <s v="Diya"/>
    <n v="4"/>
    <s v="Completed"/>
  </r>
  <r>
    <x v="185"/>
    <d v="2025-07-26T00:00:00"/>
    <s v="17:00"/>
    <s v="Saturday"/>
    <x v="6"/>
    <s v="Q3"/>
    <s v="Monsoon"/>
    <s v="S04"/>
    <x v="5"/>
    <x v="5"/>
    <s v="West"/>
    <s v="C2186"/>
    <x v="0"/>
    <s v="Gold"/>
    <s v="P001"/>
    <x v="1"/>
    <x v="1"/>
    <s v="Medium"/>
    <n v="3"/>
    <n v="53.64"/>
    <n v="12"/>
    <n v="22"/>
    <n v="87.64"/>
    <n v="178.8"/>
    <n v="15"/>
    <n v="455.94"/>
    <n v="193.02"/>
    <n v="42.33"/>
    <x v="3"/>
    <s v="Dine-In"/>
    <s v="Diya"/>
    <n v="4"/>
    <s v="Completed"/>
  </r>
  <r>
    <x v="186"/>
    <d v="2025-06-19T00:00:00"/>
    <s v="08:15"/>
    <s v="Thursday"/>
    <x v="10"/>
    <s v="Q2"/>
    <s v="Summer"/>
    <s v="S07"/>
    <x v="3"/>
    <x v="3"/>
    <s v="South"/>
    <s v="C2187"/>
    <x v="0"/>
    <s v="Gold"/>
    <s v="P003"/>
    <x v="3"/>
    <x v="1"/>
    <s v="Small"/>
    <n v="2"/>
    <n v="65.7"/>
    <n v="12"/>
    <n v="22"/>
    <n v="99.7"/>
    <n v="219"/>
    <n v="10"/>
    <n v="394.2"/>
    <n v="194.8"/>
    <n v="49.42"/>
    <x v="2"/>
    <s v="Takeaway"/>
    <s v="Meera"/>
    <n v="5"/>
    <s v="Completed"/>
  </r>
  <r>
    <x v="187"/>
    <d v="2025-06-25T00:00:00"/>
    <s v="14:00"/>
    <s v="Wednesday"/>
    <x v="10"/>
    <s v="Q2"/>
    <s v="Summer"/>
    <s v="S07"/>
    <x v="3"/>
    <x v="3"/>
    <s v="South"/>
    <s v="C2188"/>
    <x v="1"/>
    <s v="Platinum"/>
    <s v="P036"/>
    <x v="11"/>
    <x v="0"/>
    <s v="Medium"/>
    <n v="2"/>
    <n v="57.24"/>
    <n v="12"/>
    <n v="22"/>
    <n v="91.240000000000009"/>
    <n v="190.8"/>
    <n v="0"/>
    <n v="381.6"/>
    <n v="199.12"/>
    <n v="52.18"/>
    <x v="3"/>
    <s v="Takeaway"/>
    <s v="Rohan"/>
    <n v="5"/>
    <s v="Completed"/>
  </r>
  <r>
    <x v="188"/>
    <d v="2025-10-12T00:00:00"/>
    <s v="18:15"/>
    <s v="Sunday"/>
    <x v="0"/>
    <s v="Q4"/>
    <s v="Autumn"/>
    <s v="S04"/>
    <x v="5"/>
    <x v="5"/>
    <s v="West"/>
    <s v="C2189"/>
    <x v="1"/>
    <s v="Platinum"/>
    <s v="P003"/>
    <x v="3"/>
    <x v="1"/>
    <s v="Medium"/>
    <n v="2"/>
    <n v="78.84"/>
    <n v="12"/>
    <n v="22"/>
    <n v="112.84"/>
    <n v="262.8"/>
    <n v="15"/>
    <n v="446.76"/>
    <n v="221.08"/>
    <n v="49.49"/>
    <x v="1"/>
    <s v="Dine-In"/>
    <s v="Rohan"/>
    <n v="4"/>
    <s v="Completed"/>
  </r>
  <r>
    <x v="189"/>
    <d v="2025-10-29T00:00:00"/>
    <s v="17:00"/>
    <s v="Wednesday"/>
    <x v="0"/>
    <s v="Q4"/>
    <s v="Autumn"/>
    <s v="S01"/>
    <x v="0"/>
    <x v="0"/>
    <s v="North"/>
    <s v="C2190"/>
    <x v="0"/>
    <s v="Platinum"/>
    <s v="P020"/>
    <x v="9"/>
    <x v="4"/>
    <s v="Large"/>
    <n v="1"/>
    <n v="66.78"/>
    <n v="12"/>
    <n v="22"/>
    <n v="100.78"/>
    <n v="222.6"/>
    <n v="0"/>
    <n v="222.6"/>
    <n v="121.82"/>
    <n v="54.73"/>
    <x v="0"/>
    <s v="Dine-In"/>
    <s v="Rohan"/>
    <n v="4"/>
    <s v="Completed"/>
  </r>
  <r>
    <x v="190"/>
    <d v="2025-07-15T00:00:00"/>
    <s v="09:00"/>
    <s v="Tuesday"/>
    <x v="6"/>
    <s v="Q3"/>
    <s v="Monsoon"/>
    <s v="S01"/>
    <x v="0"/>
    <x v="0"/>
    <s v="North"/>
    <s v="C2191"/>
    <x v="1"/>
    <s v="Gold"/>
    <s v="P013"/>
    <x v="5"/>
    <x v="2"/>
    <s v="Large"/>
    <n v="1"/>
    <n v="54.18"/>
    <n v="12"/>
    <n v="22"/>
    <n v="88.18"/>
    <n v="180.6"/>
    <n v="5"/>
    <n v="171.57"/>
    <n v="83.39"/>
    <n v="48.6"/>
    <x v="1"/>
    <s v="Takeaway"/>
    <s v="Aarav"/>
    <n v="3"/>
    <s v="Completed"/>
  </r>
  <r>
    <x v="191"/>
    <d v="2025-11-25T00:00:00"/>
    <s v="14:15"/>
    <s v="Tuesday"/>
    <x v="1"/>
    <s v="Q4"/>
    <s v="Autumn"/>
    <s v="S07"/>
    <x v="3"/>
    <x v="3"/>
    <s v="South"/>
    <s v="C2192"/>
    <x v="0"/>
    <s v="Gold"/>
    <s v="P027"/>
    <x v="13"/>
    <x v="3"/>
    <s v="Medium"/>
    <n v="2"/>
    <n v="82.44"/>
    <n v="12"/>
    <n v="22"/>
    <n v="116.44"/>
    <n v="274.8"/>
    <n v="0"/>
    <n v="549.6"/>
    <n v="316.72000000000003"/>
    <n v="57.63"/>
    <x v="3"/>
    <s v="Delivery"/>
    <s v="Rohan"/>
    <n v="5"/>
    <s v="Completed"/>
  </r>
  <r>
    <x v="192"/>
    <d v="2025-05-26T00:00:00"/>
    <s v="08:30"/>
    <s v="Monday"/>
    <x v="7"/>
    <s v="Q2"/>
    <s v="Summer"/>
    <s v="S01"/>
    <x v="0"/>
    <x v="0"/>
    <s v="North"/>
    <s v="C2193"/>
    <x v="1"/>
    <s v="Gold"/>
    <s v="P036"/>
    <x v="11"/>
    <x v="0"/>
    <s v="Large"/>
    <n v="2"/>
    <n v="66.78"/>
    <n v="12"/>
    <n v="22"/>
    <n v="100.78"/>
    <n v="222.6"/>
    <n v="5"/>
    <n v="422.94"/>
    <n v="221.38"/>
    <n v="52.34"/>
    <x v="2"/>
    <s v="Takeaway"/>
    <s v="Diya"/>
    <n v="3"/>
    <s v="Completed"/>
  </r>
  <r>
    <x v="193"/>
    <d v="2025-03-01T00:00:00"/>
    <s v="18:15"/>
    <s v="Saturday"/>
    <x v="5"/>
    <s v="Q1"/>
    <s v="Autumn"/>
    <s v="S14"/>
    <x v="4"/>
    <x v="4"/>
    <s v="North"/>
    <s v="C2194"/>
    <x v="1"/>
    <s v="Silver"/>
    <s v="P020"/>
    <x v="9"/>
    <x v="4"/>
    <s v="Large"/>
    <n v="2"/>
    <n v="66.78"/>
    <n v="12"/>
    <n v="22"/>
    <n v="100.78"/>
    <n v="222.6"/>
    <n v="10"/>
    <n v="400.68"/>
    <n v="199.12"/>
    <n v="49.7"/>
    <x v="2"/>
    <s v="Dine-In"/>
    <s v="Aarav"/>
    <n v="4"/>
    <s v="Completed"/>
  </r>
  <r>
    <x v="194"/>
    <d v="2025-04-11T00:00:00"/>
    <s v="17:15"/>
    <s v="Friday"/>
    <x v="11"/>
    <s v="Q2"/>
    <s v="Summer"/>
    <s v="S04"/>
    <x v="5"/>
    <x v="5"/>
    <s v="West"/>
    <s v="C2195"/>
    <x v="0"/>
    <s v="Silver"/>
    <s v="P034"/>
    <x v="0"/>
    <x v="0"/>
    <s v="Small"/>
    <n v="1"/>
    <n v="77.7"/>
    <n v="12"/>
    <n v="22"/>
    <n v="111.7"/>
    <n v="259"/>
    <n v="5"/>
    <n v="246.05"/>
    <n v="134.35"/>
    <n v="54.6"/>
    <x v="3"/>
    <s v="Delivery"/>
    <s v="Diya"/>
    <n v="5"/>
    <s v="Completed"/>
  </r>
  <r>
    <x v="195"/>
    <d v="2025-08-20T00:00:00"/>
    <s v="14:00"/>
    <s v="Wednesday"/>
    <x v="4"/>
    <s v="Q3"/>
    <s v="Monsoon"/>
    <s v="S04"/>
    <x v="5"/>
    <x v="5"/>
    <s v="West"/>
    <s v="C2196"/>
    <x v="1"/>
    <s v="Gold"/>
    <s v="P033"/>
    <x v="8"/>
    <x v="0"/>
    <s v="Small"/>
    <n v="2"/>
    <n v="74.7"/>
    <n v="12"/>
    <n v="22"/>
    <n v="108.7"/>
    <n v="249"/>
    <n v="5"/>
    <n v="473.1"/>
    <n v="255.7"/>
    <n v="54.05"/>
    <x v="3"/>
    <s v="Dine-In"/>
    <s v="Rohan"/>
    <n v="3"/>
    <s v="Completed"/>
  </r>
  <r>
    <x v="196"/>
    <d v="2025-10-03T00:00:00"/>
    <s v="09:45"/>
    <s v="Friday"/>
    <x v="0"/>
    <s v="Q4"/>
    <s v="Autumn"/>
    <s v="S07"/>
    <x v="3"/>
    <x v="3"/>
    <s v="South"/>
    <s v="C2197"/>
    <x v="0"/>
    <s v="Gold"/>
    <s v="P001"/>
    <x v="1"/>
    <x v="1"/>
    <s v="Large"/>
    <n v="3"/>
    <n v="62.58"/>
    <n v="12"/>
    <n v="22"/>
    <n v="96.58"/>
    <n v="208.6"/>
    <n v="0"/>
    <n v="625.79999999999995"/>
    <n v="336.06"/>
    <n v="53.7"/>
    <x v="2"/>
    <s v="Takeaway"/>
    <s v="Kabir"/>
    <n v="3"/>
    <s v="Completed"/>
  </r>
  <r>
    <x v="197"/>
    <d v="2025-11-28T00:00:00"/>
    <s v="14:45"/>
    <s v="Friday"/>
    <x v="1"/>
    <s v="Q4"/>
    <s v="Autumn"/>
    <s v="S14"/>
    <x v="4"/>
    <x v="4"/>
    <s v="North"/>
    <s v="C2198"/>
    <x v="0"/>
    <s v="Gold"/>
    <s v="P034"/>
    <x v="0"/>
    <x v="0"/>
    <s v="Large"/>
    <n v="1"/>
    <n v="108.78"/>
    <n v="12"/>
    <n v="22"/>
    <n v="142.78"/>
    <n v="362.6"/>
    <n v="0"/>
    <n v="362.6"/>
    <n v="219.82"/>
    <n v="60.62"/>
    <x v="2"/>
    <s v="Delivery"/>
    <s v="Kabir"/>
    <n v="5"/>
    <s v="Completed"/>
  </r>
  <r>
    <x v="198"/>
    <d v="2025-11-15T00:00:00"/>
    <s v="14:00"/>
    <s v="Saturday"/>
    <x v="1"/>
    <s v="Q4"/>
    <s v="Autumn"/>
    <s v="S04"/>
    <x v="5"/>
    <x v="5"/>
    <s v="West"/>
    <s v="C2199"/>
    <x v="2"/>
    <s v="Platinum"/>
    <s v="P036"/>
    <x v="11"/>
    <x v="0"/>
    <s v="Small"/>
    <n v="2"/>
    <n v="47.7"/>
    <n v="12"/>
    <n v="22"/>
    <n v="81.7"/>
    <n v="159"/>
    <n v="15"/>
    <n v="270.3"/>
    <n v="106.9"/>
    <n v="39.549999999999997"/>
    <x v="3"/>
    <s v="Dine-In"/>
    <s v="Kabir"/>
    <n v="4"/>
    <s v="Completed"/>
  </r>
  <r>
    <x v="199"/>
    <d v="2025-05-31T00:00:00"/>
    <s v="09:30"/>
    <s v="Saturday"/>
    <x v="7"/>
    <s v="Q2"/>
    <s v="Summer"/>
    <s v="S04"/>
    <x v="5"/>
    <x v="5"/>
    <s v="West"/>
    <s v="C2200"/>
    <x v="0"/>
    <s v="Silver"/>
    <s v="P001"/>
    <x v="1"/>
    <x v="1"/>
    <s v="Large"/>
    <n v="2"/>
    <n v="62.58"/>
    <n v="12"/>
    <n v="22"/>
    <n v="96.58"/>
    <n v="208.6"/>
    <n v="10"/>
    <n v="375.48"/>
    <n v="182.32"/>
    <n v="48.56"/>
    <x v="3"/>
    <s v="Dine-In"/>
    <s v="Rohan"/>
    <n v="5"/>
    <s v="Completed"/>
  </r>
  <r>
    <x v="200"/>
    <d v="2025-02-18T00:00:00"/>
    <s v="18:00"/>
    <s v="Tuesday"/>
    <x v="3"/>
    <s v="Q1"/>
    <s v="Winter"/>
    <s v="S07"/>
    <x v="3"/>
    <x v="3"/>
    <s v="South"/>
    <s v="C2201"/>
    <x v="2"/>
    <s v="Gold"/>
    <s v="P003"/>
    <x v="3"/>
    <x v="1"/>
    <s v="Medium"/>
    <n v="1"/>
    <n v="78.84"/>
    <n v="12"/>
    <n v="22"/>
    <n v="112.84"/>
    <n v="262.8"/>
    <n v="0"/>
    <n v="262.8"/>
    <n v="149.96"/>
    <n v="57.06"/>
    <x v="0"/>
    <s v="Dine-In"/>
    <s v="Meera"/>
    <n v="5"/>
    <s v="Completed"/>
  </r>
  <r>
    <x v="201"/>
    <d v="2025-02-07T00:00:00"/>
    <s v="08:45"/>
    <s v="Friday"/>
    <x v="3"/>
    <s v="Q1"/>
    <s v="Winter"/>
    <s v="S14"/>
    <x v="4"/>
    <x v="4"/>
    <s v="North"/>
    <s v="C2202"/>
    <x v="2"/>
    <s v="Silver"/>
    <s v="P003"/>
    <x v="3"/>
    <x v="1"/>
    <s v="Small"/>
    <n v="1"/>
    <n v="65.7"/>
    <n v="12"/>
    <n v="22"/>
    <n v="99.7"/>
    <n v="219"/>
    <n v="5"/>
    <n v="208.05"/>
    <n v="108.35"/>
    <n v="52.08"/>
    <x v="0"/>
    <s v="Dine-In"/>
    <s v="Aarav"/>
    <n v="5"/>
    <s v="Completed"/>
  </r>
  <r>
    <x v="202"/>
    <d v="2025-01-18T00:00:00"/>
    <s v="17:30"/>
    <s v="Saturday"/>
    <x v="9"/>
    <s v="Q1"/>
    <s v="Winter"/>
    <s v="S04"/>
    <x v="5"/>
    <x v="5"/>
    <s v="West"/>
    <s v="C2203"/>
    <x v="0"/>
    <s v="Silver"/>
    <s v="P003"/>
    <x v="3"/>
    <x v="1"/>
    <s v="Large"/>
    <n v="1"/>
    <n v="91.98"/>
    <n v="12"/>
    <n v="22"/>
    <n v="125.98"/>
    <n v="306.60000000000002"/>
    <n v="15"/>
    <n v="260.61"/>
    <n v="134.63"/>
    <n v="51.66"/>
    <x v="1"/>
    <s v="Dine-In"/>
    <s v="Aarav"/>
    <n v="5"/>
    <s v="Completed"/>
  </r>
  <r>
    <x v="203"/>
    <d v="2025-12-01T00:00:00"/>
    <s v="13:15"/>
    <s v="Monday"/>
    <x v="8"/>
    <s v="Q4"/>
    <s v="Winter"/>
    <s v="S07"/>
    <x v="3"/>
    <x v="3"/>
    <s v="South"/>
    <s v="C2204"/>
    <x v="2"/>
    <s v="Platinum"/>
    <s v="P004"/>
    <x v="10"/>
    <x v="1"/>
    <s v="Large"/>
    <n v="1"/>
    <n v="70.98"/>
    <n v="12"/>
    <n v="22"/>
    <n v="104.98"/>
    <n v="236.6"/>
    <n v="0"/>
    <n v="236.6"/>
    <n v="131.62"/>
    <n v="55.63"/>
    <x v="3"/>
    <s v="Delivery"/>
    <s v="Meera"/>
    <n v="3"/>
    <s v="Completed"/>
  </r>
  <r>
    <x v="204"/>
    <d v="2025-09-07T00:00:00"/>
    <s v="13:00"/>
    <s v="Sunday"/>
    <x v="2"/>
    <s v="Q3"/>
    <s v="Monsoon"/>
    <s v="S12"/>
    <x v="2"/>
    <x v="2"/>
    <s v="East"/>
    <s v="C2205"/>
    <x v="2"/>
    <s v="Silver"/>
    <s v="P013"/>
    <x v="5"/>
    <x v="2"/>
    <s v="Large"/>
    <n v="2"/>
    <n v="54.18"/>
    <n v="12"/>
    <n v="22"/>
    <n v="88.18"/>
    <n v="180.6"/>
    <n v="10"/>
    <n v="325.08"/>
    <n v="148.72"/>
    <n v="45.75"/>
    <x v="0"/>
    <s v="Dine-In"/>
    <s v="Meera"/>
    <n v="3"/>
    <s v="Completed"/>
  </r>
  <r>
    <x v="205"/>
    <d v="2025-08-02T00:00:00"/>
    <s v="09:30"/>
    <s v="Saturday"/>
    <x v="4"/>
    <s v="Q3"/>
    <s v="Monsoon"/>
    <s v="S07"/>
    <x v="3"/>
    <x v="3"/>
    <s v="South"/>
    <s v="C2206"/>
    <x v="1"/>
    <s v="Gold"/>
    <s v="P001"/>
    <x v="1"/>
    <x v="1"/>
    <s v="Small"/>
    <n v="3"/>
    <n v="44.7"/>
    <n v="12"/>
    <n v="22"/>
    <n v="78.7"/>
    <n v="149"/>
    <n v="10"/>
    <n v="402.3"/>
    <n v="166.2"/>
    <n v="41.31"/>
    <x v="4"/>
    <s v="Takeaway"/>
    <s v="Meera"/>
    <n v="4"/>
    <s v="Completed"/>
  </r>
  <r>
    <x v="206"/>
    <d v="2025-01-29T00:00:00"/>
    <s v="13:30"/>
    <s v="Wednesday"/>
    <x v="9"/>
    <s v="Q1"/>
    <s v="Winter"/>
    <s v="S01"/>
    <x v="0"/>
    <x v="0"/>
    <s v="North"/>
    <s v="C2207"/>
    <x v="1"/>
    <s v="Platinum"/>
    <s v="P034"/>
    <x v="0"/>
    <x v="0"/>
    <s v="Large"/>
    <n v="1"/>
    <n v="108.78"/>
    <n v="12"/>
    <n v="22"/>
    <n v="142.78"/>
    <n v="362.6"/>
    <n v="10"/>
    <n v="326.33999999999997"/>
    <n v="183.56"/>
    <n v="56.25"/>
    <x v="2"/>
    <s v="Takeaway"/>
    <s v="Rohan"/>
    <n v="3"/>
    <s v="Completed"/>
  </r>
  <r>
    <x v="207"/>
    <d v="2025-08-22T00:00:00"/>
    <s v="08:15"/>
    <s v="Friday"/>
    <x v="4"/>
    <s v="Q3"/>
    <s v="Monsoon"/>
    <s v="S12"/>
    <x v="2"/>
    <x v="2"/>
    <s v="East"/>
    <s v="C2208"/>
    <x v="1"/>
    <s v="Silver"/>
    <s v="P001"/>
    <x v="1"/>
    <x v="1"/>
    <s v="Large"/>
    <n v="2"/>
    <n v="62.58"/>
    <n v="12"/>
    <n v="22"/>
    <n v="96.58"/>
    <n v="208.6"/>
    <n v="5"/>
    <n v="396.34"/>
    <n v="203.18"/>
    <n v="51.26"/>
    <x v="1"/>
    <s v="Takeaway"/>
    <s v="Rohan"/>
    <n v="4"/>
    <s v="Completed"/>
  </r>
  <r>
    <x v="208"/>
    <d v="2025-08-07T00:00:00"/>
    <s v="14:30"/>
    <s v="Thursday"/>
    <x v="4"/>
    <s v="Q3"/>
    <s v="Monsoon"/>
    <s v="S07"/>
    <x v="3"/>
    <x v="3"/>
    <s v="South"/>
    <s v="C2209"/>
    <x v="1"/>
    <s v="Gold"/>
    <s v="P027"/>
    <x v="13"/>
    <x v="3"/>
    <s v="Large"/>
    <n v="2"/>
    <n v="96.18"/>
    <n v="12"/>
    <n v="22"/>
    <n v="130.18"/>
    <n v="320.60000000000002"/>
    <n v="5"/>
    <n v="609.14"/>
    <n v="348.78"/>
    <n v="57.26"/>
    <x v="2"/>
    <s v="Dine-In"/>
    <s v="Kabir"/>
    <n v="3"/>
    <s v="Completed"/>
  </r>
  <r>
    <x v="209"/>
    <d v="2025-11-29T00:00:00"/>
    <s v="18:00"/>
    <s v="Saturday"/>
    <x v="1"/>
    <s v="Q4"/>
    <s v="Autumn"/>
    <s v="S04"/>
    <x v="5"/>
    <x v="5"/>
    <s v="West"/>
    <s v="C2210"/>
    <x v="1"/>
    <s v="Platinum"/>
    <s v="P042"/>
    <x v="14"/>
    <x v="5"/>
    <s v="Large"/>
    <n v="1"/>
    <n v="138.18"/>
    <n v="12"/>
    <n v="22"/>
    <n v="172.18"/>
    <n v="460.6"/>
    <n v="10"/>
    <n v="414.54"/>
    <n v="242.36"/>
    <n v="58.46"/>
    <x v="0"/>
    <s v="Delivery"/>
    <s v="Rohan"/>
    <n v="5"/>
    <s v="Completed"/>
  </r>
  <r>
    <x v="210"/>
    <d v="2025-11-19T00:00:00"/>
    <s v="17:45"/>
    <s v="Wednesday"/>
    <x v="1"/>
    <s v="Q4"/>
    <s v="Autumn"/>
    <s v="S01"/>
    <x v="0"/>
    <x v="0"/>
    <s v="North"/>
    <s v="C2211"/>
    <x v="0"/>
    <s v="Silver"/>
    <s v="P004"/>
    <x v="10"/>
    <x v="1"/>
    <s v="Medium"/>
    <n v="3"/>
    <n v="60.84"/>
    <n v="12"/>
    <n v="22"/>
    <n v="94.84"/>
    <n v="202.8"/>
    <n v="0"/>
    <n v="608.4"/>
    <n v="323.88"/>
    <n v="53.23"/>
    <x v="0"/>
    <s v="Takeaway"/>
    <s v="Diya"/>
    <n v="5"/>
    <s v="Completed"/>
  </r>
  <r>
    <x v="211"/>
    <d v="2025-04-19T00:00:00"/>
    <s v="08:30"/>
    <s v="Saturday"/>
    <x v="11"/>
    <s v="Q2"/>
    <s v="Summer"/>
    <s v="S04"/>
    <x v="5"/>
    <x v="5"/>
    <s v="West"/>
    <s v="C2212"/>
    <x v="2"/>
    <s v="Gold"/>
    <s v="P042"/>
    <x v="14"/>
    <x v="5"/>
    <s v="Small"/>
    <n v="3"/>
    <n v="98.7"/>
    <n v="12"/>
    <n v="22"/>
    <n v="132.69999999999999"/>
    <n v="329"/>
    <n v="15"/>
    <n v="838.95"/>
    <n v="440.85"/>
    <n v="52.55"/>
    <x v="2"/>
    <s v="Takeaway"/>
    <s v="Diya"/>
    <n v="4"/>
    <s v="Completed"/>
  </r>
  <r>
    <x v="212"/>
    <d v="2025-03-24T00:00:00"/>
    <s v="14:00"/>
    <s v="Monday"/>
    <x v="5"/>
    <s v="Q1"/>
    <s v="Autumn"/>
    <s v="S01"/>
    <x v="0"/>
    <x v="0"/>
    <s v="North"/>
    <s v="C2213"/>
    <x v="1"/>
    <s v="Silver"/>
    <s v="P003"/>
    <x v="3"/>
    <x v="1"/>
    <s v="Medium"/>
    <n v="2"/>
    <n v="78.84"/>
    <n v="12"/>
    <n v="22"/>
    <n v="112.84"/>
    <n v="262.8"/>
    <n v="0"/>
    <n v="525.6"/>
    <n v="299.92"/>
    <n v="57.06"/>
    <x v="3"/>
    <s v="Dine-In"/>
    <s v="Meera"/>
    <n v="4"/>
    <s v="Completed"/>
  </r>
  <r>
    <x v="213"/>
    <d v="2025-06-18T00:00:00"/>
    <s v="13:45"/>
    <s v="Wednesday"/>
    <x v="10"/>
    <s v="Q2"/>
    <s v="Summer"/>
    <s v="S10"/>
    <x v="1"/>
    <x v="1"/>
    <s v="South"/>
    <s v="C2214"/>
    <x v="2"/>
    <s v="Gold"/>
    <s v="P036"/>
    <x v="11"/>
    <x v="0"/>
    <s v="Small"/>
    <n v="1"/>
    <n v="47.7"/>
    <n v="12"/>
    <n v="22"/>
    <n v="81.7"/>
    <n v="159"/>
    <n v="10"/>
    <n v="143.1"/>
    <n v="61.4"/>
    <n v="42.91"/>
    <x v="3"/>
    <s v="Delivery"/>
    <s v="Diya"/>
    <s v="Not Rated"/>
    <s v="Completed"/>
  </r>
  <r>
    <x v="214"/>
    <d v="2025-03-08T00:00:00"/>
    <s v="18:30"/>
    <s v="Saturday"/>
    <x v="5"/>
    <s v="Q1"/>
    <s v="Autumn"/>
    <s v="S07"/>
    <x v="3"/>
    <x v="3"/>
    <s v="South"/>
    <s v="C2215"/>
    <x v="2"/>
    <s v="Silver"/>
    <s v="P003"/>
    <x v="3"/>
    <x v="1"/>
    <s v="Small"/>
    <n v="4"/>
    <n v="65.7"/>
    <n v="12"/>
    <n v="22"/>
    <n v="99.7"/>
    <n v="219"/>
    <n v="10"/>
    <n v="788.4"/>
    <n v="389.6"/>
    <n v="49.42"/>
    <x v="0"/>
    <s v="Takeaway"/>
    <s v="Meera"/>
    <n v="5"/>
    <s v="Completed"/>
  </r>
  <r>
    <x v="215"/>
    <d v="2025-07-03T00:00:00"/>
    <s v="13:30"/>
    <s v="Thursday"/>
    <x v="6"/>
    <s v="Q3"/>
    <s v="Monsoon"/>
    <s v="S04"/>
    <x v="5"/>
    <x v="5"/>
    <s v="West"/>
    <s v="C2216"/>
    <x v="0"/>
    <s v="Silver"/>
    <s v="P013"/>
    <x v="5"/>
    <x v="2"/>
    <s v="Small"/>
    <n v="3"/>
    <n v="38.700000000000003"/>
    <n v="12"/>
    <n v="22"/>
    <n v="72.7"/>
    <n v="129"/>
    <n v="0"/>
    <n v="387"/>
    <n v="168.9"/>
    <n v="43.64"/>
    <x v="3"/>
    <s v="Delivery"/>
    <s v="Kabir"/>
    <n v="5"/>
    <s v="Completed"/>
  </r>
  <r>
    <x v="216"/>
    <d v="2025-10-21T00:00:00"/>
    <s v="17:30"/>
    <s v="Tuesday"/>
    <x v="0"/>
    <s v="Q4"/>
    <s v="Autumn"/>
    <s v="S04"/>
    <x v="5"/>
    <x v="5"/>
    <s v="West"/>
    <s v="C2217"/>
    <x v="0"/>
    <s v="Platinum"/>
    <s v="P003"/>
    <x v="3"/>
    <x v="1"/>
    <s v="Medium"/>
    <n v="3"/>
    <n v="78.84"/>
    <n v="12"/>
    <n v="22"/>
    <n v="112.84"/>
    <n v="262.8"/>
    <n v="0"/>
    <n v="788.4"/>
    <n v="449.88"/>
    <n v="57.06"/>
    <x v="1"/>
    <s v="Dine-In"/>
    <s v="Meera"/>
    <n v="4"/>
    <s v="Completed"/>
  </r>
  <r>
    <x v="217"/>
    <d v="2025-05-29T00:00:00"/>
    <s v="18:30"/>
    <s v="Thursday"/>
    <x v="7"/>
    <s v="Q2"/>
    <s v="Summer"/>
    <s v="S04"/>
    <x v="5"/>
    <x v="5"/>
    <s v="West"/>
    <s v="C2218"/>
    <x v="0"/>
    <s v="Gold"/>
    <s v="P036"/>
    <x v="11"/>
    <x v="0"/>
    <s v="Large"/>
    <n v="2"/>
    <n v="66.78"/>
    <n v="12"/>
    <n v="22"/>
    <n v="100.78"/>
    <n v="222.6"/>
    <n v="0"/>
    <n v="445.2"/>
    <n v="243.64"/>
    <n v="54.73"/>
    <x v="3"/>
    <s v="Takeaway"/>
    <s v="Diya"/>
    <n v="5"/>
    <s v="Completed"/>
  </r>
  <r>
    <x v="218"/>
    <d v="2025-08-29T00:00:00"/>
    <s v="09:15"/>
    <s v="Friday"/>
    <x v="4"/>
    <s v="Q3"/>
    <s v="Monsoon"/>
    <s v="S14"/>
    <x v="4"/>
    <x v="4"/>
    <s v="North"/>
    <s v="C2219"/>
    <x v="2"/>
    <s v="Gold"/>
    <s v="P013"/>
    <x v="5"/>
    <x v="2"/>
    <s v="Medium"/>
    <n v="3"/>
    <n v="46.44"/>
    <n v="12"/>
    <n v="22"/>
    <n v="80.44"/>
    <n v="154.80000000000001"/>
    <n v="0"/>
    <n v="464.4"/>
    <n v="223.08"/>
    <n v="48.04"/>
    <x v="2"/>
    <s v="Delivery"/>
    <s v="Meera"/>
    <n v="5"/>
    <s v="Completed"/>
  </r>
  <r>
    <x v="219"/>
    <d v="2025-01-08T00:00:00"/>
    <s v="18:00"/>
    <s v="Wednesday"/>
    <x v="9"/>
    <s v="Q1"/>
    <s v="Winter"/>
    <s v="S10"/>
    <x v="1"/>
    <x v="1"/>
    <s v="South"/>
    <s v="C2220"/>
    <x v="0"/>
    <s v="Silver"/>
    <s v="P004"/>
    <x v="10"/>
    <x v="1"/>
    <s v="Large"/>
    <n v="3"/>
    <n v="70.98"/>
    <n v="12"/>
    <n v="22"/>
    <n v="104.98"/>
    <n v="236.6"/>
    <n v="10"/>
    <n v="638.82000000000005"/>
    <n v="323.88"/>
    <n v="50.7"/>
    <x v="2"/>
    <s v="Takeaway"/>
    <s v="Kabir"/>
    <n v="5"/>
    <s v="Completed"/>
  </r>
  <r>
    <x v="220"/>
    <d v="2025-06-09T00:00:00"/>
    <s v="17:00"/>
    <s v="Monday"/>
    <x v="10"/>
    <s v="Q2"/>
    <s v="Summer"/>
    <s v="S14"/>
    <x v="4"/>
    <x v="4"/>
    <s v="North"/>
    <s v="C2221"/>
    <x v="0"/>
    <s v="Gold"/>
    <s v="P002"/>
    <x v="2"/>
    <x v="1"/>
    <s v="Small"/>
    <n v="3"/>
    <n v="71.7"/>
    <n v="12"/>
    <n v="22"/>
    <n v="105.7"/>
    <n v="239"/>
    <n v="0"/>
    <n v="717"/>
    <n v="399.9"/>
    <n v="55.77"/>
    <x v="3"/>
    <s v="Dine-In"/>
    <s v="Kabir"/>
    <n v="5"/>
    <s v="Completed"/>
  </r>
  <r>
    <x v="221"/>
    <d v="2025-08-03T00:00:00"/>
    <s v="18:15"/>
    <s v="Sunday"/>
    <x v="4"/>
    <s v="Q3"/>
    <s v="Monsoon"/>
    <s v="S12"/>
    <x v="2"/>
    <x v="2"/>
    <s v="East"/>
    <s v="C2222"/>
    <x v="0"/>
    <s v="Platinum"/>
    <s v="P003"/>
    <x v="3"/>
    <x v="1"/>
    <s v="Large"/>
    <n v="3"/>
    <n v="91.98"/>
    <n v="12"/>
    <n v="22"/>
    <n v="125.98"/>
    <n v="306.60000000000002"/>
    <n v="10"/>
    <n v="827.82"/>
    <n v="449.88"/>
    <n v="54.35"/>
    <x v="1"/>
    <s v="Delivery"/>
    <s v="Aarav"/>
    <n v="5"/>
    <s v="Completed"/>
  </r>
  <r>
    <x v="222"/>
    <d v="2025-12-15T00:00:00"/>
    <s v="17:00"/>
    <s v="Monday"/>
    <x v="8"/>
    <s v="Q4"/>
    <s v="Winter"/>
    <s v="S07"/>
    <x v="3"/>
    <x v="3"/>
    <s v="South"/>
    <s v="C2223"/>
    <x v="2"/>
    <s v="Platinum"/>
    <s v="P002"/>
    <x v="2"/>
    <x v="1"/>
    <s v="Medium"/>
    <n v="2"/>
    <n v="86.04"/>
    <n v="12"/>
    <n v="22"/>
    <n v="120.04"/>
    <n v="286.8"/>
    <n v="0"/>
    <n v="573.6"/>
    <n v="333.52"/>
    <n v="58.15"/>
    <x v="3"/>
    <s v="Takeaway"/>
    <s v="Diya"/>
    <n v="5"/>
    <s v="Completed"/>
  </r>
  <r>
    <x v="223"/>
    <d v="2025-06-17T00:00:00"/>
    <s v="13:15"/>
    <s v="Tuesday"/>
    <x v="10"/>
    <s v="Q2"/>
    <s v="Summer"/>
    <s v="S14"/>
    <x v="4"/>
    <x v="4"/>
    <s v="North"/>
    <s v="C2224"/>
    <x v="1"/>
    <s v="Gold"/>
    <s v="P033"/>
    <x v="8"/>
    <x v="0"/>
    <s v="Small"/>
    <n v="1"/>
    <n v="74.7"/>
    <n v="12"/>
    <n v="22"/>
    <n v="108.7"/>
    <n v="249"/>
    <n v="0"/>
    <n v="249"/>
    <n v="140.30000000000001"/>
    <n v="56.35"/>
    <x v="1"/>
    <s v="Delivery"/>
    <s v="Aarav"/>
    <n v="4"/>
    <s v="Completed"/>
  </r>
  <r>
    <x v="224"/>
    <d v="2025-08-27T00:00:00"/>
    <s v="09:00"/>
    <s v="Wednesday"/>
    <x v="4"/>
    <s v="Q3"/>
    <s v="Monsoon"/>
    <s v="S04"/>
    <x v="5"/>
    <x v="5"/>
    <s v="West"/>
    <s v="C2225"/>
    <x v="1"/>
    <s v="Silver"/>
    <s v="P014"/>
    <x v="4"/>
    <x v="2"/>
    <s v="Small"/>
    <n v="2"/>
    <n v="44.7"/>
    <n v="12"/>
    <n v="22"/>
    <n v="78.7"/>
    <n v="149"/>
    <n v="5"/>
    <n v="283.10000000000002"/>
    <n v="125.7"/>
    <n v="44.4"/>
    <x v="2"/>
    <s v="Takeaway"/>
    <s v="Aarav"/>
    <n v="5"/>
    <s v="Completed"/>
  </r>
  <r>
    <x v="225"/>
    <d v="2025-11-08T00:00:00"/>
    <s v="08:15"/>
    <s v="Saturday"/>
    <x v="1"/>
    <s v="Q4"/>
    <s v="Autumn"/>
    <s v="S07"/>
    <x v="3"/>
    <x v="3"/>
    <s v="South"/>
    <s v="C2226"/>
    <x v="1"/>
    <s v="Platinum"/>
    <s v="P004"/>
    <x v="10"/>
    <x v="1"/>
    <s v="Large"/>
    <n v="2"/>
    <n v="70.98"/>
    <n v="12"/>
    <n v="22"/>
    <n v="104.98"/>
    <n v="236.6"/>
    <n v="10"/>
    <n v="425.88"/>
    <n v="215.92"/>
    <n v="50.7"/>
    <x v="1"/>
    <s v="Dine-In"/>
    <s v="Kabir"/>
    <n v="4"/>
    <s v="Completed"/>
  </r>
  <r>
    <x v="226"/>
    <d v="2025-09-29T00:00:00"/>
    <s v="17:30"/>
    <s v="Monday"/>
    <x v="2"/>
    <s v="Q3"/>
    <s v="Monsoon"/>
    <s v="S07"/>
    <x v="3"/>
    <x v="3"/>
    <s v="South"/>
    <s v="C2227"/>
    <x v="1"/>
    <s v="Platinum"/>
    <s v="P001"/>
    <x v="1"/>
    <x v="1"/>
    <s v="Medium"/>
    <n v="3"/>
    <n v="53.64"/>
    <n v="12"/>
    <n v="22"/>
    <n v="87.64"/>
    <n v="178.8"/>
    <n v="10"/>
    <n v="482.76"/>
    <n v="219.84"/>
    <n v="45.54"/>
    <x v="1"/>
    <s v="Dine-In"/>
    <s v="Aarav"/>
    <n v="5"/>
    <s v="Completed"/>
  </r>
  <r>
    <x v="227"/>
    <d v="2025-11-06T00:00:00"/>
    <s v="18:15"/>
    <s v="Thursday"/>
    <x v="1"/>
    <s v="Q4"/>
    <s v="Autumn"/>
    <s v="S01"/>
    <x v="0"/>
    <x v="0"/>
    <s v="North"/>
    <s v="C2228"/>
    <x v="2"/>
    <s v="Silver"/>
    <s v="P003"/>
    <x v="3"/>
    <x v="1"/>
    <s v="Large"/>
    <n v="1"/>
    <n v="91.98"/>
    <n v="12"/>
    <n v="22"/>
    <n v="125.98"/>
    <n v="306.60000000000002"/>
    <n v="0"/>
    <n v="306.60000000000002"/>
    <n v="180.62"/>
    <n v="58.91"/>
    <x v="0"/>
    <s v="Delivery"/>
    <s v="Meera"/>
    <n v="4"/>
    <s v="Completed"/>
  </r>
  <r>
    <x v="228"/>
    <d v="2025-07-10T00:00:00"/>
    <s v="08:00"/>
    <s v="Thursday"/>
    <x v="6"/>
    <s v="Q3"/>
    <s v="Monsoon"/>
    <s v="S01"/>
    <x v="0"/>
    <x v="0"/>
    <s v="North"/>
    <s v="C2229"/>
    <x v="0"/>
    <s v="Platinum"/>
    <s v="P013"/>
    <x v="5"/>
    <x v="2"/>
    <s v="Medium"/>
    <n v="1"/>
    <n v="46.44"/>
    <n v="12"/>
    <n v="22"/>
    <n v="80.44"/>
    <n v="154.80000000000001"/>
    <n v="5"/>
    <n v="147.06"/>
    <n v="66.62"/>
    <n v="45.3"/>
    <x v="3"/>
    <s v="Delivery"/>
    <s v="Rohan"/>
    <n v="4"/>
    <s v="Completed"/>
  </r>
  <r>
    <x v="229"/>
    <d v="2025-11-16T00:00:00"/>
    <s v="17:30"/>
    <s v="Sunday"/>
    <x v="1"/>
    <s v="Q4"/>
    <s v="Autumn"/>
    <s v="S04"/>
    <x v="5"/>
    <x v="5"/>
    <s v="West"/>
    <s v="C2230"/>
    <x v="1"/>
    <s v="Platinum"/>
    <s v="P001"/>
    <x v="1"/>
    <x v="1"/>
    <s v="Large"/>
    <n v="2"/>
    <n v="62.58"/>
    <n v="12"/>
    <n v="22"/>
    <n v="96.58"/>
    <n v="208.6"/>
    <n v="10"/>
    <n v="375.48"/>
    <n v="182.32"/>
    <n v="48.56"/>
    <x v="3"/>
    <s v="Dine-In"/>
    <s v="Kabir"/>
    <n v="5"/>
    <s v="Completed"/>
  </r>
  <r>
    <x v="230"/>
    <d v="2025-09-29T00:00:00"/>
    <s v="09:00"/>
    <s v="Monday"/>
    <x v="2"/>
    <s v="Q3"/>
    <s v="Monsoon"/>
    <s v="S01"/>
    <x v="0"/>
    <x v="0"/>
    <s v="North"/>
    <s v="C2231"/>
    <x v="1"/>
    <s v="Platinum"/>
    <s v="P002"/>
    <x v="2"/>
    <x v="1"/>
    <s v="Medium"/>
    <n v="3"/>
    <n v="86.04"/>
    <n v="12"/>
    <n v="22"/>
    <n v="120.04"/>
    <n v="286.8"/>
    <n v="0"/>
    <n v="860.4"/>
    <n v="500.28"/>
    <n v="58.15"/>
    <x v="3"/>
    <s v="Takeaway"/>
    <s v="Meera"/>
    <n v="5"/>
    <s v="Completed"/>
  </r>
  <r>
    <x v="231"/>
    <d v="2025-11-27T00:00:00"/>
    <s v="09:00"/>
    <s v="Thursday"/>
    <x v="1"/>
    <s v="Q4"/>
    <s v="Autumn"/>
    <s v="S12"/>
    <x v="2"/>
    <x v="2"/>
    <s v="East"/>
    <s v="C2232"/>
    <x v="1"/>
    <s v="Gold"/>
    <s v="P004"/>
    <x v="10"/>
    <x v="1"/>
    <s v="Medium"/>
    <n v="1"/>
    <n v="60.84"/>
    <n v="12"/>
    <n v="22"/>
    <n v="94.84"/>
    <n v="202.8"/>
    <n v="5"/>
    <n v="192.66"/>
    <n v="97.82"/>
    <n v="50.77"/>
    <x v="3"/>
    <s v="Takeaway"/>
    <s v="Rohan"/>
    <n v="5"/>
    <s v="Completed"/>
  </r>
  <r>
    <x v="232"/>
    <d v="2025-07-19T00:00:00"/>
    <s v="09:30"/>
    <s v="Saturday"/>
    <x v="6"/>
    <s v="Q3"/>
    <s v="Monsoon"/>
    <s v="S04"/>
    <x v="5"/>
    <x v="5"/>
    <s v="West"/>
    <s v="C2233"/>
    <x v="2"/>
    <s v="Silver"/>
    <s v="P013"/>
    <x v="5"/>
    <x v="2"/>
    <s v="Medium"/>
    <n v="3"/>
    <n v="46.44"/>
    <n v="12"/>
    <n v="22"/>
    <n v="80.44"/>
    <n v="154.80000000000001"/>
    <n v="10"/>
    <n v="417.96"/>
    <n v="176.64"/>
    <n v="42.26"/>
    <x v="0"/>
    <s v="Dine-In"/>
    <s v="Meera"/>
    <n v="4"/>
    <s v="Completed"/>
  </r>
  <r>
    <x v="233"/>
    <d v="2025-08-07T00:00:00"/>
    <s v="13:00"/>
    <s v="Thursday"/>
    <x v="4"/>
    <s v="Q3"/>
    <s v="Monsoon"/>
    <s v="S04"/>
    <x v="5"/>
    <x v="5"/>
    <s v="West"/>
    <s v="C2234"/>
    <x v="2"/>
    <s v="Silver"/>
    <s v="P014"/>
    <x v="4"/>
    <x v="2"/>
    <s v="Small"/>
    <n v="3"/>
    <n v="44.7"/>
    <n v="12"/>
    <n v="22"/>
    <n v="78.7"/>
    <n v="149"/>
    <n v="0"/>
    <n v="402.3"/>
    <n v="166.2"/>
    <n v="41.31"/>
    <x v="0"/>
    <s v="Dine-In"/>
    <s v="Diya"/>
    <n v="5"/>
    <s v="Completed"/>
  </r>
  <r>
    <x v="234"/>
    <d v="2025-10-01T00:00:00"/>
    <s v="13:30"/>
    <s v="Wednesday"/>
    <x v="0"/>
    <s v="Q4"/>
    <s v="Autumn"/>
    <s v="S07"/>
    <x v="3"/>
    <x v="3"/>
    <s v="South"/>
    <s v="C2235"/>
    <x v="2"/>
    <s v="Silver"/>
    <s v="P004"/>
    <x v="10"/>
    <x v="1"/>
    <s v="Small"/>
    <n v="3"/>
    <n v="50.7"/>
    <n v="12"/>
    <n v="22"/>
    <n v="84.7"/>
    <n v="169"/>
    <n v="0"/>
    <n v="507"/>
    <n v="252.9"/>
    <n v="49.88"/>
    <x v="2"/>
    <s v="Dine-In"/>
    <s v="Aarav"/>
    <n v="5"/>
    <s v="Completed"/>
  </r>
  <r>
    <x v="235"/>
    <d v="2025-11-27T00:00:00"/>
    <s v="14:15"/>
    <s v="Thursday"/>
    <x v="1"/>
    <s v="Q4"/>
    <s v="Autumn"/>
    <s v="S14"/>
    <x v="4"/>
    <x v="4"/>
    <s v="North"/>
    <s v="C2236"/>
    <x v="1"/>
    <s v="Silver"/>
    <s v="P004"/>
    <x v="10"/>
    <x v="1"/>
    <s v="Small"/>
    <n v="3"/>
    <n v="50.7"/>
    <n v="12"/>
    <n v="22"/>
    <n v="84.7"/>
    <n v="169"/>
    <n v="5"/>
    <n v="481.65"/>
    <n v="227.55"/>
    <n v="47.24"/>
    <x v="0"/>
    <s v="Takeaway"/>
    <s v="Kabir"/>
    <n v="5"/>
    <s v="Completed"/>
  </r>
  <r>
    <x v="236"/>
    <d v="2025-09-18T00:00:00"/>
    <s v="18:30"/>
    <s v="Thursday"/>
    <x v="2"/>
    <s v="Q3"/>
    <s v="Monsoon"/>
    <s v="S12"/>
    <x v="2"/>
    <x v="2"/>
    <s v="East"/>
    <s v="C2237"/>
    <x v="1"/>
    <s v="Platinum"/>
    <s v="P013"/>
    <x v="5"/>
    <x v="2"/>
    <s v="Large"/>
    <n v="3"/>
    <n v="54.18"/>
    <n v="12"/>
    <n v="22"/>
    <n v="88.18"/>
    <n v="180.6"/>
    <n v="0"/>
    <n v="541.79999999999995"/>
    <n v="277.26"/>
    <n v="51.17"/>
    <x v="3"/>
    <s v="Delivery"/>
    <s v="Kabir"/>
    <n v="5"/>
    <s v="Completed"/>
  </r>
  <r>
    <x v="237"/>
    <d v="2025-03-15T00:00:00"/>
    <s v="17:45"/>
    <s v="Saturday"/>
    <x v="5"/>
    <s v="Q1"/>
    <s v="Autumn"/>
    <s v="S07"/>
    <x v="3"/>
    <x v="3"/>
    <s v="South"/>
    <s v="C2238"/>
    <x v="1"/>
    <s v="Gold"/>
    <s v="P042"/>
    <x v="14"/>
    <x v="5"/>
    <s v="Large"/>
    <n v="2"/>
    <n v="138.18"/>
    <n v="12"/>
    <n v="22"/>
    <n v="172.18"/>
    <n v="460.6"/>
    <n v="10"/>
    <n v="829.08"/>
    <n v="484.72"/>
    <n v="58.46"/>
    <x v="1"/>
    <s v="Dine-In"/>
    <s v="Rohan"/>
    <n v="5"/>
    <s v="Completed"/>
  </r>
  <r>
    <x v="238"/>
    <d v="2025-05-27T00:00:00"/>
    <s v="18:30"/>
    <s v="Tuesday"/>
    <x v="7"/>
    <s v="Q2"/>
    <s v="Summer"/>
    <s v="S14"/>
    <x v="4"/>
    <x v="4"/>
    <s v="North"/>
    <s v="C2239"/>
    <x v="1"/>
    <s v="Silver"/>
    <s v="P004"/>
    <x v="10"/>
    <x v="1"/>
    <s v="Large"/>
    <n v="2"/>
    <n v="70.98"/>
    <n v="12"/>
    <n v="22"/>
    <n v="104.98"/>
    <n v="236.6"/>
    <n v="0"/>
    <n v="473.2"/>
    <n v="263.24"/>
    <n v="55.63"/>
    <x v="1"/>
    <s v="Dine-In"/>
    <s v="Diya"/>
    <n v="5"/>
    <s v="Completed"/>
  </r>
  <r>
    <x v="239"/>
    <d v="2025-12-20T00:00:00"/>
    <s v="09:15"/>
    <s v="Saturday"/>
    <x v="8"/>
    <s v="Q4"/>
    <s v="Winter"/>
    <s v="S12"/>
    <x v="2"/>
    <x v="2"/>
    <s v="East"/>
    <s v="C2240"/>
    <x v="0"/>
    <s v="Platinum"/>
    <s v="P013"/>
    <x v="5"/>
    <x v="2"/>
    <s v="Small"/>
    <n v="2"/>
    <n v="38.700000000000003"/>
    <n v="12"/>
    <n v="22"/>
    <n v="72.7"/>
    <n v="129"/>
    <n v="15"/>
    <n v="219.3"/>
    <n v="73.900000000000006"/>
    <n v="33.700000000000003"/>
    <x v="2"/>
    <s v="Dine-In"/>
    <s v="Aarav"/>
    <n v="5"/>
    <s v="Completed"/>
  </r>
  <r>
    <x v="240"/>
    <d v="2025-12-13T00:00:00"/>
    <s v="09:00"/>
    <s v="Saturday"/>
    <x v="8"/>
    <s v="Q4"/>
    <s v="Winter"/>
    <s v="S04"/>
    <x v="5"/>
    <x v="5"/>
    <s v="West"/>
    <s v="C2241"/>
    <x v="0"/>
    <s v="Gold"/>
    <s v="P004"/>
    <x v="10"/>
    <x v="1"/>
    <s v="Medium"/>
    <n v="2"/>
    <n v="60.84"/>
    <n v="12"/>
    <n v="22"/>
    <n v="94.84"/>
    <n v="202.8"/>
    <n v="15"/>
    <n v="344.76"/>
    <n v="155.08000000000001"/>
    <n v="44.98"/>
    <x v="1"/>
    <s v="Takeaway"/>
    <s v="Meera"/>
    <n v="5"/>
    <s v="Completed"/>
  </r>
  <r>
    <x v="241"/>
    <d v="2025-11-27T00:00:00"/>
    <s v="08:45"/>
    <s v="Thursday"/>
    <x v="1"/>
    <s v="Q4"/>
    <s v="Autumn"/>
    <s v="S01"/>
    <x v="0"/>
    <x v="0"/>
    <s v="North"/>
    <s v="C2242"/>
    <x v="2"/>
    <s v="Silver"/>
    <s v="P013"/>
    <x v="5"/>
    <x v="2"/>
    <s v="Large"/>
    <n v="2"/>
    <n v="54.18"/>
    <n v="12"/>
    <n v="22"/>
    <n v="88.18"/>
    <n v="180.6"/>
    <n v="10"/>
    <n v="325.08"/>
    <n v="148.72"/>
    <n v="45.75"/>
    <x v="2"/>
    <s v="Takeaway"/>
    <s v="Meera"/>
    <n v="5"/>
    <s v="Completed"/>
  </r>
  <r>
    <x v="242"/>
    <d v="2025-12-27T00:00:00"/>
    <s v="13:00"/>
    <s v="Saturday"/>
    <x v="8"/>
    <s v="Q4"/>
    <s v="Winter"/>
    <s v="S14"/>
    <x v="4"/>
    <x v="4"/>
    <s v="North"/>
    <s v="C2243"/>
    <x v="2"/>
    <s v="Silver"/>
    <s v="P042"/>
    <x v="14"/>
    <x v="5"/>
    <s v="Large"/>
    <n v="4"/>
    <n v="138.18"/>
    <n v="12"/>
    <n v="22"/>
    <n v="172.18"/>
    <n v="460.6"/>
    <n v="10"/>
    <n v="1658.16"/>
    <n v="969.44"/>
    <n v="58.46"/>
    <x v="0"/>
    <s v="Dine-In"/>
    <s v="Meera"/>
    <n v="4"/>
    <s v="Completed"/>
  </r>
  <r>
    <x v="243"/>
    <d v="2025-11-14T00:00:00"/>
    <s v="18:00"/>
    <s v="Friday"/>
    <x v="1"/>
    <s v="Q4"/>
    <s v="Autumn"/>
    <s v="S04"/>
    <x v="5"/>
    <x v="5"/>
    <s v="West"/>
    <s v="C2244"/>
    <x v="1"/>
    <s v="Platinum"/>
    <s v="P004"/>
    <x v="10"/>
    <x v="1"/>
    <s v="Medium"/>
    <n v="3"/>
    <n v="60.84"/>
    <n v="12"/>
    <n v="22"/>
    <n v="94.84"/>
    <n v="202.8"/>
    <n v="0"/>
    <n v="608.4"/>
    <n v="323.88"/>
    <n v="53.23"/>
    <x v="1"/>
    <s v="Dine-In"/>
    <s v="Diya"/>
    <n v="3"/>
    <s v="Completed"/>
  </r>
  <r>
    <x v="244"/>
    <d v="2025-01-07T00:00:00"/>
    <s v="18:00"/>
    <s v="Tuesday"/>
    <x v="9"/>
    <s v="Q1"/>
    <s v="Winter"/>
    <s v="S14"/>
    <x v="4"/>
    <x v="4"/>
    <s v="North"/>
    <s v="C2245"/>
    <x v="2"/>
    <s v="Silver"/>
    <s v="P003"/>
    <x v="3"/>
    <x v="1"/>
    <s v="Large"/>
    <n v="3"/>
    <n v="91.98"/>
    <n v="12"/>
    <n v="22"/>
    <n v="125.98"/>
    <n v="306.60000000000002"/>
    <n v="0"/>
    <n v="919.8"/>
    <n v="541.86"/>
    <n v="58.91"/>
    <x v="3"/>
    <s v="Delivery"/>
    <s v="Kabir"/>
    <n v="5"/>
    <s v="Completed"/>
  </r>
  <r>
    <x v="245"/>
    <d v="2025-10-16T00:00:00"/>
    <s v="13:45"/>
    <s v="Thursday"/>
    <x v="0"/>
    <s v="Q4"/>
    <s v="Autumn"/>
    <s v="S01"/>
    <x v="0"/>
    <x v="0"/>
    <s v="North"/>
    <s v="C2246"/>
    <x v="2"/>
    <s v="Platinum"/>
    <s v="P003"/>
    <x v="3"/>
    <x v="1"/>
    <s v="Large"/>
    <n v="3"/>
    <n v="91.98"/>
    <n v="12"/>
    <n v="22"/>
    <n v="125.98"/>
    <n v="306.60000000000002"/>
    <n v="0"/>
    <n v="919.8"/>
    <n v="541.86"/>
    <n v="58.91"/>
    <x v="3"/>
    <s v="Dine-In"/>
    <s v="Diya"/>
    <n v="4"/>
    <s v="Completed"/>
  </r>
  <r>
    <x v="246"/>
    <d v="2025-05-31T00:00:00"/>
    <s v="17:45"/>
    <s v="Saturday"/>
    <x v="7"/>
    <s v="Q2"/>
    <s v="Summer"/>
    <s v="S04"/>
    <x v="5"/>
    <x v="5"/>
    <s v="West"/>
    <s v="C2247"/>
    <x v="0"/>
    <s v="Silver"/>
    <s v="P019"/>
    <x v="7"/>
    <x v="4"/>
    <s v="Small"/>
    <n v="3"/>
    <n v="59.7"/>
    <n v="12"/>
    <n v="22"/>
    <n v="93.7"/>
    <n v="199"/>
    <n v="15"/>
    <n v="507.45"/>
    <n v="226.35"/>
    <n v="44.61"/>
    <x v="0"/>
    <s v="Takeaway"/>
    <s v="Kabir"/>
    <n v="4"/>
    <s v="Completed"/>
  </r>
  <r>
    <x v="247"/>
    <d v="2025-11-06T00:00:00"/>
    <s v="17:00"/>
    <s v="Thursday"/>
    <x v="1"/>
    <s v="Q4"/>
    <s v="Autumn"/>
    <s v="S01"/>
    <x v="0"/>
    <x v="0"/>
    <s v="North"/>
    <s v="C2248"/>
    <x v="0"/>
    <s v="Silver"/>
    <s v="P001"/>
    <x v="1"/>
    <x v="1"/>
    <s v="Large"/>
    <n v="1"/>
    <n v="62.58"/>
    <n v="12"/>
    <n v="22"/>
    <n v="96.58"/>
    <n v="208.6"/>
    <n v="5"/>
    <n v="198.17"/>
    <n v="101.59"/>
    <n v="51.26"/>
    <x v="3"/>
    <s v="Takeaway"/>
    <s v="Diya"/>
    <n v="5"/>
    <s v="Completed"/>
  </r>
  <r>
    <x v="248"/>
    <d v="2025-10-11T00:00:00"/>
    <s v="09:45"/>
    <s v="Saturday"/>
    <x v="0"/>
    <s v="Q4"/>
    <s v="Autumn"/>
    <s v="S12"/>
    <x v="2"/>
    <x v="2"/>
    <s v="East"/>
    <s v="C2249"/>
    <x v="0"/>
    <s v="Gold"/>
    <s v="P042"/>
    <x v="14"/>
    <x v="5"/>
    <s v="Medium"/>
    <n v="3"/>
    <n v="118.44"/>
    <n v="12"/>
    <n v="22"/>
    <n v="152.44"/>
    <n v="394.8"/>
    <n v="15"/>
    <n v="1006.74"/>
    <n v="549.41999999999996"/>
    <n v="54.57"/>
    <x v="1"/>
    <s v="Dine-In"/>
    <s v="Diya"/>
    <n v="5"/>
    <s v="Completed"/>
  </r>
  <r>
    <x v="249"/>
    <d v="2025-12-06T00:00:00"/>
    <s v="14:15"/>
    <s v="Saturday"/>
    <x v="8"/>
    <s v="Q4"/>
    <s v="Winter"/>
    <s v="S01"/>
    <x v="0"/>
    <x v="0"/>
    <s v="North"/>
    <s v="C2250"/>
    <x v="1"/>
    <s v="Gold"/>
    <s v="P027"/>
    <x v="13"/>
    <x v="3"/>
    <s v="Medium"/>
    <n v="2"/>
    <n v="82.44"/>
    <n v="12"/>
    <n v="22"/>
    <n v="116.44"/>
    <n v="274.8"/>
    <n v="15"/>
    <n v="467.16"/>
    <n v="234.28"/>
    <n v="50.15"/>
    <x v="3"/>
    <s v="Dine-In"/>
    <s v="Meera"/>
    <n v="4"/>
    <s v="Completed"/>
  </r>
  <r>
    <x v="250"/>
    <d v="2025-05-05T00:00:00"/>
    <s v="09:45"/>
    <s v="Monday"/>
    <x v="7"/>
    <s v="Q2"/>
    <s v="Summer"/>
    <s v="S04"/>
    <x v="5"/>
    <x v="5"/>
    <s v="West"/>
    <s v="C2251"/>
    <x v="1"/>
    <s v="Silver"/>
    <s v="P036"/>
    <x v="11"/>
    <x v="0"/>
    <s v="Medium"/>
    <n v="1"/>
    <n v="57.24"/>
    <n v="12"/>
    <n v="22"/>
    <n v="91.240000000000009"/>
    <n v="190.8"/>
    <n v="0"/>
    <n v="190.8"/>
    <n v="99.56"/>
    <n v="52.18"/>
    <x v="0"/>
    <s v="Takeaway"/>
    <s v="Aarav"/>
    <n v="5"/>
    <s v="Completed"/>
  </r>
  <r>
    <x v="251"/>
    <d v="2025-04-11T00:00:00"/>
    <s v="17:15"/>
    <s v="Friday"/>
    <x v="11"/>
    <s v="Q2"/>
    <s v="Summer"/>
    <s v="S14"/>
    <x v="4"/>
    <x v="4"/>
    <s v="North"/>
    <s v="C2252"/>
    <x v="1"/>
    <s v="Silver"/>
    <s v="P019"/>
    <x v="7"/>
    <x v="4"/>
    <s v="Medium"/>
    <n v="1"/>
    <n v="71.64"/>
    <n v="12"/>
    <n v="22"/>
    <n v="105.64"/>
    <n v="238.8"/>
    <n v="10"/>
    <n v="214.92"/>
    <n v="109.28"/>
    <n v="50.85"/>
    <x v="3"/>
    <s v="Dine-In"/>
    <s v="Rohan"/>
    <n v="5"/>
    <s v="Completed"/>
  </r>
  <r>
    <x v="252"/>
    <d v="2025-09-17T00:00:00"/>
    <s v="18:15"/>
    <s v="Wednesday"/>
    <x v="2"/>
    <s v="Q3"/>
    <s v="Monsoon"/>
    <s v="S14"/>
    <x v="4"/>
    <x v="4"/>
    <s v="North"/>
    <s v="C2253"/>
    <x v="1"/>
    <s v="Gold"/>
    <s v="P019"/>
    <x v="7"/>
    <x v="4"/>
    <s v="Small"/>
    <n v="1"/>
    <n v="59.7"/>
    <n v="12"/>
    <n v="22"/>
    <n v="93.7"/>
    <n v="199"/>
    <n v="5"/>
    <n v="189.05"/>
    <n v="95.35"/>
    <n v="50.44"/>
    <x v="0"/>
    <s v="Takeaway"/>
    <s v="Diya"/>
    <n v="5"/>
    <s v="Completed"/>
  </r>
  <r>
    <x v="253"/>
    <d v="2025-11-24T00:00:00"/>
    <s v="08:30"/>
    <s v="Monday"/>
    <x v="1"/>
    <s v="Q4"/>
    <s v="Autumn"/>
    <s v="S04"/>
    <x v="5"/>
    <x v="5"/>
    <s v="West"/>
    <s v="C2254"/>
    <x v="1"/>
    <s v="Silver"/>
    <s v="P014"/>
    <x v="4"/>
    <x v="2"/>
    <s v="Medium"/>
    <n v="1"/>
    <n v="53.64"/>
    <n v="12"/>
    <n v="22"/>
    <n v="87.64"/>
    <n v="178.8"/>
    <n v="10"/>
    <n v="160.91999999999999"/>
    <n v="73.28"/>
    <n v="45.54"/>
    <x v="2"/>
    <s v="Takeaway"/>
    <s v="Meera"/>
    <n v="5"/>
    <s v="Completed"/>
  </r>
  <r>
    <x v="254"/>
    <d v="2025-12-29T00:00:00"/>
    <s v="14:00"/>
    <s v="Monday"/>
    <x v="8"/>
    <s v="Q4"/>
    <s v="Winter"/>
    <s v="S04"/>
    <x v="5"/>
    <x v="5"/>
    <s v="West"/>
    <s v="C2255"/>
    <x v="0"/>
    <s v="Silver"/>
    <s v="P001"/>
    <x v="1"/>
    <x v="1"/>
    <s v="Large"/>
    <n v="3"/>
    <n v="62.58"/>
    <n v="12"/>
    <n v="22"/>
    <n v="96.58"/>
    <n v="208.6"/>
    <n v="10"/>
    <n v="563.22"/>
    <n v="273.48"/>
    <n v="48.56"/>
    <x v="0"/>
    <s v="Dine-In"/>
    <s v="Rohan"/>
    <n v="5"/>
    <s v="Completed"/>
  </r>
  <r>
    <x v="255"/>
    <d v="2025-11-24T00:00:00"/>
    <s v="08:45"/>
    <s v="Monday"/>
    <x v="1"/>
    <s v="Q4"/>
    <s v="Autumn"/>
    <s v="S04"/>
    <x v="5"/>
    <x v="5"/>
    <s v="West"/>
    <s v="C2256"/>
    <x v="1"/>
    <s v="Platinum"/>
    <s v="P002"/>
    <x v="2"/>
    <x v="1"/>
    <s v="Small"/>
    <n v="2"/>
    <n v="71.7"/>
    <n v="12"/>
    <n v="22"/>
    <n v="105.7"/>
    <n v="239"/>
    <n v="10"/>
    <n v="430.2"/>
    <n v="218.8"/>
    <n v="50.86"/>
    <x v="4"/>
    <s v="Takeaway"/>
    <s v="Aarav"/>
    <n v="5"/>
    <s v="Completed"/>
  </r>
  <r>
    <x v="256"/>
    <d v="2025-05-06T00:00:00"/>
    <s v="17:15"/>
    <s v="Tuesday"/>
    <x v="7"/>
    <s v="Q2"/>
    <s v="Summer"/>
    <s v="S14"/>
    <x v="4"/>
    <x v="4"/>
    <s v="North"/>
    <s v="C2257"/>
    <x v="1"/>
    <s v="Platinum"/>
    <s v="P019"/>
    <x v="7"/>
    <x v="4"/>
    <s v="Medium"/>
    <n v="3"/>
    <n v="71.64"/>
    <n v="12"/>
    <n v="22"/>
    <n v="105.64"/>
    <n v="238.8"/>
    <n v="0"/>
    <n v="716.4"/>
    <n v="399.48"/>
    <n v="55.76"/>
    <x v="2"/>
    <s v="Takeaway"/>
    <s v="Aarav"/>
    <n v="5"/>
    <s v="Completed"/>
  </r>
  <r>
    <x v="257"/>
    <d v="2025-03-01T00:00:00"/>
    <s v="08:45"/>
    <s v="Saturday"/>
    <x v="5"/>
    <s v="Q1"/>
    <s v="Autumn"/>
    <s v="S10"/>
    <x v="1"/>
    <x v="1"/>
    <s v="South"/>
    <s v="C2258"/>
    <x v="0"/>
    <s v="Silver"/>
    <s v="P014"/>
    <x v="4"/>
    <x v="2"/>
    <s v="Small"/>
    <n v="3"/>
    <n v="44.7"/>
    <n v="12"/>
    <n v="22"/>
    <n v="78.7"/>
    <n v="149"/>
    <n v="10"/>
    <n v="402.3"/>
    <n v="166.2"/>
    <n v="41.31"/>
    <x v="3"/>
    <s v="Takeaway"/>
    <s v="Rohan"/>
    <n v="5"/>
    <s v="Completed"/>
  </r>
  <r>
    <x v="258"/>
    <d v="2025-09-26T00:00:00"/>
    <s v="09:15"/>
    <s v="Friday"/>
    <x v="2"/>
    <s v="Q3"/>
    <s v="Monsoon"/>
    <s v="S01"/>
    <x v="0"/>
    <x v="0"/>
    <s v="North"/>
    <s v="C2259"/>
    <x v="2"/>
    <s v="Silver"/>
    <s v="P013"/>
    <x v="5"/>
    <x v="2"/>
    <s v="Large"/>
    <n v="1"/>
    <n v="54.18"/>
    <n v="12"/>
    <n v="22"/>
    <n v="88.18"/>
    <n v="180.6"/>
    <n v="5"/>
    <n v="171.57"/>
    <n v="83.39"/>
    <n v="48.6"/>
    <x v="2"/>
    <s v="Takeaway"/>
    <s v="Rohan"/>
    <n v="5"/>
    <s v="Completed"/>
  </r>
  <r>
    <x v="259"/>
    <d v="2025-09-13T00:00:00"/>
    <s v="14:45"/>
    <s v="Saturday"/>
    <x v="2"/>
    <s v="Q3"/>
    <s v="Monsoon"/>
    <s v="S07"/>
    <x v="3"/>
    <x v="3"/>
    <s v="South"/>
    <s v="C2260"/>
    <x v="0"/>
    <s v="Silver"/>
    <s v="P034"/>
    <x v="0"/>
    <x v="0"/>
    <s v="Large"/>
    <n v="1"/>
    <n v="108.78"/>
    <n v="12"/>
    <n v="22"/>
    <n v="142.78"/>
    <n v="362.6"/>
    <n v="15"/>
    <n v="308.20999999999998"/>
    <n v="165.43"/>
    <n v="53.67"/>
    <x v="1"/>
    <s v="Dine-In"/>
    <s v="Aarav"/>
    <n v="5"/>
    <s v="Completed"/>
  </r>
  <r>
    <x v="260"/>
    <d v="2025-09-30T00:00:00"/>
    <s v="18:30"/>
    <s v="Tuesday"/>
    <x v="2"/>
    <s v="Q3"/>
    <s v="Monsoon"/>
    <s v="S04"/>
    <x v="5"/>
    <x v="5"/>
    <s v="West"/>
    <s v="C2261"/>
    <x v="1"/>
    <s v="Platinum"/>
    <s v="P001"/>
    <x v="1"/>
    <x v="1"/>
    <s v="Large"/>
    <n v="2"/>
    <n v="62.58"/>
    <n v="12"/>
    <n v="22"/>
    <n v="96.58"/>
    <n v="208.6"/>
    <n v="5"/>
    <n v="396.34"/>
    <n v="203.18"/>
    <n v="51.26"/>
    <x v="0"/>
    <s v="Dine-In"/>
    <s v="Aarav"/>
    <n v="5"/>
    <s v="Completed"/>
  </r>
  <r>
    <x v="261"/>
    <d v="2025-10-10T00:00:00"/>
    <s v="13:45"/>
    <s v="Friday"/>
    <x v="0"/>
    <s v="Q4"/>
    <s v="Autumn"/>
    <s v="S01"/>
    <x v="0"/>
    <x v="0"/>
    <s v="North"/>
    <s v="C2262"/>
    <x v="2"/>
    <s v="Gold"/>
    <s v="P033"/>
    <x v="8"/>
    <x v="0"/>
    <s v="Small"/>
    <n v="1"/>
    <n v="74.7"/>
    <n v="12"/>
    <n v="22"/>
    <n v="108.7"/>
    <n v="249"/>
    <n v="0"/>
    <n v="249"/>
    <n v="140.30000000000001"/>
    <n v="56.35"/>
    <x v="1"/>
    <s v="Dine-In"/>
    <s v="Kabir"/>
    <n v="5"/>
    <s v="Completed"/>
  </r>
  <r>
    <x v="262"/>
    <d v="2025-12-04T00:00:00"/>
    <s v="17:30"/>
    <s v="Thursday"/>
    <x v="8"/>
    <s v="Q4"/>
    <s v="Winter"/>
    <s v="S14"/>
    <x v="4"/>
    <x v="4"/>
    <s v="North"/>
    <s v="C2263"/>
    <x v="0"/>
    <s v="Gold"/>
    <s v="P002"/>
    <x v="2"/>
    <x v="1"/>
    <s v="Large"/>
    <n v="2"/>
    <n v="100.38"/>
    <n v="12"/>
    <n v="22"/>
    <n v="134.38"/>
    <n v="334.6"/>
    <n v="0"/>
    <n v="669.2"/>
    <n v="400.44"/>
    <n v="59.84"/>
    <x v="3"/>
    <s v="Takeaway"/>
    <s v="Meera"/>
    <n v="5"/>
    <s v="Completed"/>
  </r>
  <r>
    <x v="263"/>
    <d v="2025-04-01T00:00:00"/>
    <s v="17:45"/>
    <s v="Tuesday"/>
    <x v="11"/>
    <s v="Q2"/>
    <s v="Summer"/>
    <s v="S14"/>
    <x v="4"/>
    <x v="4"/>
    <s v="North"/>
    <s v="C2264"/>
    <x v="0"/>
    <s v="Silver"/>
    <s v="P003"/>
    <x v="3"/>
    <x v="1"/>
    <s v="Medium"/>
    <n v="2"/>
    <n v="78.84"/>
    <n v="12"/>
    <n v="22"/>
    <n v="112.84"/>
    <n v="262.8"/>
    <n v="10"/>
    <n v="473.04"/>
    <n v="247.36"/>
    <n v="52.29"/>
    <x v="3"/>
    <s v="Delivery"/>
    <s v="Diya"/>
    <n v="5"/>
    <s v="Completed"/>
  </r>
  <r>
    <x v="264"/>
    <d v="2025-09-16T00:00:00"/>
    <s v="18:15"/>
    <s v="Tuesday"/>
    <x v="2"/>
    <s v="Q3"/>
    <s v="Monsoon"/>
    <s v="S14"/>
    <x v="4"/>
    <x v="4"/>
    <s v="North"/>
    <s v="C2265"/>
    <x v="0"/>
    <s v="Silver"/>
    <s v="P013"/>
    <x v="5"/>
    <x v="2"/>
    <s v="Small"/>
    <n v="1"/>
    <n v="38.700000000000003"/>
    <n v="12"/>
    <n v="22"/>
    <n v="72.7"/>
    <n v="129"/>
    <n v="0"/>
    <n v="129"/>
    <n v="56.3"/>
    <n v="43.64"/>
    <x v="2"/>
    <s v="Dine-In"/>
    <s v="Diya"/>
    <n v="5"/>
    <s v="Completed"/>
  </r>
  <r>
    <x v="265"/>
    <d v="2025-12-11T00:00:00"/>
    <s v="08:15"/>
    <s v="Thursday"/>
    <x v="8"/>
    <s v="Q4"/>
    <s v="Winter"/>
    <s v="S07"/>
    <x v="3"/>
    <x v="3"/>
    <s v="South"/>
    <s v="C2266"/>
    <x v="0"/>
    <s v="Platinum"/>
    <s v="P003"/>
    <x v="3"/>
    <x v="1"/>
    <s v="Small"/>
    <n v="3"/>
    <n v="65.7"/>
    <n v="12"/>
    <n v="22"/>
    <n v="99.7"/>
    <n v="219"/>
    <n v="5"/>
    <n v="624.15"/>
    <n v="325.05"/>
    <n v="52.08"/>
    <x v="1"/>
    <s v="Takeaway"/>
    <s v="Rohan"/>
    <n v="5"/>
    <s v="Completed"/>
  </r>
  <r>
    <x v="266"/>
    <d v="2025-07-08T00:00:00"/>
    <s v="14:15"/>
    <s v="Tuesday"/>
    <x v="6"/>
    <s v="Q3"/>
    <s v="Monsoon"/>
    <s v="S10"/>
    <x v="1"/>
    <x v="1"/>
    <s v="South"/>
    <s v="C2267"/>
    <x v="1"/>
    <s v="Platinum"/>
    <s v="P034"/>
    <x v="0"/>
    <x v="0"/>
    <s v="Medium"/>
    <n v="1"/>
    <n v="93.24"/>
    <n v="12"/>
    <n v="22"/>
    <n v="127.24"/>
    <n v="310.8"/>
    <n v="5"/>
    <n v="295.26"/>
    <n v="168.02"/>
    <n v="56.91"/>
    <x v="1"/>
    <s v="Delivery"/>
    <s v="Diya"/>
    <n v="5"/>
    <s v="Completed"/>
  </r>
  <r>
    <x v="267"/>
    <d v="2025-06-04T00:00:00"/>
    <s v="14:15"/>
    <s v="Wednesday"/>
    <x v="10"/>
    <s v="Q2"/>
    <s v="Summer"/>
    <s v="S07"/>
    <x v="3"/>
    <x v="3"/>
    <s v="South"/>
    <s v="C2268"/>
    <x v="1"/>
    <s v="Gold"/>
    <s v="P027"/>
    <x v="13"/>
    <x v="3"/>
    <s v="Medium"/>
    <n v="2"/>
    <n v="82.44"/>
    <n v="12"/>
    <n v="22"/>
    <n v="116.44"/>
    <n v="274.8"/>
    <n v="10"/>
    <n v="494.64"/>
    <n v="261.76"/>
    <n v="52.92"/>
    <x v="0"/>
    <s v="Takeaway"/>
    <s v="Diya"/>
    <n v="4"/>
    <s v="Completed"/>
  </r>
  <r>
    <x v="268"/>
    <d v="2025-11-22T00:00:00"/>
    <s v="09:15"/>
    <s v="Saturday"/>
    <x v="1"/>
    <s v="Q4"/>
    <s v="Autumn"/>
    <s v="S07"/>
    <x v="3"/>
    <x v="3"/>
    <s v="South"/>
    <s v="C2269"/>
    <x v="0"/>
    <s v="Silver"/>
    <s v="P042"/>
    <x v="14"/>
    <x v="5"/>
    <s v="Large"/>
    <n v="2"/>
    <n v="138.18"/>
    <n v="12"/>
    <n v="22"/>
    <n v="172.18"/>
    <n v="460.6"/>
    <n v="10"/>
    <n v="829.08"/>
    <n v="484.72"/>
    <n v="58.46"/>
    <x v="3"/>
    <s v="Takeaway"/>
    <s v="Meera"/>
    <n v="5"/>
    <s v="Completed"/>
  </r>
  <r>
    <x v="269"/>
    <d v="2025-05-31T00:00:00"/>
    <s v="17:00"/>
    <s v="Saturday"/>
    <x v="7"/>
    <s v="Q2"/>
    <s v="Summer"/>
    <s v="S10"/>
    <x v="1"/>
    <x v="1"/>
    <s v="South"/>
    <s v="C2270"/>
    <x v="0"/>
    <s v="Silver"/>
    <s v="P042"/>
    <x v="14"/>
    <x v="5"/>
    <s v="Small"/>
    <n v="2"/>
    <n v="98.7"/>
    <n v="12"/>
    <n v="22"/>
    <n v="132.69999999999999"/>
    <n v="329"/>
    <n v="10"/>
    <n v="592.20000000000005"/>
    <n v="326.8"/>
    <n v="55.18"/>
    <x v="2"/>
    <s v="Dine-In"/>
    <s v="Meera"/>
    <n v="5"/>
    <s v="Completed"/>
  </r>
  <r>
    <x v="270"/>
    <d v="2025-02-07T00:00:00"/>
    <s v="13:00"/>
    <s v="Friday"/>
    <x v="3"/>
    <s v="Q1"/>
    <s v="Winter"/>
    <s v="S10"/>
    <x v="1"/>
    <x v="1"/>
    <s v="South"/>
    <s v="C2271"/>
    <x v="2"/>
    <s v="Platinum"/>
    <s v="P028"/>
    <x v="6"/>
    <x v="3"/>
    <s v="Large"/>
    <n v="2"/>
    <n v="104.58"/>
    <n v="12"/>
    <n v="22"/>
    <n v="138.58000000000001"/>
    <n v="348.6"/>
    <n v="5"/>
    <n v="662.34"/>
    <n v="385.18"/>
    <n v="58.15"/>
    <x v="1"/>
    <s v="Takeaway"/>
    <s v="Aarav"/>
    <n v="5"/>
    <s v="Completed"/>
  </r>
  <r>
    <x v="271"/>
    <d v="2025-08-15T00:00:00"/>
    <s v="13:00"/>
    <s v="Friday"/>
    <x v="4"/>
    <s v="Q3"/>
    <s v="Monsoon"/>
    <s v="S04"/>
    <x v="5"/>
    <x v="5"/>
    <s v="West"/>
    <s v="C2272"/>
    <x v="1"/>
    <s v="Platinum"/>
    <s v="P036"/>
    <x v="11"/>
    <x v="0"/>
    <s v="Small"/>
    <n v="3"/>
    <n v="47.7"/>
    <n v="12"/>
    <n v="22"/>
    <n v="81.7"/>
    <n v="159"/>
    <n v="0"/>
    <n v="477"/>
    <n v="231.9"/>
    <n v="48.62"/>
    <x v="3"/>
    <s v="Dine-In"/>
    <s v="Aarav"/>
    <n v="3"/>
    <s v="Completed"/>
  </r>
  <r>
    <x v="272"/>
    <d v="2025-11-10T00:00:00"/>
    <s v="17:00"/>
    <s v="Monday"/>
    <x v="1"/>
    <s v="Q4"/>
    <s v="Autumn"/>
    <s v="S07"/>
    <x v="3"/>
    <x v="3"/>
    <s v="South"/>
    <s v="C2273"/>
    <x v="2"/>
    <s v="Platinum"/>
    <s v="P004"/>
    <x v="10"/>
    <x v="1"/>
    <s v="Medium"/>
    <n v="3"/>
    <n v="60.84"/>
    <n v="12"/>
    <n v="22"/>
    <n v="94.84"/>
    <n v="202.8"/>
    <n v="0"/>
    <n v="608.4"/>
    <n v="323.88"/>
    <n v="53.23"/>
    <x v="3"/>
    <s v="Takeaway"/>
    <s v="Diya"/>
    <n v="4"/>
    <s v="Completed"/>
  </r>
  <r>
    <x v="273"/>
    <d v="2025-12-29T00:00:00"/>
    <s v="14:30"/>
    <s v="Monday"/>
    <x v="8"/>
    <s v="Q4"/>
    <s v="Winter"/>
    <s v="S01"/>
    <x v="0"/>
    <x v="0"/>
    <s v="North"/>
    <s v="C2274"/>
    <x v="1"/>
    <s v="Silver"/>
    <s v="P028"/>
    <x v="6"/>
    <x v="3"/>
    <s v="Medium"/>
    <n v="2"/>
    <n v="89.64"/>
    <n v="12"/>
    <n v="22"/>
    <n v="123.64"/>
    <n v="298.8"/>
    <n v="0"/>
    <n v="597.6"/>
    <n v="350.32"/>
    <n v="58.62"/>
    <x v="2"/>
    <s v="Takeaway"/>
    <s v="Aarav"/>
    <n v="4"/>
    <s v="Completed"/>
  </r>
  <r>
    <x v="274"/>
    <d v="2025-09-04T00:00:00"/>
    <s v="08:45"/>
    <s v="Thursday"/>
    <x v="2"/>
    <s v="Q3"/>
    <s v="Monsoon"/>
    <s v="S04"/>
    <x v="5"/>
    <x v="5"/>
    <s v="West"/>
    <s v="C2275"/>
    <x v="0"/>
    <s v="Gold"/>
    <s v="P004"/>
    <x v="10"/>
    <x v="1"/>
    <s v="Medium"/>
    <n v="1"/>
    <n v="60.84"/>
    <n v="12"/>
    <n v="22"/>
    <n v="94.84"/>
    <n v="202.8"/>
    <n v="0"/>
    <n v="202.8"/>
    <n v="107.96"/>
    <n v="53.23"/>
    <x v="3"/>
    <s v="Takeaway"/>
    <s v="Meera"/>
    <n v="3"/>
    <s v="Completed"/>
  </r>
  <r>
    <x v="275"/>
    <d v="2025-12-04T00:00:00"/>
    <s v="09:45"/>
    <s v="Thursday"/>
    <x v="8"/>
    <s v="Q4"/>
    <s v="Winter"/>
    <s v="S07"/>
    <x v="3"/>
    <x v="3"/>
    <s v="South"/>
    <s v="C2276"/>
    <x v="2"/>
    <s v="Platinum"/>
    <s v="P014"/>
    <x v="4"/>
    <x v="2"/>
    <s v="Medium"/>
    <n v="3"/>
    <n v="53.64"/>
    <n v="12"/>
    <n v="22"/>
    <n v="87.64"/>
    <n v="178.8"/>
    <n v="0"/>
    <n v="536.4"/>
    <n v="273.48"/>
    <n v="50.98"/>
    <x v="3"/>
    <s v="Delivery"/>
    <s v="Aarav"/>
    <n v="4"/>
    <s v="Completed"/>
  </r>
  <r>
    <x v="276"/>
    <d v="2025-12-07T00:00:00"/>
    <s v="08:30"/>
    <s v="Sunday"/>
    <x v="8"/>
    <s v="Q4"/>
    <s v="Winter"/>
    <s v="S01"/>
    <x v="0"/>
    <x v="0"/>
    <s v="North"/>
    <s v="C2277"/>
    <x v="0"/>
    <s v="Silver"/>
    <s v="P014"/>
    <x v="4"/>
    <x v="2"/>
    <s v="Small"/>
    <n v="3"/>
    <n v="44.7"/>
    <n v="12"/>
    <n v="22"/>
    <n v="78.7"/>
    <n v="149"/>
    <n v="10"/>
    <n v="402.3"/>
    <n v="166.2"/>
    <n v="41.31"/>
    <x v="1"/>
    <s v="Dine-In"/>
    <s v="Meera"/>
    <n v="5"/>
    <s v="Completed"/>
  </r>
  <r>
    <x v="277"/>
    <d v="2025-08-07T00:00:00"/>
    <s v="18:00"/>
    <s v="Thursday"/>
    <x v="4"/>
    <s v="Q3"/>
    <s v="Monsoon"/>
    <s v="S07"/>
    <x v="3"/>
    <x v="3"/>
    <s v="South"/>
    <s v="C2278"/>
    <x v="1"/>
    <s v="Silver"/>
    <s v="P019"/>
    <x v="7"/>
    <x v="4"/>
    <s v="Large"/>
    <n v="1"/>
    <n v="83.58"/>
    <n v="12"/>
    <n v="22"/>
    <n v="117.58"/>
    <n v="278.60000000000002"/>
    <n v="10"/>
    <n v="250.74"/>
    <n v="133.16"/>
    <n v="53.11"/>
    <x v="3"/>
    <s v="Takeaway"/>
    <s v="Diya"/>
    <n v="3"/>
    <s v="Completed"/>
  </r>
  <r>
    <x v="278"/>
    <d v="2025-04-04T00:00:00"/>
    <s v="18:30"/>
    <s v="Friday"/>
    <x v="11"/>
    <s v="Q2"/>
    <s v="Summer"/>
    <s v="S07"/>
    <x v="3"/>
    <x v="3"/>
    <s v="South"/>
    <s v="C2279"/>
    <x v="1"/>
    <s v="Gold"/>
    <s v="P004"/>
    <x v="10"/>
    <x v="1"/>
    <s v="Small"/>
    <n v="1"/>
    <n v="50.7"/>
    <n v="12"/>
    <n v="22"/>
    <n v="84.7"/>
    <n v="169"/>
    <n v="5"/>
    <n v="160.55000000000001"/>
    <n v="75.849999999999994"/>
    <n v="47.24"/>
    <x v="2"/>
    <s v="Dine-In"/>
    <s v="Diya"/>
    <n v="4"/>
    <s v="Completed"/>
  </r>
  <r>
    <x v="279"/>
    <d v="2025-05-02T00:00:00"/>
    <s v="18:00"/>
    <s v="Friday"/>
    <x v="7"/>
    <s v="Q2"/>
    <s v="Summer"/>
    <s v="S01"/>
    <x v="0"/>
    <x v="0"/>
    <s v="North"/>
    <s v="C2280"/>
    <x v="2"/>
    <s v="Silver"/>
    <s v="P002"/>
    <x v="2"/>
    <x v="1"/>
    <s v="Small"/>
    <n v="2"/>
    <n v="71.7"/>
    <n v="12"/>
    <n v="22"/>
    <n v="105.7"/>
    <n v="239"/>
    <n v="5"/>
    <n v="454.1"/>
    <n v="242.7"/>
    <n v="53.45"/>
    <x v="0"/>
    <s v="Dine-In"/>
    <s v="Diya"/>
    <n v="4"/>
    <s v="Completed"/>
  </r>
  <r>
    <x v="280"/>
    <d v="2025-06-29T00:00:00"/>
    <s v="14:15"/>
    <s v="Sunday"/>
    <x v="10"/>
    <s v="Q2"/>
    <s v="Summer"/>
    <s v="S10"/>
    <x v="1"/>
    <x v="1"/>
    <s v="South"/>
    <s v="C2281"/>
    <x v="1"/>
    <s v="Silver"/>
    <s v="P027"/>
    <x v="13"/>
    <x v="3"/>
    <s v="Small"/>
    <n v="3"/>
    <n v="68.7"/>
    <n v="12"/>
    <n v="22"/>
    <n v="102.7"/>
    <n v="229"/>
    <n v="15"/>
    <n v="583.95000000000005"/>
    <n v="275.85000000000002"/>
    <n v="47.24"/>
    <x v="3"/>
    <s v="Dine-In"/>
    <s v="Kabir"/>
    <n v="5"/>
    <s v="Completed"/>
  </r>
  <r>
    <x v="281"/>
    <d v="2025-09-04T00:00:00"/>
    <s v="18:30"/>
    <s v="Thursday"/>
    <x v="2"/>
    <s v="Q3"/>
    <s v="Monsoon"/>
    <s v="S01"/>
    <x v="0"/>
    <x v="0"/>
    <s v="North"/>
    <s v="C2282"/>
    <x v="0"/>
    <s v="Gold"/>
    <s v="P019"/>
    <x v="7"/>
    <x v="4"/>
    <s v="Small"/>
    <n v="1"/>
    <n v="59.7"/>
    <n v="12"/>
    <n v="22"/>
    <n v="93.7"/>
    <n v="199"/>
    <n v="0"/>
    <n v="199"/>
    <n v="105.3"/>
    <n v="52.91"/>
    <x v="2"/>
    <s v="Dine-In"/>
    <s v="Rohan"/>
    <n v="5"/>
    <s v="Completed"/>
  </r>
  <r>
    <x v="282"/>
    <d v="2025-11-14T00:00:00"/>
    <s v="09:00"/>
    <s v="Friday"/>
    <x v="1"/>
    <s v="Q4"/>
    <s v="Autumn"/>
    <s v="S14"/>
    <x v="4"/>
    <x v="4"/>
    <s v="North"/>
    <s v="C2283"/>
    <x v="1"/>
    <s v="Gold"/>
    <s v="P013"/>
    <x v="5"/>
    <x v="2"/>
    <s v="Small"/>
    <n v="1"/>
    <n v="38.700000000000003"/>
    <n v="12"/>
    <n v="22"/>
    <n v="72.7"/>
    <n v="129"/>
    <n v="10"/>
    <n v="116.1"/>
    <n v="43.4"/>
    <n v="37.380000000000003"/>
    <x v="2"/>
    <s v="Takeaway"/>
    <s v="Meera"/>
    <n v="5"/>
    <s v="Completed"/>
  </r>
  <r>
    <x v="283"/>
    <d v="2025-10-29T00:00:00"/>
    <s v="14:45"/>
    <s v="Wednesday"/>
    <x v="0"/>
    <s v="Q4"/>
    <s v="Autumn"/>
    <s v="S07"/>
    <x v="3"/>
    <x v="3"/>
    <s v="South"/>
    <s v="C2284"/>
    <x v="1"/>
    <s v="Silver"/>
    <s v="P033"/>
    <x v="8"/>
    <x v="0"/>
    <s v="Medium"/>
    <n v="1"/>
    <n v="89.64"/>
    <n v="12"/>
    <n v="22"/>
    <n v="123.64"/>
    <n v="298.8"/>
    <n v="0"/>
    <n v="298.8"/>
    <n v="175.16"/>
    <n v="58.62"/>
    <x v="0"/>
    <s v="Takeaway"/>
    <s v="Diya"/>
    <n v="5"/>
    <s v="Completed"/>
  </r>
  <r>
    <x v="284"/>
    <d v="2025-02-14T00:00:00"/>
    <s v="17:30"/>
    <s v="Friday"/>
    <x v="3"/>
    <s v="Q1"/>
    <s v="Winter"/>
    <s v="S04"/>
    <x v="5"/>
    <x v="5"/>
    <s v="West"/>
    <s v="C2285"/>
    <x v="2"/>
    <s v="Platinum"/>
    <s v="P001"/>
    <x v="1"/>
    <x v="1"/>
    <s v="Medium"/>
    <n v="1"/>
    <n v="53.64"/>
    <n v="12"/>
    <n v="22"/>
    <n v="87.64"/>
    <n v="178.8"/>
    <n v="10"/>
    <n v="160.91999999999999"/>
    <n v="73.28"/>
    <n v="45.54"/>
    <x v="4"/>
    <s v="Delivery"/>
    <s v="Meera"/>
    <n v="5"/>
    <s v="Completed"/>
  </r>
  <r>
    <x v="285"/>
    <d v="2025-11-25T00:00:00"/>
    <s v="09:30"/>
    <s v="Tuesday"/>
    <x v="1"/>
    <s v="Q4"/>
    <s v="Autumn"/>
    <s v="S12"/>
    <x v="2"/>
    <x v="2"/>
    <s v="East"/>
    <s v="C2286"/>
    <x v="1"/>
    <s v="Gold"/>
    <s v="P002"/>
    <x v="2"/>
    <x v="1"/>
    <s v="Small"/>
    <n v="3"/>
    <n v="71.7"/>
    <n v="12"/>
    <n v="22"/>
    <n v="105.7"/>
    <n v="239"/>
    <n v="5"/>
    <n v="681.15"/>
    <n v="364.05"/>
    <n v="53.45"/>
    <x v="2"/>
    <s v="Takeaway"/>
    <s v="Rohan"/>
    <n v="5"/>
    <s v="Completed"/>
  </r>
  <r>
    <x v="286"/>
    <d v="2025-03-11T00:00:00"/>
    <s v="09:15"/>
    <s v="Tuesday"/>
    <x v="5"/>
    <s v="Q1"/>
    <s v="Autumn"/>
    <s v="S04"/>
    <x v="5"/>
    <x v="5"/>
    <s v="West"/>
    <s v="C2287"/>
    <x v="1"/>
    <s v="Platinum"/>
    <s v="P003"/>
    <x v="3"/>
    <x v="1"/>
    <s v="Large"/>
    <n v="3"/>
    <n v="91.98"/>
    <n v="12"/>
    <n v="22"/>
    <n v="125.98"/>
    <n v="306.60000000000002"/>
    <n v="10"/>
    <n v="827.82"/>
    <n v="449.88"/>
    <n v="54.35"/>
    <x v="2"/>
    <s v="Delivery"/>
    <s v="Diya"/>
    <n v="5"/>
    <s v="Completed"/>
  </r>
  <r>
    <x v="287"/>
    <d v="2025-11-12T00:00:00"/>
    <s v="18:15"/>
    <s v="Wednesday"/>
    <x v="1"/>
    <s v="Q4"/>
    <s v="Autumn"/>
    <s v="S07"/>
    <x v="3"/>
    <x v="3"/>
    <s v="South"/>
    <s v="C2288"/>
    <x v="0"/>
    <s v="Silver"/>
    <s v="P004"/>
    <x v="10"/>
    <x v="1"/>
    <s v="Small"/>
    <n v="3"/>
    <n v="50.7"/>
    <n v="12"/>
    <n v="22"/>
    <n v="84.7"/>
    <n v="169"/>
    <n v="55"/>
    <n v="507"/>
    <n v="252.9"/>
    <n v="49.88"/>
    <x v="2"/>
    <s v="Dine-In"/>
    <s v="Diya"/>
    <n v="4"/>
    <s v="Completed"/>
  </r>
  <r>
    <x v="288"/>
    <d v="2025-07-02T00:00:00"/>
    <s v="09:45"/>
    <s v="Wednesday"/>
    <x v="6"/>
    <s v="Q3"/>
    <s v="Monsoon"/>
    <s v="S10"/>
    <x v="1"/>
    <x v="1"/>
    <s v="South"/>
    <s v="C2289"/>
    <x v="1"/>
    <s v="Platinum"/>
    <s v="P013"/>
    <x v="5"/>
    <x v="2"/>
    <s v="Medium"/>
    <n v="3"/>
    <n v="46.44"/>
    <n v="12"/>
    <n v="22"/>
    <n v="80.44"/>
    <n v="154.80000000000001"/>
    <n v="0"/>
    <n v="464.4"/>
    <n v="223.08"/>
    <n v="48.04"/>
    <x v="2"/>
    <s v="Delivery"/>
    <s v="Kabir"/>
    <n v="5"/>
    <s v="Completed"/>
  </r>
  <r>
    <x v="289"/>
    <d v="2025-01-06T00:00:00"/>
    <s v="08:30"/>
    <s v="Monday"/>
    <x v="9"/>
    <s v="Q1"/>
    <s v="Winter"/>
    <s v="S12"/>
    <x v="2"/>
    <x v="2"/>
    <s v="East"/>
    <s v="C2290"/>
    <x v="2"/>
    <s v="Gold"/>
    <s v="P003"/>
    <x v="3"/>
    <x v="1"/>
    <s v="Large"/>
    <n v="3"/>
    <n v="91.98"/>
    <n v="12"/>
    <n v="22"/>
    <n v="125.98"/>
    <n v="306.60000000000002"/>
    <n v="5"/>
    <n v="873.81"/>
    <n v="495.87"/>
    <n v="56.75"/>
    <x v="1"/>
    <s v="Delivery"/>
    <s v="Aarav"/>
    <n v="5"/>
    <s v="Completed"/>
  </r>
  <r>
    <x v="290"/>
    <d v="2025-05-19T00:00:00"/>
    <s v="18:00"/>
    <s v="Monday"/>
    <x v="7"/>
    <s v="Q2"/>
    <s v="Summer"/>
    <s v="S04"/>
    <x v="5"/>
    <x v="5"/>
    <s v="West"/>
    <s v="C2291"/>
    <x v="2"/>
    <s v="Silver"/>
    <s v="P034"/>
    <x v="0"/>
    <x v="0"/>
    <s v="Small"/>
    <n v="2"/>
    <n v="77.7"/>
    <n v="12"/>
    <n v="22"/>
    <n v="111.7"/>
    <n v="259"/>
    <n v="0"/>
    <n v="518"/>
    <n v="294.60000000000002"/>
    <n v="56.87"/>
    <x v="3"/>
    <s v="Takeaway"/>
    <s v="Diya"/>
    <n v="5"/>
    <s v="Completed"/>
  </r>
  <r>
    <x v="291"/>
    <d v="2025-02-09T00:00:00"/>
    <s v="08:00"/>
    <s v="Sunday"/>
    <x v="3"/>
    <s v="Q1"/>
    <s v="Winter"/>
    <s v="S14"/>
    <x v="4"/>
    <x v="4"/>
    <s v="North"/>
    <s v="C2292"/>
    <x v="1"/>
    <s v="Platinum"/>
    <s v="P041"/>
    <x v="12"/>
    <x v="5"/>
    <s v="Large"/>
    <n v="1"/>
    <n v="125.58"/>
    <n v="12"/>
    <n v="22"/>
    <n v="159.58000000000001"/>
    <n v="418.6"/>
    <n v="15"/>
    <n v="355.81"/>
    <n v="196.23"/>
    <n v="55.15"/>
    <x v="1"/>
    <s v="Takeaway"/>
    <s v="Aarav"/>
    <n v="5"/>
    <s v="Completed"/>
  </r>
  <r>
    <x v="292"/>
    <d v="2025-02-13T00:00:00"/>
    <s v="08:45"/>
    <s v="Thursday"/>
    <x v="3"/>
    <s v="Q1"/>
    <s v="Winter"/>
    <s v="S12"/>
    <x v="2"/>
    <x v="2"/>
    <s v="East"/>
    <s v="C2293"/>
    <x v="1"/>
    <s v="Platinum"/>
    <s v="P002"/>
    <x v="2"/>
    <x v="1"/>
    <s v="Medium"/>
    <n v="3"/>
    <n v="86.04"/>
    <n v="12"/>
    <n v="22"/>
    <n v="120.04"/>
    <n v="286.8"/>
    <n v="5"/>
    <n v="817.38"/>
    <n v="457.26"/>
    <n v="55.94"/>
    <x v="3"/>
    <s v="Takeaway"/>
    <s v="Aarav"/>
    <n v="5"/>
    <s v="Completed"/>
  </r>
  <r>
    <x v="293"/>
    <d v="2025-06-04T00:00:00"/>
    <s v="08:30"/>
    <s v="Wednesday"/>
    <x v="10"/>
    <s v="Q2"/>
    <s v="Summer"/>
    <s v="S04"/>
    <x v="5"/>
    <x v="5"/>
    <s v="West"/>
    <s v="C2294"/>
    <x v="2"/>
    <s v="Platinum"/>
    <s v="P014"/>
    <x v="4"/>
    <x v="2"/>
    <s v="Medium"/>
    <n v="1"/>
    <n v="53.64"/>
    <n v="12"/>
    <n v="22"/>
    <n v="87.64"/>
    <n v="178.8"/>
    <n v="0"/>
    <n v="178.8"/>
    <n v="91.16"/>
    <n v="50.98"/>
    <x v="3"/>
    <s v="Takeaway"/>
    <s v="Kabir"/>
    <n v="4"/>
    <s v="Completed"/>
  </r>
  <r>
    <x v="294"/>
    <d v="2025-10-12T00:00:00"/>
    <s v="13:00"/>
    <s v="Sunday"/>
    <x v="0"/>
    <s v="Q4"/>
    <s v="Autumn"/>
    <s v="S04"/>
    <x v="5"/>
    <x v="5"/>
    <s v="West"/>
    <s v="C2295"/>
    <x v="0"/>
    <s v="Platinum"/>
    <s v="P027"/>
    <x v="13"/>
    <x v="3"/>
    <s v="Medium"/>
    <n v="3"/>
    <n v="82.44"/>
    <n v="12"/>
    <n v="22"/>
    <n v="116.44"/>
    <n v="274.8"/>
    <n v="10"/>
    <n v="741.96"/>
    <n v="392.64"/>
    <n v="52.92"/>
    <x v="2"/>
    <s v="Delivery"/>
    <s v="Rohan"/>
    <n v="5"/>
    <s v="Completed"/>
  </r>
  <r>
    <x v="295"/>
    <d v="2025-07-29T00:00:00"/>
    <s v="13:15"/>
    <s v="Tuesday"/>
    <x v="6"/>
    <s v="Q3"/>
    <s v="Monsoon"/>
    <s v="S07"/>
    <x v="3"/>
    <x v="3"/>
    <s v="South"/>
    <s v="C2296"/>
    <x v="0"/>
    <s v="Platinum"/>
    <s v="P001"/>
    <x v="1"/>
    <x v="1"/>
    <s v="Large"/>
    <n v="2"/>
    <n v="62.58"/>
    <n v="12"/>
    <n v="22"/>
    <n v="96.58"/>
    <n v="208.6"/>
    <n v="0"/>
    <n v="417.2"/>
    <n v="224.04"/>
    <n v="53.7"/>
    <x v="1"/>
    <s v="Dine-In"/>
    <s v="Rohan"/>
    <n v="5"/>
    <s v="Completed"/>
  </r>
  <r>
    <x v="296"/>
    <d v="2025-12-30T00:00:00"/>
    <s v="17:30"/>
    <s v="Tuesday"/>
    <x v="8"/>
    <s v="Q4"/>
    <s v="Winter"/>
    <s v="S01"/>
    <x v="0"/>
    <x v="0"/>
    <s v="North"/>
    <s v="C2297"/>
    <x v="1"/>
    <s v="Platinum"/>
    <s v="P003"/>
    <x v="3"/>
    <x v="1"/>
    <s v="Small"/>
    <n v="3"/>
    <n v="65.7"/>
    <n v="12"/>
    <n v="22"/>
    <n v="99.7"/>
    <n v="219"/>
    <n v="0"/>
    <n v="657"/>
    <n v="357.9"/>
    <n v="54.47"/>
    <x v="3"/>
    <s v="Dine-In"/>
    <s v="Aarav"/>
    <n v="5"/>
    <s v="Completed"/>
  </r>
  <r>
    <x v="297"/>
    <d v="2025-09-08T00:00:00"/>
    <s v="08:30"/>
    <s v="Monday"/>
    <x v="2"/>
    <s v="Q3"/>
    <s v="Monsoon"/>
    <s v="S01"/>
    <x v="0"/>
    <x v="0"/>
    <s v="North"/>
    <s v="C2298"/>
    <x v="2"/>
    <s v="Gold"/>
    <s v="P001"/>
    <x v="1"/>
    <x v="1"/>
    <s v="Large"/>
    <n v="1"/>
    <n v="62.58"/>
    <n v="12"/>
    <n v="22"/>
    <n v="96.58"/>
    <n v="208.6"/>
    <n v="5"/>
    <n v="198.17"/>
    <n v="101.59"/>
    <n v="51.26"/>
    <x v="0"/>
    <s v="Takeaway"/>
    <s v="Kabir"/>
    <n v="5"/>
    <s v="Completed"/>
  </r>
  <r>
    <x v="298"/>
    <d v="2025-12-22T00:00:00"/>
    <s v="08:00"/>
    <s v="Monday"/>
    <x v="8"/>
    <s v="Q4"/>
    <s v="Winter"/>
    <s v="S10"/>
    <x v="1"/>
    <x v="1"/>
    <s v="South"/>
    <s v="C2299"/>
    <x v="1"/>
    <s v="Platinum"/>
    <s v="P014"/>
    <x v="4"/>
    <x v="2"/>
    <s v="Large"/>
    <n v="1"/>
    <n v="62.58"/>
    <n v="12"/>
    <n v="22"/>
    <n v="96.58"/>
    <n v="208.6"/>
    <n v="0"/>
    <n v="208.6"/>
    <n v="112.02"/>
    <n v="53.7"/>
    <x v="1"/>
    <s v="Takeaway"/>
    <s v="Diya"/>
    <n v="5"/>
    <s v="Completed"/>
  </r>
  <r>
    <x v="299"/>
    <d v="2025-09-17T00:00:00"/>
    <s v="18:30"/>
    <s v="Wednesday"/>
    <x v="2"/>
    <s v="Q3"/>
    <s v="Monsoon"/>
    <s v="S04"/>
    <x v="5"/>
    <x v="5"/>
    <s v="West"/>
    <s v="C2300"/>
    <x v="2"/>
    <s v="Silver"/>
    <s v="P003"/>
    <x v="3"/>
    <x v="1"/>
    <s v="Medium"/>
    <n v="1"/>
    <n v="78.84"/>
    <n v="12"/>
    <n v="22"/>
    <n v="112.84"/>
    <n v="262.8"/>
    <n v="5"/>
    <n v="249.66"/>
    <n v="136.82"/>
    <n v="54.8"/>
    <x v="1"/>
    <s v="Takeaway"/>
    <s v="Aarav"/>
    <n v="3"/>
    <s v="Completed"/>
  </r>
  <r>
    <x v="300"/>
    <d v="2025-06-17T00:00:00"/>
    <s v="13:15"/>
    <s v="Tuesday"/>
    <x v="10"/>
    <s v="Q2"/>
    <s v="Summer"/>
    <s v="S01"/>
    <x v="0"/>
    <x v="0"/>
    <s v="North"/>
    <s v="C2301"/>
    <x v="1"/>
    <s v="Gold"/>
    <s v="P027"/>
    <x v="13"/>
    <x v="3"/>
    <s v="Large"/>
    <n v="2"/>
    <n v="96.18"/>
    <n v="12"/>
    <n v="22"/>
    <n v="130.18"/>
    <n v="320.60000000000002"/>
    <n v="0"/>
    <n v="641.20000000000005"/>
    <n v="380.84"/>
    <n v="59.39"/>
    <x v="1"/>
    <s v="Dine-In"/>
    <s v="Meera"/>
    <n v="4"/>
    <s v="Completed"/>
  </r>
  <r>
    <x v="301"/>
    <d v="2025-08-07T00:00:00"/>
    <s v="18:15"/>
    <s v="Thursday"/>
    <x v="4"/>
    <s v="Q3"/>
    <s v="Monsoon"/>
    <s v="S14"/>
    <x v="4"/>
    <x v="4"/>
    <s v="North"/>
    <s v="C2302"/>
    <x v="2"/>
    <s v="Platinum"/>
    <s v="P014"/>
    <x v="4"/>
    <x v="2"/>
    <s v="Medium"/>
    <n v="3"/>
    <n v="53.64"/>
    <n v="12"/>
    <n v="22"/>
    <n v="87.64"/>
    <n v="178.8"/>
    <n v="5"/>
    <n v="509.58"/>
    <n v="246.66"/>
    <n v="48.4"/>
    <x v="2"/>
    <s v="Takeaway"/>
    <s v="Aarav"/>
    <n v="4"/>
    <s v="Completed"/>
  </r>
  <r>
    <x v="302"/>
    <d v="2025-12-02T00:00:00"/>
    <s v="17:15"/>
    <s v="Tuesday"/>
    <x v="8"/>
    <s v="Q4"/>
    <s v="Winter"/>
    <s v="S07"/>
    <x v="3"/>
    <x v="3"/>
    <s v="South"/>
    <s v="C2303"/>
    <x v="0"/>
    <s v="Platinum"/>
    <s v="P020"/>
    <x v="9"/>
    <x v="4"/>
    <s v="Large"/>
    <n v="2"/>
    <n v="66.78"/>
    <n v="12"/>
    <n v="22"/>
    <n v="100.78"/>
    <n v="222.6"/>
    <n v="0"/>
    <n v="445.2"/>
    <n v="243.64"/>
    <n v="54.73"/>
    <x v="2"/>
    <s v="Dine-In"/>
    <s v="Aarav"/>
    <n v="4"/>
    <s v="Completed"/>
  </r>
  <r>
    <x v="303"/>
    <d v="2025-04-21T00:00:00"/>
    <s v="13:45"/>
    <s v="Monday"/>
    <x v="11"/>
    <s v="Q2"/>
    <s v="Summer"/>
    <s v="S10"/>
    <x v="1"/>
    <x v="1"/>
    <s v="South"/>
    <s v="C2304"/>
    <x v="1"/>
    <s v="Gold"/>
    <s v="P034"/>
    <x v="0"/>
    <x v="0"/>
    <s v="Large"/>
    <n v="1"/>
    <n v="108.78"/>
    <n v="12"/>
    <n v="22"/>
    <n v="142.78"/>
    <n v="362.6"/>
    <n v="0"/>
    <n v="362.6"/>
    <n v="219.82"/>
    <n v="60.62"/>
    <x v="1"/>
    <s v="Dine-In"/>
    <s v="Rohan"/>
    <n v="5"/>
    <s v="Completed"/>
  </r>
  <r>
    <x v="304"/>
    <d v="2025-11-02T00:00:00"/>
    <s v="17:30"/>
    <s v="Sunday"/>
    <x v="1"/>
    <s v="Q4"/>
    <s v="Autumn"/>
    <s v="S12"/>
    <x v="2"/>
    <x v="2"/>
    <s v="East"/>
    <s v="C2305"/>
    <x v="2"/>
    <s v="Silver"/>
    <s v="P041"/>
    <x v="12"/>
    <x v="5"/>
    <s v="Small"/>
    <n v="4"/>
    <n v="89.7"/>
    <n v="12"/>
    <n v="22"/>
    <n v="123.7"/>
    <n v="299"/>
    <n v="15"/>
    <n v="1016.6"/>
    <n v="521.79999999999995"/>
    <n v="51.33"/>
    <x v="1"/>
    <s v="Takeaway"/>
    <s v="Meera"/>
    <n v="4"/>
    <s v="Completed"/>
  </r>
  <r>
    <x v="305"/>
    <d v="2025-01-28T00:00:00"/>
    <s v="18:45"/>
    <s v="Tuesday"/>
    <x v="9"/>
    <s v="Q1"/>
    <s v="Winter"/>
    <s v="S14"/>
    <x v="4"/>
    <x v="4"/>
    <s v="North"/>
    <s v="C2306"/>
    <x v="0"/>
    <s v="Silver"/>
    <s v="P002"/>
    <x v="2"/>
    <x v="1"/>
    <s v="Small"/>
    <n v="1"/>
    <n v="71.7"/>
    <n v="12"/>
    <n v="22"/>
    <n v="105.7"/>
    <n v="239"/>
    <n v="5"/>
    <n v="227.05"/>
    <n v="121.35"/>
    <n v="53.45"/>
    <x v="3"/>
    <s v="Takeaway"/>
    <s v="Kabir"/>
    <n v="5"/>
    <s v="Completed"/>
  </r>
  <r>
    <x v="306"/>
    <d v="2025-06-10T00:00:00"/>
    <s v="13:15"/>
    <s v="Tuesday"/>
    <x v="10"/>
    <s v="Q2"/>
    <s v="Summer"/>
    <s v="S10"/>
    <x v="1"/>
    <x v="1"/>
    <s v="South"/>
    <s v="C2307"/>
    <x v="1"/>
    <s v="Platinum"/>
    <s v="P034"/>
    <x v="0"/>
    <x v="0"/>
    <s v="Medium"/>
    <n v="3"/>
    <n v="93.24"/>
    <n v="12"/>
    <n v="22"/>
    <n v="127.24"/>
    <n v="310.8"/>
    <n v="10"/>
    <n v="839.16"/>
    <n v="457.44"/>
    <n v="54.51"/>
    <x v="0"/>
    <s v="Dine-In"/>
    <s v="Diya"/>
    <n v="3"/>
    <s v="Completed"/>
  </r>
  <r>
    <x v="307"/>
    <d v="2025-01-18T00:00:00"/>
    <s v="09:45"/>
    <s v="Saturday"/>
    <x v="9"/>
    <s v="Q1"/>
    <s v="Winter"/>
    <s v="S01"/>
    <x v="0"/>
    <x v="0"/>
    <s v="North"/>
    <s v="C2308"/>
    <x v="1"/>
    <s v="Gold"/>
    <s v="P041"/>
    <x v="12"/>
    <x v="5"/>
    <s v="Medium"/>
    <n v="1"/>
    <n v="107.64"/>
    <n v="12"/>
    <n v="22"/>
    <n v="141.63999999999999"/>
    <n v="358.8"/>
    <n v="10"/>
    <n v="322.92"/>
    <n v="181.28"/>
    <n v="56.14"/>
    <x v="1"/>
    <s v="Takeaway"/>
    <s v="Aarav"/>
    <n v="4"/>
    <s v="Completed"/>
  </r>
  <r>
    <x v="308"/>
    <d v="2025-07-17T00:00:00"/>
    <s v="08:00"/>
    <s v="Thursday"/>
    <x v="6"/>
    <s v="Q3"/>
    <s v="Monsoon"/>
    <s v="S07"/>
    <x v="3"/>
    <x v="3"/>
    <s v="South"/>
    <s v="C2309"/>
    <x v="1"/>
    <s v="Gold"/>
    <s v="P004"/>
    <x v="10"/>
    <x v="1"/>
    <s v="Medium"/>
    <n v="3"/>
    <n v="60.84"/>
    <n v="12"/>
    <n v="22"/>
    <n v="94.84"/>
    <n v="202.8"/>
    <n v="5"/>
    <n v="577.98"/>
    <n v="293.45999999999998"/>
    <n v="50.77"/>
    <x v="1"/>
    <s v="Takeaway"/>
    <s v="Kabir"/>
    <n v="4"/>
    <s v="Completed"/>
  </r>
  <r>
    <x v="309"/>
    <d v="2025-12-22T00:00:00"/>
    <s v="18:45"/>
    <s v="Monday"/>
    <x v="8"/>
    <s v="Q4"/>
    <s v="Winter"/>
    <s v="S14"/>
    <x v="4"/>
    <x v="4"/>
    <s v="North"/>
    <s v="C2310"/>
    <x v="2"/>
    <s v="Platinum"/>
    <s v="P004"/>
    <x v="10"/>
    <x v="1"/>
    <s v="Medium"/>
    <n v="2"/>
    <n v="60.84"/>
    <n v="12"/>
    <n v="22"/>
    <n v="94.84"/>
    <n v="202.8"/>
    <n v="0"/>
    <n v="405.6"/>
    <n v="215.92"/>
    <n v="53.23"/>
    <x v="3"/>
    <s v="Dine-In"/>
    <s v="Aarav"/>
    <n v="5"/>
    <s v="Completed"/>
  </r>
  <r>
    <x v="310"/>
    <d v="2025-08-16T00:00:00"/>
    <s v="17:00"/>
    <s v="Saturday"/>
    <x v="4"/>
    <s v="Q3"/>
    <s v="Monsoon"/>
    <s v="S14"/>
    <x v="4"/>
    <x v="4"/>
    <s v="North"/>
    <s v="C2311"/>
    <x v="2"/>
    <s v="Gold"/>
    <s v="P020"/>
    <x v="9"/>
    <x v="4"/>
    <s v="Small"/>
    <n v="4"/>
    <n v="47.7"/>
    <n v="12"/>
    <n v="22"/>
    <n v="81.7"/>
    <n v="159"/>
    <n v="15"/>
    <n v="540.6"/>
    <n v="213.8"/>
    <n v="39.549999999999997"/>
    <x v="1"/>
    <s v="Delivery"/>
    <s v="Diya"/>
    <n v="5"/>
    <s v="Completed"/>
  </r>
  <r>
    <x v="311"/>
    <d v="2025-08-22T00:00:00"/>
    <s v="08:15"/>
    <s v="Friday"/>
    <x v="4"/>
    <s v="Q3"/>
    <s v="Monsoon"/>
    <s v="S07"/>
    <x v="3"/>
    <x v="3"/>
    <s v="South"/>
    <s v="C2312"/>
    <x v="1"/>
    <s v="Gold"/>
    <s v="P003"/>
    <x v="3"/>
    <x v="1"/>
    <s v="Small"/>
    <n v="2"/>
    <n v="65.7"/>
    <n v="12"/>
    <n v="22"/>
    <n v="99.7"/>
    <n v="219"/>
    <n v="0"/>
    <n v="438"/>
    <n v="238.6"/>
    <n v="54.47"/>
    <x v="2"/>
    <s v="Delivery"/>
    <s v="Aarav"/>
    <n v="4"/>
    <s v="Completed"/>
  </r>
  <r>
    <x v="312"/>
    <d v="2025-12-18T00:00:00"/>
    <s v="09:15"/>
    <s v="Thursday"/>
    <x v="8"/>
    <s v="Q4"/>
    <s v="Winter"/>
    <s v="S01"/>
    <x v="0"/>
    <x v="0"/>
    <s v="North"/>
    <s v="C2313"/>
    <x v="1"/>
    <s v="Silver"/>
    <s v="P002"/>
    <x v="2"/>
    <x v="1"/>
    <s v="Medium"/>
    <n v="3"/>
    <n v="86.04"/>
    <n v="12"/>
    <n v="22"/>
    <n v="120.04"/>
    <n v="286.8"/>
    <n v="0"/>
    <n v="860.4"/>
    <n v="500.28"/>
    <n v="58.15"/>
    <x v="3"/>
    <s v="Delivery"/>
    <s v="Kabir"/>
    <n v="5"/>
    <s v="Completed"/>
  </r>
  <r>
    <x v="313"/>
    <d v="2025-08-01T00:00:00"/>
    <s v="13:00"/>
    <s v="Friday"/>
    <x v="4"/>
    <s v="Q3"/>
    <s v="Monsoon"/>
    <s v="S14"/>
    <x v="4"/>
    <x v="4"/>
    <s v="North"/>
    <s v="C2314"/>
    <x v="1"/>
    <s v="Platinum"/>
    <s v="P036"/>
    <x v="11"/>
    <x v="0"/>
    <s v="Small"/>
    <n v="2"/>
    <n v="47.7"/>
    <n v="12"/>
    <n v="22"/>
    <n v="81.7"/>
    <n v="159"/>
    <n v="0"/>
    <n v="318"/>
    <n v="154.6"/>
    <n v="48.62"/>
    <x v="2"/>
    <s v="Dine-In"/>
    <s v="Rohan"/>
    <n v="5"/>
    <s v="Completed"/>
  </r>
  <r>
    <x v="314"/>
    <d v="2025-12-30T00:00:00"/>
    <s v="13:15"/>
    <s v="Tuesday"/>
    <x v="8"/>
    <s v="Q4"/>
    <s v="Winter"/>
    <s v="S07"/>
    <x v="3"/>
    <x v="3"/>
    <s v="South"/>
    <s v="C2315"/>
    <x v="0"/>
    <s v="Gold"/>
    <s v="P034"/>
    <x v="0"/>
    <x v="0"/>
    <s v="Large"/>
    <n v="3"/>
    <n v="108.78"/>
    <n v="12"/>
    <n v="22"/>
    <n v="142.78"/>
    <n v="362.6"/>
    <n v="5"/>
    <n v="1033.4100000000001"/>
    <n v="605.07000000000005"/>
    <n v="58.55"/>
    <x v="2"/>
    <s v="Dine-In"/>
    <s v="Rohan"/>
    <n v="5"/>
    <s v="Completed"/>
  </r>
  <r>
    <x v="315"/>
    <d v="2025-12-18T00:00:00"/>
    <s v="09:15"/>
    <s v="Thursday"/>
    <x v="8"/>
    <s v="Q4"/>
    <s v="Winter"/>
    <s v="S12"/>
    <x v="2"/>
    <x v="2"/>
    <s v="East"/>
    <s v="C2316"/>
    <x v="0"/>
    <s v="Platinum"/>
    <s v="P001"/>
    <x v="1"/>
    <x v="1"/>
    <s v="Large"/>
    <n v="3"/>
    <n v="62.58"/>
    <n v="12"/>
    <n v="22"/>
    <n v="96.58"/>
    <n v="208.6"/>
    <n v="0"/>
    <n v="625.79999999999995"/>
    <n v="336.06"/>
    <n v="53.7"/>
    <x v="1"/>
    <s v="Takeaway"/>
    <s v="Rohan"/>
    <n v="5"/>
    <s v="Completed"/>
  </r>
  <r>
    <x v="316"/>
    <d v="2025-05-19T00:00:00"/>
    <s v="13:00"/>
    <s v="Monday"/>
    <x v="7"/>
    <s v="Q2"/>
    <s v="Summer"/>
    <s v="S10"/>
    <x v="1"/>
    <x v="1"/>
    <s v="South"/>
    <s v="C2317"/>
    <x v="2"/>
    <s v="Platinum"/>
    <s v="P036"/>
    <x v="11"/>
    <x v="0"/>
    <s v="Small"/>
    <n v="3"/>
    <n v="47.7"/>
    <n v="12"/>
    <n v="22"/>
    <n v="81.7"/>
    <n v="159"/>
    <n v="0"/>
    <n v="477"/>
    <n v="231.9"/>
    <n v="48.62"/>
    <x v="1"/>
    <s v="Delivery"/>
    <s v="Diya"/>
    <n v="4"/>
    <s v="Completed"/>
  </r>
  <r>
    <x v="317"/>
    <d v="2025-10-14T00:00:00"/>
    <s v="18:45"/>
    <s v="Tuesday"/>
    <x v="0"/>
    <s v="Q4"/>
    <s v="Autumn"/>
    <s v="S12"/>
    <x v="2"/>
    <x v="2"/>
    <s v="East"/>
    <s v="C2318"/>
    <x v="2"/>
    <s v="Platinum"/>
    <s v="P003"/>
    <x v="3"/>
    <x v="1"/>
    <s v="Large"/>
    <n v="1"/>
    <n v="91.98"/>
    <n v="12"/>
    <n v="22"/>
    <n v="125.98"/>
    <n v="306.60000000000002"/>
    <n v="5"/>
    <n v="291.27"/>
    <n v="165.29"/>
    <n v="56.75"/>
    <x v="3"/>
    <s v="Dine-In"/>
    <s v="Kabir"/>
    <n v="5"/>
    <s v="Completed"/>
  </r>
  <r>
    <x v="318"/>
    <d v="2025-09-22T00:00:00"/>
    <s v="13:15"/>
    <s v="Monday"/>
    <x v="2"/>
    <s v="Q3"/>
    <s v="Monsoon"/>
    <s v="S12"/>
    <x v="2"/>
    <x v="2"/>
    <s v="East"/>
    <s v="C2319"/>
    <x v="0"/>
    <s v="Gold"/>
    <s v="P028"/>
    <x v="6"/>
    <x v="3"/>
    <s v="Small"/>
    <n v="1"/>
    <n v="74.7"/>
    <n v="12"/>
    <n v="22"/>
    <n v="108.7"/>
    <n v="249"/>
    <n v="5"/>
    <n v="236.55"/>
    <n v="127.85"/>
    <n v="54.05"/>
    <x v="3"/>
    <s v="Dine-In"/>
    <s v="Rohan"/>
    <n v="5"/>
    <s v="Completed"/>
  </r>
  <r>
    <x v="319"/>
    <d v="2025-12-30T00:00:00"/>
    <s v="14:15"/>
    <s v="Tuesday"/>
    <x v="8"/>
    <s v="Q4"/>
    <s v="Winter"/>
    <s v="S04"/>
    <x v="5"/>
    <x v="5"/>
    <s v="West"/>
    <s v="C2320"/>
    <x v="1"/>
    <s v="Silver"/>
    <s v="P034"/>
    <x v="0"/>
    <x v="0"/>
    <s v="Medium"/>
    <n v="1"/>
    <n v="93.24"/>
    <n v="12"/>
    <n v="22"/>
    <n v="127.24"/>
    <n v="310.8"/>
    <n v="10"/>
    <n v="279.72000000000003"/>
    <n v="152.47999999999999"/>
    <n v="54.51"/>
    <x v="3"/>
    <s v="Dine-In"/>
    <s v="Aarav"/>
    <n v="4"/>
    <s v="Completed"/>
  </r>
  <r>
    <x v="320"/>
    <d v="2025-09-23T00:00:00"/>
    <s v="14:15"/>
    <s v="Tuesday"/>
    <x v="2"/>
    <s v="Q3"/>
    <s v="Monsoon"/>
    <s v="S10"/>
    <x v="1"/>
    <x v="1"/>
    <s v="South"/>
    <s v="C2322"/>
    <x v="1"/>
    <s v="Silver"/>
    <s v="P014"/>
    <x v="4"/>
    <x v="2"/>
    <s v="Medium"/>
    <n v="3"/>
    <n v="53.64"/>
    <n v="12"/>
    <n v="22"/>
    <n v="87.64"/>
    <n v="178.8"/>
    <n v="0"/>
    <n v="536.4"/>
    <n v="273.48"/>
    <n v="50.98"/>
    <x v="0"/>
    <s v="Dine-In"/>
    <s v="Meera"/>
    <n v="5"/>
    <s v="Completed"/>
  </r>
  <r>
    <x v="321"/>
    <d v="2025-05-12T00:00:00"/>
    <s v="09:30"/>
    <s v="Monday"/>
    <x v="7"/>
    <s v="Q2"/>
    <s v="Summer"/>
    <s v="S01"/>
    <x v="0"/>
    <x v="0"/>
    <s v="North"/>
    <s v="C2323"/>
    <x v="0"/>
    <s v="Silver"/>
    <s v="P014"/>
    <x v="4"/>
    <x v="2"/>
    <s v="Small"/>
    <n v="2"/>
    <n v="44.7"/>
    <n v="12"/>
    <n v="22"/>
    <n v="78.7"/>
    <n v="149"/>
    <n v="10"/>
    <n v="268.2"/>
    <n v="110.8"/>
    <n v="41.31"/>
    <x v="0"/>
    <s v="Takeaway"/>
    <s v="Kabir"/>
    <n v="5"/>
    <s v="Completed"/>
  </r>
  <r>
    <x v="322"/>
    <d v="2025-08-09T00:00:00"/>
    <s v="09:30"/>
    <s v="Saturday"/>
    <x v="4"/>
    <s v="Q3"/>
    <s v="Monsoon"/>
    <s v="S10"/>
    <x v="1"/>
    <x v="1"/>
    <s v="South"/>
    <s v="C2324"/>
    <x v="0"/>
    <s v="Platinum"/>
    <s v="P014"/>
    <x v="4"/>
    <x v="2"/>
    <s v="Large"/>
    <n v="3"/>
    <n v="62.58"/>
    <n v="12"/>
    <n v="22"/>
    <n v="96.58"/>
    <n v="208.6"/>
    <n v="15"/>
    <n v="531.92999999999995"/>
    <n v="242.19"/>
    <n v="45.53"/>
    <x v="1"/>
    <s v="Takeaway"/>
    <s v="Rohan"/>
    <n v="5"/>
    <s v="Completed"/>
  </r>
  <r>
    <x v="323"/>
    <d v="2025-02-27T00:00:00"/>
    <s v="18:15"/>
    <s v="Thursday"/>
    <x v="3"/>
    <s v="Q1"/>
    <s v="Winter"/>
    <s v="S14"/>
    <x v="4"/>
    <x v="4"/>
    <s v="North"/>
    <s v="C2325"/>
    <x v="1"/>
    <s v="Silver"/>
    <s v="P001"/>
    <x v="1"/>
    <x v="1"/>
    <s v="Large"/>
    <n v="1"/>
    <n v="62.58"/>
    <n v="12"/>
    <n v="22"/>
    <n v="96.58"/>
    <n v="208.6"/>
    <n v="0"/>
    <n v="208.6"/>
    <n v="112.02"/>
    <n v="53.7"/>
    <x v="0"/>
    <s v="Dine-In"/>
    <s v="Aarav"/>
    <n v="5"/>
    <s v="Completed"/>
  </r>
  <r>
    <x v="324"/>
    <d v="2025-01-04T00:00:00"/>
    <s v="18:00"/>
    <s v="Saturday"/>
    <x v="9"/>
    <s v="Q1"/>
    <s v="Winter"/>
    <s v="S07"/>
    <x v="3"/>
    <x v="3"/>
    <s v="South"/>
    <s v="C2326"/>
    <x v="2"/>
    <s v="Platinum"/>
    <s v="P041"/>
    <x v="12"/>
    <x v="5"/>
    <s v="Small"/>
    <n v="2"/>
    <n v="89.7"/>
    <n v="12"/>
    <n v="22"/>
    <n v="123.7"/>
    <n v="299"/>
    <n v="10"/>
    <n v="538.20000000000005"/>
    <n v="290.8"/>
    <n v="54.03"/>
    <x v="2"/>
    <s v="Dine-In"/>
    <s v="Meera"/>
    <n v="5"/>
    <s v="Completed"/>
  </r>
  <r>
    <x v="325"/>
    <d v="2025-03-25T00:00:00"/>
    <s v="13:15"/>
    <s v="Tuesday"/>
    <x v="5"/>
    <s v="Q1"/>
    <s v="Autumn"/>
    <s v="S14"/>
    <x v="4"/>
    <x v="4"/>
    <s v="North"/>
    <s v="C2327"/>
    <x v="1"/>
    <s v="Silver"/>
    <s v="P033"/>
    <x v="8"/>
    <x v="0"/>
    <s v="Small"/>
    <n v="1"/>
    <n v="74.7"/>
    <n v="12"/>
    <n v="22"/>
    <n v="108.7"/>
    <n v="249"/>
    <n v="0"/>
    <n v="249"/>
    <n v="140.30000000000001"/>
    <n v="56.35"/>
    <x v="2"/>
    <s v="Delivery"/>
    <s v="Rohan"/>
    <n v="4"/>
    <s v="Completed"/>
  </r>
  <r>
    <x v="326"/>
    <d v="2025-02-03T00:00:00"/>
    <s v="09:15"/>
    <s v="Monday"/>
    <x v="3"/>
    <s v="Q1"/>
    <s v="Winter"/>
    <s v="S07"/>
    <x v="3"/>
    <x v="3"/>
    <s v="South"/>
    <s v="C2328"/>
    <x v="1"/>
    <s v="Platinum"/>
    <s v="P003"/>
    <x v="3"/>
    <x v="1"/>
    <s v="Medium"/>
    <n v="1"/>
    <n v="78.84"/>
    <n v="12"/>
    <n v="22"/>
    <n v="112.84"/>
    <n v="262.8"/>
    <n v="5"/>
    <n v="249.66"/>
    <n v="136.82"/>
    <n v="54.8"/>
    <x v="3"/>
    <s v="Takeaway"/>
    <s v="Meera"/>
    <n v="5"/>
    <s v="Completed"/>
  </r>
  <r>
    <x v="327"/>
    <d v="2025-06-04T00:00:00"/>
    <s v="08:45"/>
    <s v="Wednesday"/>
    <x v="10"/>
    <s v="Q2"/>
    <s v="Summer"/>
    <s v="S07"/>
    <x v="3"/>
    <x v="3"/>
    <s v="South"/>
    <s v="C2329"/>
    <x v="2"/>
    <s v="Gold"/>
    <s v="P001"/>
    <x v="1"/>
    <x v="1"/>
    <s v="Medium"/>
    <n v="3"/>
    <n v="53.64"/>
    <n v="12"/>
    <n v="22"/>
    <n v="87.64"/>
    <n v="178.8"/>
    <n v="10"/>
    <n v="482.76"/>
    <n v="219.84"/>
    <n v="45.54"/>
    <x v="0"/>
    <s v="Dine-In"/>
    <s v="Aarav"/>
    <n v="5"/>
    <s v="Completed"/>
  </r>
  <r>
    <x v="328"/>
    <d v="2025-07-17T00:00:00"/>
    <s v="18:30"/>
    <s v="Thursday"/>
    <x v="6"/>
    <s v="Q3"/>
    <s v="Monsoon"/>
    <s v="S12"/>
    <x v="2"/>
    <x v="2"/>
    <s v="East"/>
    <s v="C2330"/>
    <x v="1"/>
    <s v="Silver"/>
    <s v="P004"/>
    <x v="10"/>
    <x v="1"/>
    <s v="Large"/>
    <n v="2"/>
    <n v="70.98"/>
    <n v="12"/>
    <n v="22"/>
    <n v="104.98"/>
    <n v="236.6"/>
    <n v="5"/>
    <n v="449.54"/>
    <n v="239.58"/>
    <n v="53.29"/>
    <x v="0"/>
    <s v="Dine-In"/>
    <s v="Rohan"/>
    <n v="4"/>
    <s v="Completed"/>
  </r>
  <r>
    <x v="329"/>
    <d v="2025-10-08T00:00:00"/>
    <s v="09:00"/>
    <s v="Wednesday"/>
    <x v="0"/>
    <s v="Q4"/>
    <s v="Autumn"/>
    <s v="S14"/>
    <x v="4"/>
    <x v="4"/>
    <s v="North"/>
    <s v="C2331"/>
    <x v="1"/>
    <s v="Platinum"/>
    <s v="P002"/>
    <x v="2"/>
    <x v="1"/>
    <s v="Large"/>
    <n v="1"/>
    <n v="100.38"/>
    <n v="12"/>
    <n v="22"/>
    <n v="134.38"/>
    <n v="334.6"/>
    <n v="5"/>
    <n v="317.87"/>
    <n v="183.49"/>
    <n v="57.72"/>
    <x v="0"/>
    <s v="Takeaway"/>
    <s v="Aarav"/>
    <n v="4"/>
    <s v="Completed"/>
  </r>
  <r>
    <x v="330"/>
    <d v="2025-06-11T00:00:00"/>
    <s v="09:45"/>
    <s v="Wednesday"/>
    <x v="10"/>
    <s v="Q2"/>
    <s v="Summer"/>
    <s v="S14"/>
    <x v="4"/>
    <x v="4"/>
    <s v="North"/>
    <s v="C2332"/>
    <x v="1"/>
    <s v="Silver"/>
    <s v="P003"/>
    <x v="3"/>
    <x v="1"/>
    <s v="Large"/>
    <n v="1"/>
    <n v="91.98"/>
    <n v="12"/>
    <n v="22"/>
    <n v="125.98"/>
    <n v="306.60000000000002"/>
    <n v="10"/>
    <n v="275.94"/>
    <n v="149.96"/>
    <n v="54.35"/>
    <x v="1"/>
    <s v="Dine-In"/>
    <s v="Kabir"/>
    <n v="5"/>
    <s v="Completed"/>
  </r>
  <r>
    <x v="331"/>
    <d v="2025-05-26T00:00:00"/>
    <s v="09:15"/>
    <s v="Monday"/>
    <x v="7"/>
    <s v="Q2"/>
    <s v="Summer"/>
    <s v="S14"/>
    <x v="4"/>
    <x v="4"/>
    <s v="North"/>
    <s v="C2333"/>
    <x v="2"/>
    <s v="Gold"/>
    <s v="P036"/>
    <x v="11"/>
    <x v="0"/>
    <s v="Large"/>
    <n v="3"/>
    <n v="66.78"/>
    <n v="12"/>
    <n v="22"/>
    <n v="100.78"/>
    <n v="222.6"/>
    <n v="0"/>
    <n v="667.8"/>
    <n v="365.46"/>
    <n v="54.73"/>
    <x v="1"/>
    <s v="Takeaway"/>
    <s v="Meera"/>
    <n v="3"/>
    <s v="Completed"/>
  </r>
  <r>
    <x v="332"/>
    <d v="2025-01-21T00:00:00"/>
    <s v="18:45"/>
    <s v="Tuesday"/>
    <x v="9"/>
    <s v="Q1"/>
    <s v="Winter"/>
    <s v="S12"/>
    <x v="2"/>
    <x v="2"/>
    <s v="East"/>
    <s v="C2334"/>
    <x v="0"/>
    <s v="Platinum"/>
    <s v="P002"/>
    <x v="2"/>
    <x v="1"/>
    <s v="Small"/>
    <n v="1"/>
    <n v="71.7"/>
    <n v="12"/>
    <n v="22"/>
    <n v="105.7"/>
    <n v="239"/>
    <n v="5"/>
    <n v="227.05"/>
    <n v="121.35"/>
    <n v="53.45"/>
    <x v="3"/>
    <s v="Dine-In"/>
    <s v="Diya"/>
    <n v="4"/>
    <s v="Completed"/>
  </r>
  <r>
    <x v="333"/>
    <d v="2025-07-30T00:00:00"/>
    <s v="08:30"/>
    <s v="Wednesday"/>
    <x v="6"/>
    <s v="Q3"/>
    <s v="Monsoon"/>
    <s v="S07"/>
    <x v="3"/>
    <x v="3"/>
    <s v="South"/>
    <s v="C2335"/>
    <x v="0"/>
    <s v="Gold"/>
    <s v="P001"/>
    <x v="1"/>
    <x v="1"/>
    <s v="Medium"/>
    <n v="3"/>
    <n v="53.64"/>
    <n v="12"/>
    <n v="22"/>
    <n v="87.64"/>
    <n v="178.8"/>
    <n v="5"/>
    <n v="509.58"/>
    <n v="246.66"/>
    <n v="48.4"/>
    <x v="1"/>
    <s v="Takeaway"/>
    <s v="Meera"/>
    <n v="5"/>
    <s v="Completed"/>
  </r>
  <r>
    <x v="334"/>
    <d v="2025-02-04T00:00:00"/>
    <s v="18:00"/>
    <s v="Tuesday"/>
    <x v="3"/>
    <s v="Q1"/>
    <s v="Winter"/>
    <s v="S12"/>
    <x v="2"/>
    <x v="2"/>
    <s v="East"/>
    <s v="C2336"/>
    <x v="1"/>
    <s v="Gold"/>
    <s v="P003"/>
    <x v="3"/>
    <x v="1"/>
    <s v="Large"/>
    <n v="2"/>
    <n v="91.98"/>
    <n v="12"/>
    <n v="22"/>
    <n v="125.98"/>
    <n v="306.60000000000002"/>
    <n v="10"/>
    <n v="551.88"/>
    <n v="299.92"/>
    <n v="54.35"/>
    <x v="2"/>
    <s v="Takeaway"/>
    <s v="Rohan"/>
    <n v="4"/>
    <s v="Completed"/>
  </r>
  <r>
    <x v="335"/>
    <d v="2025-06-08T00:00:00"/>
    <s v="18:00"/>
    <s v="Sunday"/>
    <x v="10"/>
    <s v="Q2"/>
    <s v="Summer"/>
    <s v="S04"/>
    <x v="5"/>
    <x v="5"/>
    <s v="West"/>
    <s v="C2337"/>
    <x v="1"/>
    <s v="Platinum"/>
    <s v="P034"/>
    <x v="0"/>
    <x v="0"/>
    <s v="Medium"/>
    <n v="2"/>
    <n v="93.24"/>
    <n v="12"/>
    <n v="22"/>
    <n v="127.24"/>
    <n v="310.8"/>
    <n v="10"/>
    <n v="559.44000000000005"/>
    <n v="304.95999999999998"/>
    <n v="54.51"/>
    <x v="0"/>
    <s v="Delivery"/>
    <s v="Diya"/>
    <n v="4"/>
    <s v="Completed"/>
  </r>
  <r>
    <x v="336"/>
    <d v="2025-01-30T00:00:00"/>
    <s v="08:15"/>
    <s v="Thursday"/>
    <x v="9"/>
    <s v="Q1"/>
    <s v="Winter"/>
    <s v="S14"/>
    <x v="4"/>
    <x v="4"/>
    <s v="North"/>
    <s v="C2338"/>
    <x v="0"/>
    <s v="Silver"/>
    <s v="P001"/>
    <x v="1"/>
    <x v="1"/>
    <s v="Small"/>
    <n v="2"/>
    <n v="44.7"/>
    <n v="12"/>
    <n v="22"/>
    <n v="78.7"/>
    <n v="149"/>
    <n v="5"/>
    <n v="283.10000000000002"/>
    <n v="125.7"/>
    <n v="44.4"/>
    <x v="3"/>
    <s v="Takeaway"/>
    <s v="Rohan"/>
    <n v="4"/>
    <s v="Completed"/>
  </r>
  <r>
    <x v="337"/>
    <d v="2025-04-08T00:00:00"/>
    <s v="13:45"/>
    <s v="Tuesday"/>
    <x v="11"/>
    <s v="Q2"/>
    <s v="Summer"/>
    <s v="S07"/>
    <x v="3"/>
    <x v="3"/>
    <s v="South"/>
    <s v="C2339"/>
    <x v="0"/>
    <s v="Platinum"/>
    <s v="P034"/>
    <x v="0"/>
    <x v="0"/>
    <s v="Medium"/>
    <n v="3"/>
    <n v="93.24"/>
    <n v="12"/>
    <n v="22"/>
    <n v="127.24"/>
    <n v="310.8"/>
    <n v="5"/>
    <n v="885.78"/>
    <n v="504.06"/>
    <n v="56.91"/>
    <x v="2"/>
    <s v="Dine-In"/>
    <s v="Aarav"/>
    <n v="5"/>
    <s v="Completed"/>
  </r>
  <r>
    <x v="338"/>
    <d v="2025-07-11T00:00:00"/>
    <s v="17:00"/>
    <s v="Friday"/>
    <x v="6"/>
    <s v="Q3"/>
    <s v="Monsoon"/>
    <s v="S04"/>
    <x v="5"/>
    <x v="5"/>
    <s v="West"/>
    <s v="C2340"/>
    <x v="1"/>
    <s v="Gold"/>
    <s v="P001"/>
    <x v="1"/>
    <x v="1"/>
    <s v="Small"/>
    <n v="1"/>
    <n v="44.7"/>
    <n v="12"/>
    <n v="22"/>
    <n v="78.7"/>
    <n v="149"/>
    <n v="0"/>
    <n v="149"/>
    <n v="70.3"/>
    <n v="47.18"/>
    <x v="0"/>
    <s v="Takeaway"/>
    <s v="Aarav"/>
    <n v="5"/>
    <s v="Completed"/>
  </r>
  <r>
    <x v="339"/>
    <d v="2025-04-13T00:00:00"/>
    <s v="18:15"/>
    <s v="Sunday"/>
    <x v="11"/>
    <s v="Q2"/>
    <s v="Summer"/>
    <s v="S14"/>
    <x v="4"/>
    <x v="4"/>
    <s v="North"/>
    <s v="C2341"/>
    <x v="1"/>
    <s v="Platinum"/>
    <s v="P042"/>
    <x v="14"/>
    <x v="5"/>
    <s v="Large"/>
    <n v="3"/>
    <n v="138.18"/>
    <n v="12"/>
    <n v="22"/>
    <n v="172.18"/>
    <n v="460.6"/>
    <n v="10"/>
    <n v="1243.6199999999999"/>
    <n v="727.08"/>
    <n v="58.46"/>
    <x v="2"/>
    <s v="Delivery"/>
    <s v="Rohan"/>
    <n v="4"/>
    <s v="Completed"/>
  </r>
  <r>
    <x v="340"/>
    <d v="2025-06-28T00:00:00"/>
    <s v="17:15"/>
    <s v="Saturday"/>
    <x v="10"/>
    <s v="Q2"/>
    <s v="Summer"/>
    <s v="S14"/>
    <x v="4"/>
    <x v="4"/>
    <s v="North"/>
    <s v="C2342"/>
    <x v="1"/>
    <s v="Silver"/>
    <s v="P001"/>
    <x v="1"/>
    <x v="1"/>
    <s v="Large"/>
    <n v="3"/>
    <n v="62.58"/>
    <n v="12"/>
    <n v="22"/>
    <n v="96.58"/>
    <n v="208.6"/>
    <n v="10"/>
    <n v="563.22"/>
    <n v="273.48"/>
    <n v="48.56"/>
    <x v="3"/>
    <s v="Delivery"/>
    <s v="Rohan"/>
    <s v="Not Rated"/>
    <s v="Completed"/>
  </r>
  <r>
    <x v="341"/>
    <d v="2025-07-24T00:00:00"/>
    <s v="13:00"/>
    <s v="Thursday"/>
    <x v="6"/>
    <s v="Q3"/>
    <s v="Monsoon"/>
    <s v="S04"/>
    <x v="5"/>
    <x v="5"/>
    <s v="West"/>
    <s v="C2343"/>
    <x v="1"/>
    <s v="Platinum"/>
    <s v="P004"/>
    <x v="10"/>
    <x v="1"/>
    <s v="Small"/>
    <n v="2"/>
    <n v="50.7"/>
    <n v="12"/>
    <n v="22"/>
    <n v="84.7"/>
    <n v="169"/>
    <n v="5"/>
    <n v="321.10000000000002"/>
    <n v="151.69999999999999"/>
    <n v="47.24"/>
    <x v="2"/>
    <s v="Dine-In"/>
    <s v="Kabir"/>
    <n v="4"/>
    <s v="Completed"/>
  </r>
  <r>
    <x v="342"/>
    <d v="2025-09-15T00:00:00"/>
    <s v="09:00"/>
    <s v="Monday"/>
    <x v="2"/>
    <s v="Q3"/>
    <s v="Monsoon"/>
    <s v="S10"/>
    <x v="1"/>
    <x v="1"/>
    <s v="South"/>
    <s v="C2344"/>
    <x v="0"/>
    <s v="Platinum"/>
    <s v="P013"/>
    <x v="5"/>
    <x v="2"/>
    <s v="Large"/>
    <n v="1"/>
    <n v="54.18"/>
    <n v="12"/>
    <n v="22"/>
    <n v="88.18"/>
    <n v="180.6"/>
    <n v="0"/>
    <n v="180.6"/>
    <n v="92.42"/>
    <n v="51.17"/>
    <x v="2"/>
    <s v="Dine-In"/>
    <s v="Kabir"/>
    <n v="5"/>
    <s v="Completed"/>
  </r>
  <r>
    <x v="343"/>
    <d v="2025-02-14T00:00:00"/>
    <s v="13:00"/>
    <s v="Friday"/>
    <x v="3"/>
    <s v="Q1"/>
    <s v="Winter"/>
    <s v="S01"/>
    <x v="0"/>
    <x v="0"/>
    <s v="North"/>
    <s v="C2345"/>
    <x v="1"/>
    <s v="Silver"/>
    <s v="P002"/>
    <x v="2"/>
    <x v="1"/>
    <s v="Large"/>
    <n v="3"/>
    <n v="100.38"/>
    <n v="12"/>
    <n v="22"/>
    <n v="134.38"/>
    <n v="334.6"/>
    <n v="10"/>
    <n v="903.42"/>
    <n v="500.28"/>
    <n v="55.38"/>
    <x v="3"/>
    <s v="Delivery"/>
    <s v="Kabir"/>
    <n v="4"/>
    <s v="Completed"/>
  </r>
  <r>
    <x v="344"/>
    <d v="2025-05-07T00:00:00"/>
    <s v="14:15"/>
    <s v="Wednesday"/>
    <x v="7"/>
    <s v="Q2"/>
    <s v="Summer"/>
    <s v="S04"/>
    <x v="5"/>
    <x v="5"/>
    <s v="West"/>
    <s v="C2346"/>
    <x v="2"/>
    <s v="Platinum"/>
    <s v="P028"/>
    <x v="6"/>
    <x v="3"/>
    <s v="Small"/>
    <n v="1"/>
    <n v="74.7"/>
    <n v="12"/>
    <n v="22"/>
    <n v="108.7"/>
    <n v="249"/>
    <n v="10"/>
    <n v="224.1"/>
    <n v="115.4"/>
    <n v="51.49"/>
    <x v="1"/>
    <s v="Dine-In"/>
    <s v="Kabir"/>
    <n v="5"/>
    <s v="Completed"/>
  </r>
  <r>
    <x v="345"/>
    <d v="2025-06-15T00:00:00"/>
    <s v="18:30"/>
    <s v="Sunday"/>
    <x v="10"/>
    <s v="Q2"/>
    <s v="Summer"/>
    <s v="S10"/>
    <x v="1"/>
    <x v="1"/>
    <s v="South"/>
    <s v="C2347"/>
    <x v="2"/>
    <s v="Silver"/>
    <s v="P019"/>
    <x v="7"/>
    <x v="4"/>
    <s v="Medium"/>
    <n v="4"/>
    <n v="71.64"/>
    <n v="12"/>
    <n v="22"/>
    <n v="105.64"/>
    <n v="238.8"/>
    <n v="10"/>
    <n v="859.68"/>
    <n v="437.12"/>
    <n v="50.85"/>
    <x v="0"/>
    <s v="Delivery"/>
    <s v="Diya"/>
    <n v="4"/>
    <s v="Completed"/>
  </r>
  <r>
    <x v="346"/>
    <d v="2025-06-29T00:00:00"/>
    <s v="13:30"/>
    <s v="Sunday"/>
    <x v="10"/>
    <s v="Q2"/>
    <s v="Summer"/>
    <s v="S04"/>
    <x v="5"/>
    <x v="5"/>
    <s v="West"/>
    <s v="C2348"/>
    <x v="0"/>
    <s v="Gold"/>
    <s v="P033"/>
    <x v="8"/>
    <x v="0"/>
    <s v="Medium"/>
    <n v="2"/>
    <n v="89.64"/>
    <n v="12"/>
    <n v="22"/>
    <n v="123.64"/>
    <n v="298.8"/>
    <n v="10"/>
    <n v="537.84"/>
    <n v="290.56"/>
    <n v="54.02"/>
    <x v="2"/>
    <s v="Dine-In"/>
    <s v="Meera"/>
    <n v="5"/>
    <s v="Completed"/>
  </r>
  <r>
    <x v="347"/>
    <d v="2025-10-18T00:00:00"/>
    <s v="09:45"/>
    <s v="Saturday"/>
    <x v="0"/>
    <s v="Q4"/>
    <s v="Autumn"/>
    <s v="S07"/>
    <x v="3"/>
    <x v="3"/>
    <s v="South"/>
    <s v="C2349"/>
    <x v="1"/>
    <s v="Silver"/>
    <s v="P042"/>
    <x v="14"/>
    <x v="5"/>
    <s v="Medium"/>
    <n v="1"/>
    <n v="118.44"/>
    <n v="12"/>
    <n v="22"/>
    <n v="152.44"/>
    <n v="394.8"/>
    <n v="15"/>
    <n v="335.58"/>
    <n v="183.14"/>
    <n v="54.57"/>
    <x v="3"/>
    <s v="Takeaway"/>
    <s v="Meera"/>
    <n v="3"/>
    <s v="Completed"/>
  </r>
  <r>
    <x v="348"/>
    <d v="2025-12-17T00:00:00"/>
    <s v="18:15"/>
    <s v="Wednesday"/>
    <x v="8"/>
    <s v="Q4"/>
    <s v="Winter"/>
    <s v="S04"/>
    <x v="5"/>
    <x v="5"/>
    <s v="West"/>
    <s v="C2350"/>
    <x v="0"/>
    <s v="Gold"/>
    <s v="P002"/>
    <x v="2"/>
    <x v="1"/>
    <s v="Large"/>
    <n v="1"/>
    <n v="100.38"/>
    <n v="12"/>
    <n v="22"/>
    <n v="134.38"/>
    <n v="334.6"/>
    <n v="0"/>
    <n v="334.6"/>
    <n v="200.22"/>
    <n v="59.84"/>
    <x v="1"/>
    <s v="Takeaway"/>
    <s v="Diya"/>
    <n v="5"/>
    <s v="Completed"/>
  </r>
  <r>
    <x v="349"/>
    <d v="2025-01-19T00:00:00"/>
    <s v="17:45"/>
    <s v="Sunday"/>
    <x v="9"/>
    <s v="Q1"/>
    <s v="Winter"/>
    <s v="S07"/>
    <x v="3"/>
    <x v="3"/>
    <s v="South"/>
    <s v="C2351"/>
    <x v="2"/>
    <s v="Gold"/>
    <s v="P002"/>
    <x v="2"/>
    <x v="1"/>
    <s v="Small"/>
    <n v="2"/>
    <n v="71.7"/>
    <n v="12"/>
    <n v="22"/>
    <n v="105.7"/>
    <n v="239"/>
    <n v="15"/>
    <n v="406.3"/>
    <n v="194.9"/>
    <n v="47.97"/>
    <x v="3"/>
    <s v="Dine-In"/>
    <s v="Rohan"/>
    <n v="5"/>
    <s v="Completed"/>
  </r>
  <r>
    <x v="350"/>
    <d v="2025-08-14T00:00:00"/>
    <s v="17:15"/>
    <s v="Thursday"/>
    <x v="4"/>
    <s v="Q3"/>
    <s v="Monsoon"/>
    <s v="S14"/>
    <x v="4"/>
    <x v="4"/>
    <s v="North"/>
    <s v="C2352"/>
    <x v="1"/>
    <s v="Silver"/>
    <s v="P001"/>
    <x v="1"/>
    <x v="1"/>
    <s v="Large"/>
    <n v="1"/>
    <n v="62.58"/>
    <n v="12"/>
    <n v="22"/>
    <n v="96.58"/>
    <n v="208.6"/>
    <n v="5"/>
    <n v="198.17"/>
    <n v="101.59"/>
    <n v="51.26"/>
    <x v="0"/>
    <s v="Delivery"/>
    <s v="Diya"/>
    <n v="4"/>
    <s v="Completed"/>
  </r>
  <r>
    <x v="351"/>
    <d v="2025-07-19T00:00:00"/>
    <s v="17:15"/>
    <s v="Saturday"/>
    <x v="6"/>
    <s v="Q3"/>
    <s v="Monsoon"/>
    <s v="S01"/>
    <x v="0"/>
    <x v="0"/>
    <s v="North"/>
    <s v="C2353"/>
    <x v="0"/>
    <s v="Platinum"/>
    <s v="P042"/>
    <x v="14"/>
    <x v="5"/>
    <s v="Large"/>
    <n v="2"/>
    <n v="138.18"/>
    <n v="12"/>
    <n v="22"/>
    <n v="172.18"/>
    <n v="460.6"/>
    <n v="15"/>
    <n v="783.02"/>
    <n v="438.66"/>
    <n v="56.02"/>
    <x v="0"/>
    <s v="Dine-In"/>
    <s v="Kabir"/>
    <n v="5"/>
    <s v="Completed"/>
  </r>
  <r>
    <x v="352"/>
    <d v="2025-04-08T00:00:00"/>
    <s v="09:45"/>
    <s v="Tuesday"/>
    <x v="11"/>
    <s v="Q2"/>
    <s v="Summer"/>
    <s v="S07"/>
    <x v="3"/>
    <x v="3"/>
    <s v="South"/>
    <s v="C2354"/>
    <x v="0"/>
    <s v="Platinum"/>
    <s v="P033"/>
    <x v="8"/>
    <x v="0"/>
    <s v="Medium"/>
    <n v="1"/>
    <n v="89.64"/>
    <n v="12"/>
    <n v="22"/>
    <n v="123.64"/>
    <n v="298.8"/>
    <n v="0"/>
    <n v="298.8"/>
    <n v="175.16"/>
    <n v="58.62"/>
    <x v="2"/>
    <s v="Delivery"/>
    <s v="Meera"/>
    <n v="4"/>
    <s v="Completed"/>
  </r>
  <r>
    <x v="353"/>
    <d v="2025-09-06T00:00:00"/>
    <s v="13:30"/>
    <s v="Saturday"/>
    <x v="2"/>
    <s v="Q3"/>
    <s v="Monsoon"/>
    <s v="S12"/>
    <x v="2"/>
    <x v="2"/>
    <s v="East"/>
    <s v="C2355"/>
    <x v="2"/>
    <s v="Silver"/>
    <s v="P034"/>
    <x v="0"/>
    <x v="0"/>
    <s v="Small"/>
    <n v="4"/>
    <n v="77.7"/>
    <n v="12"/>
    <n v="22"/>
    <n v="111.7"/>
    <n v="259"/>
    <n v="10"/>
    <n v="932.4"/>
    <n v="485.6"/>
    <n v="52.08"/>
    <x v="2"/>
    <s v="Dine-In"/>
    <s v="Diya"/>
    <n v="4"/>
    <s v="Completed"/>
  </r>
  <r>
    <x v="354"/>
    <d v="2025-07-01T00:00:00"/>
    <s v="08:15"/>
    <s v="Tuesday"/>
    <x v="6"/>
    <s v="Q3"/>
    <s v="Monsoon"/>
    <s v="S07"/>
    <x v="3"/>
    <x v="3"/>
    <s v="South"/>
    <s v="C2356"/>
    <x v="0"/>
    <s v="Gold"/>
    <s v="P014"/>
    <x v="4"/>
    <x v="2"/>
    <s v="Small"/>
    <n v="1"/>
    <n v="44.7"/>
    <n v="12"/>
    <n v="22"/>
    <n v="78.7"/>
    <n v="149"/>
    <n v="0"/>
    <n v="149"/>
    <n v="70.3"/>
    <n v="47.18"/>
    <x v="0"/>
    <s v="Takeaway"/>
    <s v="Diya"/>
    <n v="4"/>
    <s v="Completed"/>
  </r>
  <r>
    <x v="355"/>
    <d v="2025-12-24T00:00:00"/>
    <s v="09:45"/>
    <s v="Wednesday"/>
    <x v="8"/>
    <s v="Q4"/>
    <s v="Winter"/>
    <s v="S12"/>
    <x v="2"/>
    <x v="2"/>
    <s v="East"/>
    <s v="C2357"/>
    <x v="2"/>
    <s v="Platinum"/>
    <s v="P003"/>
    <x v="3"/>
    <x v="1"/>
    <s v="Medium"/>
    <n v="1"/>
    <n v="78.84"/>
    <n v="12"/>
    <n v="22"/>
    <n v="112.84"/>
    <n v="262.8"/>
    <n v="0"/>
    <n v="262.8"/>
    <n v="149.96"/>
    <n v="57.06"/>
    <x v="2"/>
    <s v="Delivery"/>
    <s v="Kabir"/>
    <s v="Not Rated"/>
    <s v="Completed"/>
  </r>
  <r>
    <x v="356"/>
    <d v="2025-04-06T00:00:00"/>
    <s v="18:00"/>
    <s v="Sunday"/>
    <x v="11"/>
    <s v="Q2"/>
    <s v="Summer"/>
    <s v="S01"/>
    <x v="0"/>
    <x v="0"/>
    <s v="North"/>
    <s v="C2358"/>
    <x v="1"/>
    <s v="Platinum"/>
    <s v="P042"/>
    <x v="14"/>
    <x v="5"/>
    <s v="Medium"/>
    <n v="2"/>
    <n v="118.44"/>
    <n v="12"/>
    <n v="22"/>
    <n v="152.44"/>
    <n v="394.8"/>
    <n v="10"/>
    <n v="710.64"/>
    <n v="405.76"/>
    <n v="57.1"/>
    <x v="1"/>
    <s v="Dine-In"/>
    <s v="Kabir"/>
    <n v="5"/>
    <s v="Completed"/>
  </r>
  <r>
    <x v="357"/>
    <d v="2025-05-28T00:00:00"/>
    <s v="17:30"/>
    <s v="Wednesday"/>
    <x v="7"/>
    <s v="Q2"/>
    <s v="Summer"/>
    <s v="S10"/>
    <x v="1"/>
    <x v="1"/>
    <s v="South"/>
    <s v="C2359"/>
    <x v="0"/>
    <s v="Silver"/>
    <s v="P019"/>
    <x v="7"/>
    <x v="4"/>
    <s v="Medium"/>
    <n v="3"/>
    <n v="71.64"/>
    <n v="12"/>
    <n v="22"/>
    <n v="105.64"/>
    <n v="238.8"/>
    <n v="0"/>
    <n v="716.4"/>
    <n v="399.48"/>
    <n v="55.76"/>
    <x v="2"/>
    <s v="Dine-In"/>
    <s v="Rohan"/>
    <n v="5"/>
    <s v="Completed"/>
  </r>
  <r>
    <x v="358"/>
    <d v="2025-11-12T00:00:00"/>
    <s v="09:00"/>
    <s v="Wednesday"/>
    <x v="1"/>
    <s v="Q4"/>
    <s v="Autumn"/>
    <s v="S12"/>
    <x v="2"/>
    <x v="2"/>
    <s v="East"/>
    <s v="C2360"/>
    <x v="2"/>
    <s v="Platinum"/>
    <s v="P002"/>
    <x v="2"/>
    <x v="1"/>
    <s v="Medium"/>
    <n v="2"/>
    <n v="86.04"/>
    <n v="12"/>
    <n v="22"/>
    <n v="120.04"/>
    <n v="286.8"/>
    <n v="0"/>
    <n v="573.6"/>
    <n v="333.52"/>
    <n v="58.15"/>
    <x v="0"/>
    <s v="Takeaway"/>
    <s v="Kabir"/>
    <n v="4"/>
    <s v="Completed"/>
  </r>
  <r>
    <x v="359"/>
    <d v="2025-09-25T00:00:00"/>
    <s v="13:45"/>
    <s v="Thursday"/>
    <x v="2"/>
    <s v="Q3"/>
    <s v="Monsoon"/>
    <s v="S14"/>
    <x v="4"/>
    <x v="4"/>
    <s v="North"/>
    <s v="C2361"/>
    <x v="1"/>
    <s v="Platinum"/>
    <s v="P036"/>
    <x v="11"/>
    <x v="0"/>
    <s v="Large"/>
    <n v="3"/>
    <n v="66.78"/>
    <n v="12"/>
    <n v="22"/>
    <n v="100.78"/>
    <n v="222.6"/>
    <n v="0"/>
    <n v="667.8"/>
    <n v="365.46"/>
    <n v="54.73"/>
    <x v="3"/>
    <s v="Delivery"/>
    <s v="Kabir"/>
    <n v="5"/>
    <s v="Completed"/>
  </r>
  <r>
    <x v="360"/>
    <d v="2025-12-21T00:00:00"/>
    <s v="17:15"/>
    <s v="Sunday"/>
    <x v="8"/>
    <s v="Q4"/>
    <s v="Winter"/>
    <s v="S14"/>
    <x v="4"/>
    <x v="4"/>
    <s v="North"/>
    <s v="C2362"/>
    <x v="0"/>
    <s v="Gold"/>
    <s v="P004"/>
    <x v="10"/>
    <x v="1"/>
    <s v="Medium"/>
    <n v="3"/>
    <n v="60.84"/>
    <n v="12"/>
    <n v="22"/>
    <n v="94.84"/>
    <n v="202.8"/>
    <n v="10"/>
    <n v="547.55999999999995"/>
    <n v="263.04000000000002"/>
    <n v="48.04"/>
    <x v="2"/>
    <s v="Takeaway"/>
    <s v="Diya"/>
    <n v="4"/>
    <s v="Completed"/>
  </r>
  <r>
    <x v="361"/>
    <d v="2025-04-02T00:00:00"/>
    <s v="18:00"/>
    <s v="Wednesday"/>
    <x v="11"/>
    <s v="Q2"/>
    <s v="Summer"/>
    <s v="S14"/>
    <x v="4"/>
    <x v="4"/>
    <s v="North"/>
    <s v="C2363"/>
    <x v="2"/>
    <s v="Gold"/>
    <s v="P020"/>
    <x v="9"/>
    <x v="4"/>
    <s v="Large"/>
    <n v="2"/>
    <n v="66.78"/>
    <n v="12"/>
    <n v="22"/>
    <n v="100.78"/>
    <n v="222.6"/>
    <n v="0"/>
    <n v="445.2"/>
    <n v="243.64"/>
    <n v="54.73"/>
    <x v="0"/>
    <s v="Dine-In"/>
    <s v="Kabir"/>
    <n v="5"/>
    <s v="Completed"/>
  </r>
  <r>
    <x v="362"/>
    <d v="2025-06-16T00:00:00"/>
    <s v="18:30"/>
    <s v="Monday"/>
    <x v="10"/>
    <s v="Q2"/>
    <s v="Summer"/>
    <s v="S14"/>
    <x v="4"/>
    <x v="4"/>
    <s v="North"/>
    <s v="C2364"/>
    <x v="1"/>
    <s v="Silver"/>
    <s v="P020"/>
    <x v="9"/>
    <x v="4"/>
    <s v="Medium"/>
    <n v="3"/>
    <n v="57.24"/>
    <n v="12"/>
    <n v="22"/>
    <n v="91.240000000000009"/>
    <n v="190.8"/>
    <n v="0"/>
    <n v="572.4"/>
    <n v="298.68"/>
    <n v="52.18"/>
    <x v="1"/>
    <s v="Takeaway"/>
    <s v="Aarav"/>
    <n v="3"/>
    <s v="Completed"/>
  </r>
  <r>
    <x v="363"/>
    <d v="2025-10-21T00:00:00"/>
    <s v="18:00"/>
    <s v="Tuesday"/>
    <x v="0"/>
    <s v="Q4"/>
    <s v="Autumn"/>
    <s v="S12"/>
    <x v="2"/>
    <x v="2"/>
    <s v="East"/>
    <s v="C2365"/>
    <x v="1"/>
    <s v="Gold"/>
    <s v="P002"/>
    <x v="2"/>
    <x v="1"/>
    <s v="Medium"/>
    <n v="3"/>
    <n v="86.04"/>
    <n v="12"/>
    <n v="22"/>
    <n v="120.04"/>
    <n v="286.8"/>
    <n v="0"/>
    <n v="860.4"/>
    <n v="500.28"/>
    <n v="58.15"/>
    <x v="3"/>
    <s v="Dine-In"/>
    <s v="Meera"/>
    <n v="4"/>
    <s v="Completed"/>
  </r>
  <r>
    <x v="364"/>
    <d v="2025-05-09T00:00:00"/>
    <s v="08:00"/>
    <s v="Friday"/>
    <x v="7"/>
    <s v="Q2"/>
    <s v="Summer"/>
    <s v="S04"/>
    <x v="5"/>
    <x v="5"/>
    <s v="West"/>
    <s v="C2366"/>
    <x v="0"/>
    <s v="Silver"/>
    <s v="P001"/>
    <x v="1"/>
    <x v="1"/>
    <s v="Large"/>
    <n v="1"/>
    <n v="62.58"/>
    <n v="12"/>
    <n v="22"/>
    <n v="96.58"/>
    <n v="208.6"/>
    <n v="0"/>
    <n v="208.6"/>
    <n v="112.02"/>
    <n v="53.7"/>
    <x v="0"/>
    <s v="Dine-In"/>
    <s v="Meera"/>
    <n v="4"/>
    <s v="Completed"/>
  </r>
  <r>
    <x v="365"/>
    <d v="2025-02-25T00:00:00"/>
    <s v="18:45"/>
    <s v="Tuesday"/>
    <x v="3"/>
    <s v="Q1"/>
    <s v="Winter"/>
    <s v="S04"/>
    <x v="5"/>
    <x v="5"/>
    <s v="West"/>
    <s v="C2367"/>
    <x v="2"/>
    <s v="Platinum"/>
    <s v="P003"/>
    <x v="3"/>
    <x v="1"/>
    <s v="Medium"/>
    <n v="2"/>
    <n v="78.84"/>
    <n v="12"/>
    <n v="22"/>
    <n v="112.84"/>
    <n v="262.8"/>
    <n v="10"/>
    <n v="473.04"/>
    <n v="247.36"/>
    <n v="52.29"/>
    <x v="2"/>
    <s v="Takeaway"/>
    <s v="Meera"/>
    <n v="3"/>
    <s v="Completed"/>
  </r>
  <r>
    <x v="366"/>
    <d v="2025-02-18T00:00:00"/>
    <s v="09:15"/>
    <s v="Tuesday"/>
    <x v="3"/>
    <s v="Q1"/>
    <s v="Winter"/>
    <s v="S07"/>
    <x v="3"/>
    <x v="3"/>
    <s v="South"/>
    <s v="C2368"/>
    <x v="1"/>
    <s v="Silver"/>
    <s v="P003"/>
    <x v="3"/>
    <x v="1"/>
    <s v="Large"/>
    <n v="2"/>
    <n v="91.98"/>
    <n v="12"/>
    <n v="22"/>
    <n v="125.98"/>
    <n v="306.60000000000002"/>
    <n v="0"/>
    <n v="613.20000000000005"/>
    <n v="361.24"/>
    <n v="58.91"/>
    <x v="2"/>
    <s v="Takeaway"/>
    <s v="Kabir"/>
    <n v="4"/>
    <s v="Completed"/>
  </r>
  <r>
    <x v="367"/>
    <d v="2025-09-22T00:00:00"/>
    <s v="08:45"/>
    <s v="Monday"/>
    <x v="2"/>
    <s v="Q3"/>
    <s v="Monsoon"/>
    <s v="S01"/>
    <x v="0"/>
    <x v="0"/>
    <s v="North"/>
    <s v="C2369"/>
    <x v="2"/>
    <s v="Platinum"/>
    <s v="P014"/>
    <x v="4"/>
    <x v="2"/>
    <s v="Large"/>
    <n v="3"/>
    <n v="62.58"/>
    <n v="12"/>
    <n v="22"/>
    <n v="96.58"/>
    <n v="208.6"/>
    <n v="0"/>
    <n v="625.79999999999995"/>
    <n v="336.06"/>
    <n v="53.7"/>
    <x v="3"/>
    <s v="Takeaway"/>
    <s v="Meera"/>
    <n v="5"/>
    <s v="Completed"/>
  </r>
  <r>
    <x v="368"/>
    <d v="2025-08-23T00:00:00"/>
    <s v="14:00"/>
    <s v="Saturday"/>
    <x v="4"/>
    <s v="Q3"/>
    <s v="Monsoon"/>
    <s v="S04"/>
    <x v="5"/>
    <x v="5"/>
    <s v="West"/>
    <s v="C2370"/>
    <x v="1"/>
    <s v="Platinum"/>
    <s v="P027"/>
    <x v="13"/>
    <x v="3"/>
    <s v="Small"/>
    <n v="1"/>
    <n v="68.7"/>
    <n v="12"/>
    <n v="22"/>
    <n v="102.7"/>
    <n v="229"/>
    <n v="10"/>
    <n v="206.1"/>
    <n v="103.4"/>
    <n v="50.17"/>
    <x v="2"/>
    <s v="Dine-In"/>
    <s v="Meera"/>
    <n v="3"/>
    <s v="Completed"/>
  </r>
  <r>
    <x v="369"/>
    <d v="2025-05-25T00:00:00"/>
    <s v="14:30"/>
    <s v="Sunday"/>
    <x v="7"/>
    <s v="Q2"/>
    <s v="Summer"/>
    <s v="S12"/>
    <x v="2"/>
    <x v="2"/>
    <s v="East"/>
    <s v="C2371"/>
    <x v="1"/>
    <s v="Gold"/>
    <s v="P027"/>
    <x v="13"/>
    <x v="3"/>
    <s v="Medium"/>
    <n v="2"/>
    <n v="82.44"/>
    <n v="12"/>
    <n v="22"/>
    <n v="116.44"/>
    <n v="274.8"/>
    <n v="15"/>
    <n v="467.16"/>
    <n v="234.28"/>
    <n v="50.15"/>
    <x v="1"/>
    <s v="Takeaway"/>
    <s v="Rohan"/>
    <n v="4"/>
    <s v="Completed"/>
  </r>
  <r>
    <x v="370"/>
    <d v="2025-01-20T00:00:00"/>
    <s v="18:00"/>
    <s v="Monday"/>
    <x v="9"/>
    <s v="Q1"/>
    <s v="Winter"/>
    <s v="S10"/>
    <x v="1"/>
    <x v="1"/>
    <s v="South"/>
    <s v="C2372"/>
    <x v="0"/>
    <s v="Silver"/>
    <s v="P020"/>
    <x v="9"/>
    <x v="4"/>
    <s v="Large"/>
    <n v="3"/>
    <n v="66.78"/>
    <n v="12"/>
    <n v="22"/>
    <n v="100.78"/>
    <n v="222.6"/>
    <n v="0"/>
    <n v="667.8"/>
    <n v="365.46"/>
    <n v="54.73"/>
    <x v="2"/>
    <s v="Delivery"/>
    <s v="Kabir"/>
    <n v="5"/>
    <s v="Completed"/>
  </r>
  <r>
    <x v="371"/>
    <d v="2025-10-08T00:00:00"/>
    <s v="18:45"/>
    <s v="Wednesday"/>
    <x v="0"/>
    <s v="Q4"/>
    <s v="Autumn"/>
    <s v="S14"/>
    <x v="4"/>
    <x v="4"/>
    <s v="North"/>
    <s v="C2373"/>
    <x v="2"/>
    <s v="Platinum"/>
    <s v="P019"/>
    <x v="7"/>
    <x v="4"/>
    <s v="Large"/>
    <n v="2"/>
    <n v="83.58"/>
    <n v="12"/>
    <n v="22"/>
    <n v="117.58"/>
    <n v="278.60000000000002"/>
    <n v="5"/>
    <n v="529.34"/>
    <n v="294.18"/>
    <n v="55.57"/>
    <x v="2"/>
    <s v="Takeaway"/>
    <s v="Diya"/>
    <n v="5"/>
    <s v="Completed"/>
  </r>
  <r>
    <x v="372"/>
    <d v="2025-01-03T00:00:00"/>
    <s v="13:30"/>
    <s v="Friday"/>
    <x v="9"/>
    <s v="Q1"/>
    <s v="Winter"/>
    <s v="S14"/>
    <x v="4"/>
    <x v="4"/>
    <s v="North"/>
    <s v="C2374"/>
    <x v="1"/>
    <s v="Platinum"/>
    <s v="P001"/>
    <x v="1"/>
    <x v="1"/>
    <s v="Medium"/>
    <n v="3"/>
    <n v="53.64"/>
    <n v="12"/>
    <n v="22"/>
    <n v="87.64"/>
    <n v="178.8"/>
    <n v="0"/>
    <n v="536.4"/>
    <n v="273.48"/>
    <n v="50.98"/>
    <x v="0"/>
    <s v="Dine-In"/>
    <s v="Meera"/>
    <n v="5"/>
    <s v="Completed"/>
  </r>
  <r>
    <x v="373"/>
    <d v="2025-04-23T00:00:00"/>
    <s v="18:15"/>
    <s v="Wednesday"/>
    <x v="11"/>
    <s v="Q2"/>
    <s v="Summer"/>
    <s v="S12"/>
    <x v="2"/>
    <x v="2"/>
    <s v="East"/>
    <s v="C2375"/>
    <x v="2"/>
    <s v="Silver"/>
    <s v="P034"/>
    <x v="0"/>
    <x v="0"/>
    <s v="Large"/>
    <n v="2"/>
    <n v="108.78"/>
    <n v="12"/>
    <n v="22"/>
    <n v="142.78"/>
    <n v="362.6"/>
    <n v="0"/>
    <n v="725.2"/>
    <n v="439.64"/>
    <n v="60.62"/>
    <x v="0"/>
    <s v="Dine-In"/>
    <s v="Aarav"/>
    <n v="4"/>
    <s v="Completed"/>
  </r>
  <r>
    <x v="374"/>
    <d v="2025-12-18T00:00:00"/>
    <s v="18:15"/>
    <s v="Thursday"/>
    <x v="8"/>
    <s v="Q4"/>
    <s v="Winter"/>
    <s v="S10"/>
    <x v="1"/>
    <x v="1"/>
    <s v="South"/>
    <s v="C2376"/>
    <x v="0"/>
    <s v="Platinum"/>
    <s v="P001"/>
    <x v="1"/>
    <x v="1"/>
    <s v="Medium"/>
    <n v="3"/>
    <n v="53.64"/>
    <n v="12"/>
    <n v="22"/>
    <n v="87.64"/>
    <n v="178.8"/>
    <n v="0"/>
    <n v="536.4"/>
    <n v="273.48"/>
    <n v="50.98"/>
    <x v="2"/>
    <s v="Dine-In"/>
    <s v="Rohan"/>
    <n v="5"/>
    <s v="Completed"/>
  </r>
  <r>
    <x v="375"/>
    <d v="2025-09-01T00:00:00"/>
    <s v="08:30"/>
    <s v="Monday"/>
    <x v="2"/>
    <s v="Q3"/>
    <s v="Monsoon"/>
    <s v="S14"/>
    <x v="4"/>
    <x v="4"/>
    <s v="North"/>
    <s v="C2377"/>
    <x v="0"/>
    <s v="Platinum"/>
    <s v="P014"/>
    <x v="4"/>
    <x v="2"/>
    <s v="Small"/>
    <n v="2"/>
    <n v="44.7"/>
    <n v="12"/>
    <n v="22"/>
    <n v="78.7"/>
    <n v="149"/>
    <n v="10"/>
    <n v="268.2"/>
    <n v="110.8"/>
    <n v="41.31"/>
    <x v="3"/>
    <s v="Dine-In"/>
    <s v="Rohan"/>
    <n v="5"/>
    <s v="Completed"/>
  </r>
  <r>
    <x v="376"/>
    <d v="2025-07-20T00:00:00"/>
    <s v="17:00"/>
    <s v="Sunday"/>
    <x v="6"/>
    <s v="Q3"/>
    <s v="Monsoon"/>
    <s v="S12"/>
    <x v="2"/>
    <x v="2"/>
    <s v="East"/>
    <s v="C2378"/>
    <x v="0"/>
    <s v="Silver"/>
    <s v="P042"/>
    <x v="14"/>
    <x v="5"/>
    <s v="Small"/>
    <n v="1"/>
    <n v="98.7"/>
    <n v="12"/>
    <n v="22"/>
    <n v="132.69999999999999"/>
    <n v="329"/>
    <n v="15"/>
    <n v="279.64999999999998"/>
    <n v="146.94999999999999"/>
    <n v="52.55"/>
    <x v="0"/>
    <s v="Takeaway"/>
    <s v="Rohan"/>
    <n v="5"/>
    <s v="Completed"/>
  </r>
  <r>
    <x v="377"/>
    <d v="2025-03-21T00:00:00"/>
    <s v="13:30"/>
    <s v="Friday"/>
    <x v="5"/>
    <s v="Q1"/>
    <s v="Autumn"/>
    <s v="S01"/>
    <x v="0"/>
    <x v="0"/>
    <s v="North"/>
    <s v="C2379"/>
    <x v="1"/>
    <s v="Silver"/>
    <s v="P033"/>
    <x v="8"/>
    <x v="0"/>
    <s v="Small"/>
    <n v="1"/>
    <n v="74.7"/>
    <n v="12"/>
    <n v="22"/>
    <n v="108.7"/>
    <n v="249"/>
    <n v="0"/>
    <n v="249"/>
    <n v="140.30000000000001"/>
    <n v="56.35"/>
    <x v="0"/>
    <s v="Dine-In"/>
    <s v="Rohan"/>
    <n v="4"/>
    <s v="Completed"/>
  </r>
  <r>
    <x v="378"/>
    <d v="2025-07-14T00:00:00"/>
    <s v="09:15"/>
    <s v="Monday"/>
    <x v="6"/>
    <s v="Q3"/>
    <s v="Monsoon"/>
    <s v="S07"/>
    <x v="3"/>
    <x v="3"/>
    <s v="South"/>
    <s v="C2380"/>
    <x v="1"/>
    <s v="Platinum"/>
    <s v="P013"/>
    <x v="5"/>
    <x v="2"/>
    <s v="Large"/>
    <n v="3"/>
    <n v="54.18"/>
    <n v="12"/>
    <n v="22"/>
    <n v="88.18"/>
    <n v="180.6"/>
    <n v="0"/>
    <n v="541.79999999999995"/>
    <n v="277.26"/>
    <n v="51.17"/>
    <x v="1"/>
    <s v="Takeaway"/>
    <s v="Kabir"/>
    <n v="5"/>
    <s v="Completed"/>
  </r>
  <r>
    <x v="379"/>
    <d v="2025-11-05T00:00:00"/>
    <s v="18:00"/>
    <s v="Wednesday"/>
    <x v="1"/>
    <s v="Q4"/>
    <s v="Autumn"/>
    <s v="S14"/>
    <x v="4"/>
    <x v="4"/>
    <s v="North"/>
    <s v="C2381"/>
    <x v="1"/>
    <s v="Gold"/>
    <s v="P002"/>
    <x v="2"/>
    <x v="1"/>
    <s v="Large"/>
    <n v="3"/>
    <n v="100.38"/>
    <n v="12"/>
    <n v="22"/>
    <n v="134.38"/>
    <n v="334.6"/>
    <n v="0"/>
    <n v="1003.8"/>
    <n v="600.66"/>
    <n v="59.84"/>
    <x v="0"/>
    <s v="Dine-In"/>
    <s v="Aarav"/>
    <n v="5"/>
    <s v="Completed"/>
  </r>
  <r>
    <x v="380"/>
    <d v="2025-08-13T00:00:00"/>
    <s v="17:30"/>
    <s v="Wednesday"/>
    <x v="4"/>
    <s v="Q3"/>
    <s v="Monsoon"/>
    <s v="S04"/>
    <x v="5"/>
    <x v="5"/>
    <s v="West"/>
    <s v="C2382"/>
    <x v="0"/>
    <s v="Gold"/>
    <s v="P019"/>
    <x v="7"/>
    <x v="4"/>
    <s v="Medium"/>
    <n v="2"/>
    <n v="71.64"/>
    <n v="12"/>
    <n v="22"/>
    <n v="105.64"/>
    <n v="238.8"/>
    <n v="0"/>
    <n v="477.6"/>
    <n v="266.32"/>
    <n v="55.76"/>
    <x v="3"/>
    <s v="Takeaway"/>
    <s v="Kabir"/>
    <n v="5"/>
    <s v="Completed"/>
  </r>
  <r>
    <x v="381"/>
    <d v="2025-09-10T00:00:00"/>
    <s v="09:45"/>
    <s v="Wednesday"/>
    <x v="2"/>
    <s v="Q3"/>
    <s v="Monsoon"/>
    <s v="S01"/>
    <x v="0"/>
    <x v="0"/>
    <s v="North"/>
    <s v="C2383"/>
    <x v="2"/>
    <s v="Silver"/>
    <s v="P002"/>
    <x v="2"/>
    <x v="1"/>
    <s v="Medium"/>
    <n v="1"/>
    <n v="86.04"/>
    <n v="12"/>
    <n v="22"/>
    <n v="120.04"/>
    <n v="286.8"/>
    <n v="5"/>
    <n v="272.45999999999998"/>
    <n v="152.41999999999999"/>
    <n v="55.94"/>
    <x v="1"/>
    <s v="Dine-In"/>
    <s v="Aarav"/>
    <n v="5"/>
    <s v="Completed"/>
  </r>
  <r>
    <x v="382"/>
    <d v="2025-08-15T00:00:00"/>
    <s v="13:15"/>
    <s v="Friday"/>
    <x v="4"/>
    <s v="Q3"/>
    <s v="Monsoon"/>
    <s v="S07"/>
    <x v="3"/>
    <x v="3"/>
    <s v="South"/>
    <s v="C2384"/>
    <x v="2"/>
    <s v="Gold"/>
    <s v="P033"/>
    <x v="8"/>
    <x v="0"/>
    <s v="Large"/>
    <n v="2"/>
    <n v="104.58"/>
    <n v="12"/>
    <n v="22"/>
    <n v="138.58000000000001"/>
    <n v="348.6"/>
    <n v="5"/>
    <n v="662.34"/>
    <n v="385.18"/>
    <n v="58.15"/>
    <x v="1"/>
    <s v="Dine-In"/>
    <s v="Meera"/>
    <n v="5"/>
    <s v="Completed"/>
  </r>
  <r>
    <x v="383"/>
    <d v="2025-08-25T00:00:00"/>
    <s v="13:30"/>
    <s v="Monday"/>
    <x v="4"/>
    <s v="Q3"/>
    <s v="Monsoon"/>
    <s v="S07"/>
    <x v="3"/>
    <x v="3"/>
    <s v="South"/>
    <s v="C2385"/>
    <x v="2"/>
    <s v="Silver"/>
    <s v="P034"/>
    <x v="0"/>
    <x v="0"/>
    <s v="Small"/>
    <n v="1"/>
    <n v="77.7"/>
    <n v="12"/>
    <n v="22"/>
    <n v="111.7"/>
    <n v="259"/>
    <n v="0"/>
    <n v="259"/>
    <n v="147.30000000000001"/>
    <n v="56.87"/>
    <x v="0"/>
    <s v="Delivery"/>
    <s v="Kabir"/>
    <n v="5"/>
    <s v="Completed"/>
  </r>
  <r>
    <x v="384"/>
    <d v="2025-02-03T00:00:00"/>
    <s v="09:00"/>
    <s v="Monday"/>
    <x v="3"/>
    <s v="Q1"/>
    <s v="Winter"/>
    <s v="S07"/>
    <x v="3"/>
    <x v="3"/>
    <s v="South"/>
    <s v="C2386"/>
    <x v="0"/>
    <s v="Gold"/>
    <s v="P013"/>
    <x v="5"/>
    <x v="2"/>
    <s v="Large"/>
    <n v="3"/>
    <n v="54.18"/>
    <n v="12"/>
    <n v="22"/>
    <n v="88.18"/>
    <n v="180.6"/>
    <n v="0"/>
    <n v="541.79999999999995"/>
    <n v="277.26"/>
    <n v="51.17"/>
    <x v="1"/>
    <s v="Takeaway"/>
    <s v="Diya"/>
    <n v="5"/>
    <s v="Completed"/>
  </r>
  <r>
    <x v="385"/>
    <d v="2025-08-10T00:00:00"/>
    <s v="09:00"/>
    <s v="Sunday"/>
    <x v="4"/>
    <s v="Q3"/>
    <s v="Monsoon"/>
    <s v="S10"/>
    <x v="1"/>
    <x v="1"/>
    <s v="South"/>
    <s v="C2387"/>
    <x v="2"/>
    <s v="Gold"/>
    <s v="P041"/>
    <x v="12"/>
    <x v="5"/>
    <s v="Medium"/>
    <n v="3"/>
    <n v="107.64"/>
    <n v="12"/>
    <n v="22"/>
    <n v="141.63999999999999"/>
    <n v="358.8"/>
    <n v="15"/>
    <n v="914.94"/>
    <n v="490.02"/>
    <n v="53.56"/>
    <x v="1"/>
    <s v="Takeaway"/>
    <s v="Aarav"/>
    <n v="5"/>
    <s v="Completed"/>
  </r>
  <r>
    <x v="386"/>
    <d v="2025-09-10T00:00:00"/>
    <s v="18:45"/>
    <s v="Wednesday"/>
    <x v="2"/>
    <s v="Q3"/>
    <s v="Monsoon"/>
    <s v="S12"/>
    <x v="2"/>
    <x v="2"/>
    <s v="East"/>
    <s v="C2388"/>
    <x v="2"/>
    <s v="Platinum"/>
    <s v="P003"/>
    <x v="3"/>
    <x v="1"/>
    <s v="Large"/>
    <n v="2"/>
    <n v="91.98"/>
    <n v="12"/>
    <n v="22"/>
    <n v="125.98"/>
    <n v="306.60000000000002"/>
    <n v="5"/>
    <n v="582.54"/>
    <n v="330.58"/>
    <n v="56.75"/>
    <x v="2"/>
    <s v="Delivery"/>
    <s v="Rohan"/>
    <n v="4"/>
    <s v="Completed"/>
  </r>
  <r>
    <x v="387"/>
    <d v="2025-02-17T00:00:00"/>
    <s v="14:45"/>
    <s v="Monday"/>
    <x v="3"/>
    <s v="Q1"/>
    <s v="Winter"/>
    <s v="S14"/>
    <x v="4"/>
    <x v="4"/>
    <s v="North"/>
    <s v="C2389"/>
    <x v="1"/>
    <s v="Platinum"/>
    <s v="P001"/>
    <x v="1"/>
    <x v="1"/>
    <s v="Small"/>
    <n v="2"/>
    <n v="44.7"/>
    <n v="12"/>
    <n v="22"/>
    <n v="78.7"/>
    <n v="149"/>
    <n v="0"/>
    <n v="298"/>
    <n v="140.6"/>
    <n v="47.18"/>
    <x v="1"/>
    <s v="Takeaway"/>
    <s v="Rohan"/>
    <n v="5"/>
    <s v="Completed"/>
  </r>
  <r>
    <x v="388"/>
    <d v="2025-08-09T00:00:00"/>
    <s v="08:00"/>
    <s v="Saturday"/>
    <x v="4"/>
    <s v="Q3"/>
    <s v="Monsoon"/>
    <s v="S01"/>
    <x v="0"/>
    <x v="0"/>
    <s v="North"/>
    <s v="C2390"/>
    <x v="0"/>
    <s v="Gold"/>
    <s v="P013"/>
    <x v="5"/>
    <x v="2"/>
    <s v="Large"/>
    <n v="3"/>
    <n v="54.18"/>
    <n v="12"/>
    <n v="22"/>
    <n v="88.18"/>
    <n v="180.6"/>
    <n v="15"/>
    <n v="460.53"/>
    <n v="195.99"/>
    <n v="42.56"/>
    <x v="0"/>
    <s v="Dine-In"/>
    <s v="Rohan"/>
    <n v="5"/>
    <s v="Completed"/>
  </r>
  <r>
    <x v="389"/>
    <d v="2025-11-11T00:00:00"/>
    <s v="17:15"/>
    <s v="Tuesday"/>
    <x v="1"/>
    <s v="Q4"/>
    <s v="Autumn"/>
    <s v="S10"/>
    <x v="1"/>
    <x v="1"/>
    <s v="South"/>
    <s v="C2391"/>
    <x v="1"/>
    <s v="Gold"/>
    <s v="P019"/>
    <x v="7"/>
    <x v="4"/>
    <s v="Large"/>
    <n v="3"/>
    <n v="83.58"/>
    <n v="12"/>
    <n v="22"/>
    <n v="117.58"/>
    <n v="278.60000000000002"/>
    <n v="0"/>
    <n v="835.8"/>
    <n v="483.06"/>
    <n v="57.8"/>
    <x v="3"/>
    <s v="Delivery"/>
    <s v="Aarav"/>
    <n v="5"/>
    <s v="Completed"/>
  </r>
  <r>
    <x v="390"/>
    <d v="2025-05-02T00:00:00"/>
    <s v="13:30"/>
    <s v="Friday"/>
    <x v="7"/>
    <s v="Q2"/>
    <s v="Summer"/>
    <s v="S01"/>
    <x v="0"/>
    <x v="0"/>
    <s v="North"/>
    <s v="C2392"/>
    <x v="2"/>
    <s v="Platinum"/>
    <s v="P033"/>
    <x v="8"/>
    <x v="0"/>
    <s v="Small"/>
    <n v="3"/>
    <n v="74.7"/>
    <n v="12"/>
    <n v="22"/>
    <n v="108.7"/>
    <n v="249"/>
    <n v="0"/>
    <n v="747"/>
    <n v="420.9"/>
    <n v="56.35"/>
    <x v="0"/>
    <s v="Dine-In"/>
    <s v="Rohan"/>
    <n v="5"/>
    <s v="Completed"/>
  </r>
  <r>
    <x v="391"/>
    <d v="2025-11-20T00:00:00"/>
    <s v="09:30"/>
    <s v="Thursday"/>
    <x v="1"/>
    <s v="Q4"/>
    <s v="Autumn"/>
    <s v="S01"/>
    <x v="0"/>
    <x v="0"/>
    <s v="North"/>
    <s v="C2393"/>
    <x v="1"/>
    <s v="Gold"/>
    <s v="P004"/>
    <x v="10"/>
    <x v="1"/>
    <s v="Large"/>
    <n v="3"/>
    <n v="70.98"/>
    <n v="12"/>
    <n v="22"/>
    <n v="104.98"/>
    <n v="236.6"/>
    <n v="0"/>
    <n v="709.8"/>
    <n v="394.86"/>
    <n v="55.63"/>
    <x v="3"/>
    <s v="Takeaway"/>
    <s v="Meera"/>
    <n v="5"/>
    <s v="Completed"/>
  </r>
  <r>
    <x v="392"/>
    <d v="2025-05-21T00:00:00"/>
    <s v="14:15"/>
    <s v="Wednesday"/>
    <x v="7"/>
    <s v="Q2"/>
    <s v="Summer"/>
    <s v="S01"/>
    <x v="0"/>
    <x v="0"/>
    <s v="North"/>
    <s v="C2394"/>
    <x v="1"/>
    <s v="Platinum"/>
    <s v="P036"/>
    <x v="11"/>
    <x v="0"/>
    <s v="Small"/>
    <n v="2"/>
    <n v="47.7"/>
    <n v="12"/>
    <n v="22"/>
    <n v="81.7"/>
    <n v="159"/>
    <n v="0"/>
    <n v="318"/>
    <n v="154.6"/>
    <n v="48.62"/>
    <x v="2"/>
    <s v="Dine-In"/>
    <s v="Diya"/>
    <n v="5"/>
    <s v="Completed"/>
  </r>
  <r>
    <x v="393"/>
    <d v="2025-05-01T00:00:00"/>
    <s v="18:30"/>
    <s v="Thursday"/>
    <x v="7"/>
    <s v="Q2"/>
    <s v="Summer"/>
    <s v="S04"/>
    <x v="5"/>
    <x v="5"/>
    <s v="West"/>
    <s v="C2395"/>
    <x v="2"/>
    <s v="Platinum"/>
    <s v="P002"/>
    <x v="2"/>
    <x v="1"/>
    <s v="Medium"/>
    <n v="1"/>
    <n v="86.04"/>
    <n v="12"/>
    <n v="22"/>
    <n v="120.04"/>
    <n v="286.8"/>
    <n v="0"/>
    <n v="286.8"/>
    <n v="166.76"/>
    <n v="58.15"/>
    <x v="3"/>
    <s v="Dine-In"/>
    <s v="Diya"/>
    <n v="5"/>
    <s v="Completed"/>
  </r>
  <r>
    <x v="394"/>
    <d v="2025-07-03T00:00:00"/>
    <s v="18:15"/>
    <s v="Thursday"/>
    <x v="6"/>
    <s v="Q3"/>
    <s v="Monsoon"/>
    <s v="S10"/>
    <x v="1"/>
    <x v="1"/>
    <s v="South"/>
    <s v="C2396"/>
    <x v="0"/>
    <s v="Silver"/>
    <s v="P002"/>
    <x v="2"/>
    <x v="1"/>
    <s v="Medium"/>
    <n v="2"/>
    <n v="86.04"/>
    <n v="12"/>
    <n v="22"/>
    <n v="120.04"/>
    <n v="286.8"/>
    <n v="10"/>
    <n v="516.24"/>
    <n v="276.16000000000003"/>
    <n v="53.49"/>
    <x v="3"/>
    <s v="Takeaway"/>
    <s v="Diya"/>
    <n v="5"/>
    <s v="Completed"/>
  </r>
  <r>
    <x v="395"/>
    <d v="2025-06-19T00:00:00"/>
    <s v="13:45"/>
    <s v="Thursday"/>
    <x v="10"/>
    <s v="Q2"/>
    <s v="Summer"/>
    <s v="S04"/>
    <x v="5"/>
    <x v="5"/>
    <s v="West"/>
    <s v="C2397"/>
    <x v="0"/>
    <s v="Platinum"/>
    <s v="P036"/>
    <x v="11"/>
    <x v="0"/>
    <s v="Small"/>
    <n v="2"/>
    <n v="47.7"/>
    <n v="12"/>
    <n v="22"/>
    <n v="81.7"/>
    <n v="159"/>
    <n v="0"/>
    <n v="318"/>
    <n v="154.6"/>
    <n v="48.62"/>
    <x v="3"/>
    <s v="Dine-In"/>
    <s v="Rohan"/>
    <n v="5"/>
    <s v="Completed"/>
  </r>
  <r>
    <x v="396"/>
    <d v="2025-08-18T00:00:00"/>
    <s v="17:45"/>
    <s v="Monday"/>
    <x v="4"/>
    <s v="Q3"/>
    <s v="Monsoon"/>
    <s v="S04"/>
    <x v="5"/>
    <x v="5"/>
    <s v="West"/>
    <s v="C2398"/>
    <x v="2"/>
    <s v="Silver"/>
    <s v="P004"/>
    <x v="10"/>
    <x v="1"/>
    <s v="Large"/>
    <n v="1"/>
    <n v="70.98"/>
    <n v="12"/>
    <n v="22"/>
    <n v="104.98"/>
    <n v="236.6"/>
    <n v="0"/>
    <n v="236.6"/>
    <n v="131.62"/>
    <n v="55.63"/>
    <x v="1"/>
    <s v="Dine-In"/>
    <s v="Aarav"/>
    <n v="5"/>
    <s v="Completed"/>
  </r>
  <r>
    <x v="397"/>
    <d v="2025-12-08T00:00:00"/>
    <s v="18:00"/>
    <s v="Monday"/>
    <x v="8"/>
    <s v="Q4"/>
    <s v="Winter"/>
    <s v="S07"/>
    <x v="3"/>
    <x v="3"/>
    <s v="South"/>
    <s v="C2399"/>
    <x v="0"/>
    <s v="Silver"/>
    <s v="P001"/>
    <x v="1"/>
    <x v="1"/>
    <s v="Small"/>
    <n v="1"/>
    <n v="44.7"/>
    <n v="12"/>
    <n v="22"/>
    <n v="78.7"/>
    <n v="149"/>
    <n v="10"/>
    <n v="134.1"/>
    <n v="55.4"/>
    <n v="41.31"/>
    <x v="1"/>
    <s v="Delivery"/>
    <s v="Aarav"/>
    <n v="5"/>
    <s v="Completed"/>
  </r>
  <r>
    <x v="398"/>
    <d v="2025-08-08T00:00:00"/>
    <s v="13:45"/>
    <s v="Friday"/>
    <x v="4"/>
    <s v="Q3"/>
    <s v="Monsoon"/>
    <s v="S04"/>
    <x v="5"/>
    <x v="5"/>
    <s v="West"/>
    <s v="C2400"/>
    <x v="2"/>
    <s v="Gold"/>
    <s v="P014"/>
    <x v="4"/>
    <x v="2"/>
    <s v="Small"/>
    <n v="2"/>
    <n v="44.7"/>
    <n v="12"/>
    <n v="22"/>
    <n v="78.7"/>
    <n v="149"/>
    <n v="0"/>
    <n v="298"/>
    <n v="140.6"/>
    <n v="47.18"/>
    <x v="1"/>
    <s v="Dine-In"/>
    <s v="Diya"/>
    <n v="4"/>
    <s v="Completed"/>
  </r>
  <r>
    <x v="399"/>
    <d v="2025-10-22T00:00:00"/>
    <s v="08:45"/>
    <s v="Wednesday"/>
    <x v="0"/>
    <s v="Q4"/>
    <s v="Autumn"/>
    <s v="S04"/>
    <x v="5"/>
    <x v="5"/>
    <s v="West"/>
    <s v="C2401"/>
    <x v="1"/>
    <s v="Silver"/>
    <s v="P003"/>
    <x v="3"/>
    <x v="1"/>
    <s v="Small"/>
    <n v="2"/>
    <n v="65.7"/>
    <n v="12"/>
    <n v="22"/>
    <n v="99.7"/>
    <n v="219"/>
    <n v="5"/>
    <n v="416.1"/>
    <n v="216.7"/>
    <n v="52.08"/>
    <x v="0"/>
    <s v="Dine-In"/>
    <s v="Meera"/>
    <n v="5"/>
    <s v="Completed"/>
  </r>
  <r>
    <x v="400"/>
    <d v="2025-05-01T00:00:00"/>
    <s v="09:45"/>
    <s v="Thursday"/>
    <x v="7"/>
    <s v="Q2"/>
    <s v="Summer"/>
    <s v="S04"/>
    <x v="5"/>
    <x v="5"/>
    <s v="West"/>
    <s v="C2402"/>
    <x v="1"/>
    <s v="Platinum"/>
    <s v="P033"/>
    <x v="8"/>
    <x v="0"/>
    <s v="Medium"/>
    <n v="2"/>
    <n v="89.64"/>
    <n v="12"/>
    <n v="22"/>
    <n v="123.64"/>
    <n v="298.8"/>
    <n v="0"/>
    <n v="597.6"/>
    <n v="350.32"/>
    <n v="58.62"/>
    <x v="3"/>
    <s v="Takeaway"/>
    <s v="Kabir"/>
    <n v="5"/>
    <s v="Completed"/>
  </r>
  <r>
    <x v="401"/>
    <d v="2025-07-02T00:00:00"/>
    <s v="17:45"/>
    <s v="Wednesday"/>
    <x v="6"/>
    <s v="Q3"/>
    <s v="Monsoon"/>
    <s v="S10"/>
    <x v="1"/>
    <x v="1"/>
    <s v="South"/>
    <s v="C2404"/>
    <x v="2"/>
    <s v="Silver"/>
    <s v="P002"/>
    <x v="2"/>
    <x v="1"/>
    <s v="Large"/>
    <n v="3"/>
    <n v="100.38"/>
    <n v="12"/>
    <n v="22"/>
    <n v="134.38"/>
    <n v="334.6"/>
    <n v="10"/>
    <n v="903.42"/>
    <n v="500.28"/>
    <n v="55.38"/>
    <x v="0"/>
    <s v="Dine-In"/>
    <s v="Kabir"/>
    <n v="5"/>
    <s v="Completed"/>
  </r>
  <r>
    <x v="402"/>
    <d v="2025-03-21T00:00:00"/>
    <s v="17:30"/>
    <s v="Friday"/>
    <x v="5"/>
    <s v="Q1"/>
    <s v="Autumn"/>
    <s v="S14"/>
    <x v="4"/>
    <x v="4"/>
    <s v="North"/>
    <s v="C2406"/>
    <x v="1"/>
    <s v="Gold"/>
    <s v="P001"/>
    <x v="1"/>
    <x v="1"/>
    <s v="Medium"/>
    <n v="1"/>
    <n v="53.64"/>
    <n v="12"/>
    <n v="22"/>
    <n v="87.64"/>
    <n v="178.8"/>
    <n v="0"/>
    <n v="178.8"/>
    <n v="91.16"/>
    <n v="50.98"/>
    <x v="3"/>
    <s v="Dine-In"/>
    <s v="Meera"/>
    <n v="5"/>
    <s v="Completed"/>
  </r>
  <r>
    <x v="403"/>
    <d v="2025-10-16T00:00:00"/>
    <s v="18:30"/>
    <s v="Thursday"/>
    <x v="0"/>
    <s v="Q4"/>
    <s v="Autumn"/>
    <s v="S01"/>
    <x v="0"/>
    <x v="0"/>
    <s v="North"/>
    <s v="C2407"/>
    <x v="1"/>
    <s v="Gold"/>
    <s v="P003"/>
    <x v="3"/>
    <x v="1"/>
    <s v="Small"/>
    <n v="3"/>
    <n v="65.7"/>
    <n v="12"/>
    <n v="22"/>
    <n v="99.7"/>
    <n v="219"/>
    <n v="5"/>
    <n v="624.15"/>
    <n v="325.05"/>
    <n v="52.08"/>
    <x v="3"/>
    <s v="Takeaway"/>
    <s v="Rohan"/>
    <n v="5"/>
    <s v="Completed"/>
  </r>
  <r>
    <x v="404"/>
    <d v="2025-06-22T00:00:00"/>
    <s v="09:15"/>
    <s v="Sunday"/>
    <x v="10"/>
    <s v="Q2"/>
    <s v="Summer"/>
    <s v="S10"/>
    <x v="1"/>
    <x v="1"/>
    <s v="South"/>
    <s v="C2408"/>
    <x v="2"/>
    <s v="Gold"/>
    <s v="P003"/>
    <x v="3"/>
    <x v="1"/>
    <s v="Medium"/>
    <n v="2"/>
    <n v="78.84"/>
    <n v="12"/>
    <n v="22"/>
    <n v="112.84"/>
    <n v="262.8"/>
    <n v="10"/>
    <n v="473.04"/>
    <n v="247.36"/>
    <n v="52.29"/>
    <x v="3"/>
    <s v="Takeaway"/>
    <s v="Meera"/>
    <n v="5"/>
    <s v="Completed"/>
  </r>
  <r>
    <x v="405"/>
    <d v="2025-11-02T00:00:00"/>
    <s v="17:30"/>
    <s v="Sunday"/>
    <x v="1"/>
    <s v="Q4"/>
    <s v="Autumn"/>
    <s v="S14"/>
    <x v="4"/>
    <x v="4"/>
    <s v="North"/>
    <s v="C2409"/>
    <x v="2"/>
    <s v="Silver"/>
    <s v="P042"/>
    <x v="14"/>
    <x v="5"/>
    <s v="Medium"/>
    <n v="4"/>
    <n v="118.44"/>
    <n v="12"/>
    <n v="22"/>
    <n v="152.44"/>
    <n v="394.8"/>
    <n v="10"/>
    <n v="1421.28"/>
    <n v="811.52"/>
    <n v="57.1"/>
    <x v="3"/>
    <s v="Takeaway"/>
    <s v="Diya"/>
    <n v="4"/>
    <s v="Completed"/>
  </r>
  <r>
    <x v="406"/>
    <d v="2025-07-02T00:00:00"/>
    <s v="13:45"/>
    <s v="Wednesday"/>
    <x v="6"/>
    <s v="Q3"/>
    <s v="Monsoon"/>
    <s v="S01"/>
    <x v="0"/>
    <x v="0"/>
    <s v="North"/>
    <s v="C2410"/>
    <x v="1"/>
    <s v="Platinum"/>
    <s v="P013"/>
    <x v="5"/>
    <x v="2"/>
    <s v="Medium"/>
    <n v="1"/>
    <n v="46.44"/>
    <n v="12"/>
    <n v="22"/>
    <n v="80.44"/>
    <n v="154.80000000000001"/>
    <n v="0"/>
    <n v="154.80000000000001"/>
    <n v="74.36"/>
    <n v="48.04"/>
    <x v="1"/>
    <s v="Delivery"/>
    <s v="Diya"/>
    <n v="3"/>
    <s v="Completed"/>
  </r>
  <r>
    <x v="407"/>
    <d v="2025-09-15T00:00:00"/>
    <s v="17:45"/>
    <s v="Monday"/>
    <x v="2"/>
    <s v="Q3"/>
    <s v="Monsoon"/>
    <s v="S07"/>
    <x v="3"/>
    <x v="3"/>
    <s v="South"/>
    <s v="C2411"/>
    <x v="2"/>
    <s v="Gold"/>
    <s v="P003"/>
    <x v="3"/>
    <x v="1"/>
    <s v="Large"/>
    <n v="1"/>
    <n v="91.98"/>
    <n v="12"/>
    <n v="22"/>
    <n v="125.98"/>
    <n v="306.60000000000002"/>
    <n v="0"/>
    <n v="306.60000000000002"/>
    <n v="180.62"/>
    <n v="58.91"/>
    <x v="3"/>
    <s v="Takeaway"/>
    <s v="Meera"/>
    <n v="5"/>
    <s v="Completed"/>
  </r>
  <r>
    <x v="408"/>
    <d v="2025-08-17T00:00:00"/>
    <s v="18:30"/>
    <s v="Sunday"/>
    <x v="4"/>
    <s v="Q3"/>
    <s v="Monsoon"/>
    <s v="S07"/>
    <x v="3"/>
    <x v="3"/>
    <s v="South"/>
    <s v="C2412"/>
    <x v="1"/>
    <s v="Silver"/>
    <s v="P041"/>
    <x v="12"/>
    <x v="5"/>
    <s v="Large"/>
    <n v="1"/>
    <n v="125.58"/>
    <n v="12"/>
    <n v="22"/>
    <n v="159.58000000000001"/>
    <n v="418.6"/>
    <n v="10"/>
    <n v="376.74"/>
    <n v="217.16"/>
    <n v="57.64"/>
    <x v="2"/>
    <s v="Takeaway"/>
    <s v="Meera"/>
    <n v="3"/>
    <s v="Completed"/>
  </r>
  <r>
    <x v="409"/>
    <d v="2025-01-11T00:00:00"/>
    <s v="14:45"/>
    <s v="Saturday"/>
    <x v="9"/>
    <s v="Q1"/>
    <s v="Winter"/>
    <s v="S14"/>
    <x v="4"/>
    <x v="4"/>
    <s v="North"/>
    <s v="C2413"/>
    <x v="0"/>
    <s v="Gold"/>
    <s v="P036"/>
    <x v="11"/>
    <x v="0"/>
    <s v="Large"/>
    <n v="3"/>
    <n v="66.78"/>
    <n v="12"/>
    <n v="22"/>
    <n v="100.78"/>
    <n v="222.6"/>
    <n v="10"/>
    <n v="601.02"/>
    <n v="298.68"/>
    <n v="49.7"/>
    <x v="0"/>
    <s v="Dine-In"/>
    <s v="Aarav"/>
    <n v="5"/>
    <s v="Completed"/>
  </r>
  <r>
    <x v="410"/>
    <d v="2025-09-08T00:00:00"/>
    <s v="17:15"/>
    <s v="Monday"/>
    <x v="2"/>
    <s v="Q3"/>
    <s v="Monsoon"/>
    <s v="S01"/>
    <x v="0"/>
    <x v="0"/>
    <s v="North"/>
    <s v="C2414"/>
    <x v="0"/>
    <s v="Gold"/>
    <s v="P013"/>
    <x v="5"/>
    <x v="2"/>
    <s v="Small"/>
    <n v="3"/>
    <n v="38.700000000000003"/>
    <n v="12"/>
    <n v="22"/>
    <n v="72.7"/>
    <n v="129"/>
    <n v="5"/>
    <n v="367.65"/>
    <n v="149.55000000000001"/>
    <n v="40.68"/>
    <x v="2"/>
    <s v="Delivery"/>
    <s v="Rohan"/>
    <n v="5"/>
    <s v="Completed"/>
  </r>
  <r>
    <x v="411"/>
    <d v="2025-03-13T00:00:00"/>
    <s v="08:45"/>
    <s v="Thursday"/>
    <x v="5"/>
    <s v="Q1"/>
    <s v="Autumn"/>
    <s v="S01"/>
    <x v="0"/>
    <x v="0"/>
    <s v="North"/>
    <s v="C2416"/>
    <x v="1"/>
    <s v="Silver"/>
    <s v="P003"/>
    <x v="3"/>
    <x v="1"/>
    <s v="Small"/>
    <n v="1"/>
    <n v="65.7"/>
    <n v="12"/>
    <n v="22"/>
    <n v="99.7"/>
    <n v="219"/>
    <n v="5"/>
    <n v="208.05"/>
    <n v="108.35"/>
    <n v="52.08"/>
    <x v="0"/>
    <s v="Takeaway"/>
    <s v="Kabir"/>
    <n v="5"/>
    <s v="Completed"/>
  </r>
  <r>
    <x v="412"/>
    <d v="2025-11-19T00:00:00"/>
    <s v="09:15"/>
    <s v="Wednesday"/>
    <x v="1"/>
    <s v="Q4"/>
    <s v="Autumn"/>
    <s v="S12"/>
    <x v="2"/>
    <x v="2"/>
    <s v="East"/>
    <s v="C2417"/>
    <x v="1"/>
    <s v="Platinum"/>
    <s v="P004"/>
    <x v="10"/>
    <x v="1"/>
    <s v="Small"/>
    <n v="1"/>
    <n v="50.7"/>
    <n v="12"/>
    <n v="22"/>
    <n v="84.7"/>
    <n v="169"/>
    <n v="10"/>
    <n v="152.1"/>
    <n v="67.400000000000006"/>
    <n v="44.31"/>
    <x v="0"/>
    <s v="Takeaway"/>
    <s v="Aarav"/>
    <n v="5"/>
    <s v="Completed"/>
  </r>
  <r>
    <x v="413"/>
    <d v="2025-07-19T00:00:00"/>
    <s v="09:30"/>
    <s v="Saturday"/>
    <x v="6"/>
    <s v="Q3"/>
    <s v="Monsoon"/>
    <s v="S07"/>
    <x v="3"/>
    <x v="3"/>
    <s v="South"/>
    <s v="C2418"/>
    <x v="1"/>
    <s v="Silver"/>
    <s v="P002"/>
    <x v="2"/>
    <x v="1"/>
    <s v="Medium"/>
    <n v="2"/>
    <n v="86.04"/>
    <n v="12"/>
    <n v="22"/>
    <n v="120.04"/>
    <n v="286.8"/>
    <n v="10"/>
    <n v="516.24"/>
    <n v="276.16000000000003"/>
    <n v="53.49"/>
    <x v="2"/>
    <s v="Takeaway"/>
    <s v="Rohan"/>
    <n v="5"/>
    <s v="Completed"/>
  </r>
  <r>
    <x v="414"/>
    <d v="2025-12-03T00:00:00"/>
    <s v="14:15"/>
    <s v="Wednesday"/>
    <x v="8"/>
    <s v="Q4"/>
    <s v="Winter"/>
    <s v="S10"/>
    <x v="1"/>
    <x v="1"/>
    <s v="South"/>
    <s v="C2419"/>
    <x v="2"/>
    <s v="Platinum"/>
    <s v="P003"/>
    <x v="3"/>
    <x v="1"/>
    <s v="Medium"/>
    <n v="3"/>
    <n v="78.84"/>
    <n v="12"/>
    <n v="22"/>
    <n v="112.84"/>
    <n v="262.8"/>
    <n v="0"/>
    <n v="788.4"/>
    <n v="449.88"/>
    <n v="57.06"/>
    <x v="1"/>
    <s v="Delivery"/>
    <s v="Kabir"/>
    <n v="5"/>
    <s v="Completed"/>
  </r>
  <r>
    <x v="415"/>
    <d v="2025-07-26T00:00:00"/>
    <s v="17:45"/>
    <s v="Saturday"/>
    <x v="6"/>
    <s v="Q3"/>
    <s v="Monsoon"/>
    <s v="S04"/>
    <x v="5"/>
    <x v="5"/>
    <s v="West"/>
    <s v="C2420"/>
    <x v="2"/>
    <s v="Gold"/>
    <s v="P041"/>
    <x v="12"/>
    <x v="5"/>
    <s v="Large"/>
    <n v="4"/>
    <n v="125.58"/>
    <n v="12"/>
    <n v="22"/>
    <n v="159.58000000000001"/>
    <n v="418.6"/>
    <n v="15"/>
    <n v="1423.24"/>
    <n v="784.92"/>
    <n v="55.15"/>
    <x v="3"/>
    <s v="Dine-In"/>
    <s v="Kabir"/>
    <n v="5"/>
    <s v="Completed"/>
  </r>
  <r>
    <x v="416"/>
    <d v="2025-11-17T00:00:00"/>
    <s v="08:45"/>
    <s v="Monday"/>
    <x v="1"/>
    <s v="Q4"/>
    <s v="Autumn"/>
    <s v="S12"/>
    <x v="2"/>
    <x v="2"/>
    <s v="East"/>
    <s v="C2421"/>
    <x v="0"/>
    <s v="Platinum"/>
    <s v="P004"/>
    <x v="10"/>
    <x v="1"/>
    <s v="Medium"/>
    <n v="3"/>
    <n v="60.84"/>
    <n v="12"/>
    <n v="22"/>
    <n v="94.84"/>
    <n v="202.8"/>
    <n v="0"/>
    <n v="608.4"/>
    <n v="323.88"/>
    <n v="53.23"/>
    <x v="0"/>
    <s v="Takeaway"/>
    <s v="Kabir"/>
    <n v="4"/>
    <s v="Completed"/>
  </r>
  <r>
    <x v="417"/>
    <d v="2025-05-28T00:00:00"/>
    <s v="17:45"/>
    <s v="Wednesday"/>
    <x v="7"/>
    <s v="Q2"/>
    <s v="Summer"/>
    <s v="S14"/>
    <x v="4"/>
    <x v="4"/>
    <s v="North"/>
    <s v="C2422"/>
    <x v="1"/>
    <s v="Gold"/>
    <s v="P002"/>
    <x v="2"/>
    <x v="1"/>
    <s v="Small"/>
    <n v="3"/>
    <n v="71.7"/>
    <n v="12"/>
    <n v="22"/>
    <n v="105.7"/>
    <n v="239"/>
    <n v="0"/>
    <n v="717"/>
    <n v="399.9"/>
    <n v="55.77"/>
    <x v="1"/>
    <s v="Delivery"/>
    <s v="Kabir"/>
    <n v="3"/>
    <s v="Completed"/>
  </r>
  <r>
    <x v="418"/>
    <d v="2025-08-22T00:00:00"/>
    <s v="08:30"/>
    <s v="Friday"/>
    <x v="4"/>
    <s v="Q3"/>
    <s v="Monsoon"/>
    <s v="S14"/>
    <x v="4"/>
    <x v="4"/>
    <s v="North"/>
    <s v="C2423"/>
    <x v="1"/>
    <s v="Gold"/>
    <s v="P004"/>
    <x v="10"/>
    <x v="1"/>
    <s v="Small"/>
    <n v="1"/>
    <n v="50.7"/>
    <n v="12"/>
    <n v="22"/>
    <n v="84.7"/>
    <n v="169"/>
    <n v="10"/>
    <n v="152.1"/>
    <n v="67.400000000000006"/>
    <n v="44.31"/>
    <x v="1"/>
    <s v="Takeaway"/>
    <s v="Meera"/>
    <n v="5"/>
    <s v="Completed"/>
  </r>
  <r>
    <x v="419"/>
    <d v="2025-04-19T00:00:00"/>
    <s v="09:15"/>
    <s v="Saturday"/>
    <x v="11"/>
    <s v="Q2"/>
    <s v="Summer"/>
    <s v="S07"/>
    <x v="3"/>
    <x v="3"/>
    <s v="South"/>
    <s v="C2424"/>
    <x v="0"/>
    <s v="Gold"/>
    <s v="P034"/>
    <x v="0"/>
    <x v="0"/>
    <s v="Small"/>
    <n v="3"/>
    <n v="77.7"/>
    <n v="12"/>
    <n v="22"/>
    <n v="111.7"/>
    <n v="259"/>
    <n v="10"/>
    <n v="699.3"/>
    <n v="364.2"/>
    <n v="52.08"/>
    <x v="2"/>
    <s v="Takeaway"/>
    <s v="Diya"/>
    <n v="5"/>
    <s v="Completed"/>
  </r>
  <r>
    <x v="420"/>
    <d v="2025-09-13T00:00:00"/>
    <s v="18:00"/>
    <s v="Saturday"/>
    <x v="2"/>
    <s v="Q3"/>
    <s v="Monsoon"/>
    <s v="S07"/>
    <x v="3"/>
    <x v="3"/>
    <s v="South"/>
    <s v="C2425"/>
    <x v="1"/>
    <s v="Silver"/>
    <s v="P003"/>
    <x v="3"/>
    <x v="1"/>
    <s v="Large"/>
    <n v="3"/>
    <n v="91.98"/>
    <n v="12"/>
    <n v="22"/>
    <n v="125.98"/>
    <n v="306.60000000000002"/>
    <n v="15"/>
    <n v="781.83"/>
    <n v="403.89"/>
    <n v="51.66"/>
    <x v="3"/>
    <s v="Dine-In"/>
    <s v="Rohan"/>
    <n v="5"/>
    <s v="Completed"/>
  </r>
  <r>
    <x v="421"/>
    <d v="2025-03-21T00:00:00"/>
    <s v="08:30"/>
    <s v="Friday"/>
    <x v="5"/>
    <s v="Q1"/>
    <s v="Autumn"/>
    <s v="S01"/>
    <x v="0"/>
    <x v="0"/>
    <s v="North"/>
    <s v="C2426"/>
    <x v="1"/>
    <s v="Gold"/>
    <s v="P001"/>
    <x v="1"/>
    <x v="1"/>
    <s v="Large"/>
    <n v="1"/>
    <n v="62.58"/>
    <n v="12"/>
    <n v="22"/>
    <n v="96.58"/>
    <n v="208.6"/>
    <n v="10"/>
    <n v="187.74"/>
    <n v="91.16"/>
    <n v="48.56"/>
    <x v="1"/>
    <s v="Takeaway"/>
    <s v="Diya"/>
    <n v="5"/>
    <s v="Completed"/>
  </r>
  <r>
    <x v="422"/>
    <d v="2025-04-01T00:00:00"/>
    <s v="09:45"/>
    <s v="Tuesday"/>
    <x v="11"/>
    <s v="Q2"/>
    <s v="Summer"/>
    <s v="S12"/>
    <x v="2"/>
    <x v="2"/>
    <s v="East"/>
    <s v="C2427"/>
    <x v="2"/>
    <s v="Gold"/>
    <s v="P013"/>
    <x v="5"/>
    <x v="2"/>
    <s v="Medium"/>
    <n v="3"/>
    <n v="46.44"/>
    <n v="12"/>
    <n v="22"/>
    <n v="80.44"/>
    <n v="154.80000000000001"/>
    <n v="0"/>
    <n v="464.4"/>
    <n v="223.08"/>
    <n v="48.04"/>
    <x v="2"/>
    <s v="Takeaway"/>
    <s v="Meera"/>
    <n v="3"/>
    <s v="Completed"/>
  </r>
  <r>
    <x v="423"/>
    <d v="2025-03-17T00:00:00"/>
    <s v="13:30"/>
    <s v="Monday"/>
    <x v="5"/>
    <s v="Q1"/>
    <s v="Autumn"/>
    <s v="S04"/>
    <x v="5"/>
    <x v="5"/>
    <s v="West"/>
    <s v="C2428"/>
    <x v="1"/>
    <s v="Silver"/>
    <s v="P036"/>
    <x v="11"/>
    <x v="0"/>
    <s v="Medium"/>
    <n v="3"/>
    <n v="57.24"/>
    <n v="12"/>
    <n v="22"/>
    <n v="91.240000000000009"/>
    <n v="190.8"/>
    <n v="10"/>
    <n v="515.16"/>
    <n v="241.44"/>
    <n v="46.87"/>
    <x v="0"/>
    <s v="Delivery"/>
    <s v="Diya"/>
    <n v="5"/>
    <s v="Completed"/>
  </r>
  <r>
    <x v="424"/>
    <d v="2025-12-08T00:00:00"/>
    <s v="17:15"/>
    <s v="Monday"/>
    <x v="8"/>
    <s v="Q4"/>
    <s v="Winter"/>
    <s v="S04"/>
    <x v="5"/>
    <x v="5"/>
    <s v="West"/>
    <s v="C2429"/>
    <x v="1"/>
    <s v="Silver"/>
    <s v="P004"/>
    <x v="10"/>
    <x v="1"/>
    <s v="Small"/>
    <n v="3"/>
    <n v="50.7"/>
    <n v="12"/>
    <n v="22"/>
    <n v="84.7"/>
    <n v="169"/>
    <n v="5"/>
    <n v="481.65"/>
    <n v="227.55"/>
    <n v="47.24"/>
    <x v="2"/>
    <s v="Takeaway"/>
    <s v="Rohan"/>
    <n v="4"/>
    <s v="Completed"/>
  </r>
  <r>
    <x v="425"/>
    <d v="2025-10-27T00:00:00"/>
    <s v="08:15"/>
    <s v="Monday"/>
    <x v="0"/>
    <s v="Q4"/>
    <s v="Autumn"/>
    <s v="S10"/>
    <x v="1"/>
    <x v="1"/>
    <s v="South"/>
    <s v="C2430"/>
    <x v="2"/>
    <s v="Gold"/>
    <s v="P003"/>
    <x v="3"/>
    <x v="1"/>
    <s v="Small"/>
    <n v="3"/>
    <n v="65.7"/>
    <n v="12"/>
    <n v="22"/>
    <n v="99.7"/>
    <n v="219"/>
    <n v="5"/>
    <n v="624.15"/>
    <n v="325.05"/>
    <n v="52.08"/>
    <x v="0"/>
    <s v="Takeaway"/>
    <s v="Kabir"/>
    <s v="Not Rated"/>
    <s v="Completed"/>
  </r>
  <r>
    <x v="426"/>
    <d v="2025-03-17T00:00:00"/>
    <s v="18:45"/>
    <s v="Monday"/>
    <x v="5"/>
    <s v="Q1"/>
    <s v="Autumn"/>
    <s v="S10"/>
    <x v="1"/>
    <x v="1"/>
    <s v="South"/>
    <s v="C2431"/>
    <x v="2"/>
    <s v="Gold"/>
    <s v="P002"/>
    <x v="2"/>
    <x v="1"/>
    <s v="Medium"/>
    <n v="3"/>
    <n v="86.04"/>
    <n v="12"/>
    <n v="22"/>
    <n v="120.04"/>
    <n v="286.8"/>
    <n v="0"/>
    <n v="860.4"/>
    <n v="500.28"/>
    <n v="58.15"/>
    <x v="3"/>
    <s v="Dine-In"/>
    <s v="Diya"/>
    <n v="3"/>
    <s v="Completed"/>
  </r>
  <r>
    <x v="427"/>
    <d v="2025-08-07T00:00:00"/>
    <s v="14:30"/>
    <s v="Thursday"/>
    <x v="4"/>
    <s v="Q3"/>
    <s v="Monsoon"/>
    <s v="S10"/>
    <x v="1"/>
    <x v="1"/>
    <s v="South"/>
    <s v="C2432"/>
    <x v="1"/>
    <s v="Gold"/>
    <s v="P028"/>
    <x v="6"/>
    <x v="3"/>
    <s v="Large"/>
    <n v="3"/>
    <n v="104.58"/>
    <n v="12"/>
    <n v="22"/>
    <n v="138.58000000000001"/>
    <n v="348.6"/>
    <n v="0"/>
    <n v="1045.8"/>
    <n v="630.05999999999995"/>
    <n v="60.25"/>
    <x v="0"/>
    <s v="Takeaway"/>
    <s v="Kabir"/>
    <n v="4"/>
    <s v="Completed"/>
  </r>
  <r>
    <x v="428"/>
    <d v="2025-03-21T00:00:00"/>
    <s v="18:00"/>
    <s v="Friday"/>
    <x v="5"/>
    <s v="Q1"/>
    <s v="Autumn"/>
    <s v="S14"/>
    <x v="4"/>
    <x v="4"/>
    <s v="North"/>
    <s v="C2433"/>
    <x v="2"/>
    <s v="Platinum"/>
    <s v="P020"/>
    <x v="9"/>
    <x v="4"/>
    <s v="Medium"/>
    <n v="3"/>
    <n v="57.24"/>
    <n v="12"/>
    <n v="22"/>
    <n v="91.240000000000009"/>
    <n v="190.8"/>
    <n v="0"/>
    <n v="572.4"/>
    <n v="298.68"/>
    <n v="52.18"/>
    <x v="0"/>
    <s v="Dine-In"/>
    <s v="Diya"/>
    <n v="5"/>
    <s v="Completed"/>
  </r>
  <r>
    <x v="429"/>
    <d v="2025-12-05T00:00:00"/>
    <s v="09:45"/>
    <s v="Friday"/>
    <x v="8"/>
    <s v="Q4"/>
    <s v="Winter"/>
    <s v="S01"/>
    <x v="0"/>
    <x v="0"/>
    <s v="North"/>
    <s v="C2434"/>
    <x v="0"/>
    <s v="Platinum"/>
    <s v="P003"/>
    <x v="3"/>
    <x v="1"/>
    <s v="Large"/>
    <n v="3"/>
    <n v="91.98"/>
    <n v="12"/>
    <n v="22"/>
    <n v="125.98"/>
    <n v="306.60000000000002"/>
    <n v="10"/>
    <n v="827.82"/>
    <n v="449.88"/>
    <n v="54.35"/>
    <x v="3"/>
    <s v="Dine-In"/>
    <s v="Aarav"/>
    <n v="5"/>
    <s v="Completed"/>
  </r>
  <r>
    <x v="430"/>
    <d v="2025-01-28T00:00:00"/>
    <s v="08:15"/>
    <s v="Tuesday"/>
    <x v="9"/>
    <s v="Q1"/>
    <s v="Winter"/>
    <s v="S10"/>
    <x v="1"/>
    <x v="1"/>
    <s v="South"/>
    <s v="C2435"/>
    <x v="0"/>
    <s v="Gold"/>
    <s v="P002"/>
    <x v="2"/>
    <x v="1"/>
    <s v="Medium"/>
    <n v="2"/>
    <n v="86.04"/>
    <n v="12"/>
    <n v="22"/>
    <n v="120.04"/>
    <n v="286.8"/>
    <n v="10"/>
    <n v="516.24"/>
    <n v="276.16000000000003"/>
    <n v="53.49"/>
    <x v="0"/>
    <s v="Dine-In"/>
    <s v="Rohan"/>
    <n v="3"/>
    <s v="Completed"/>
  </r>
  <r>
    <x v="431"/>
    <d v="2025-04-20T00:00:00"/>
    <s v="18:45"/>
    <s v="Sunday"/>
    <x v="11"/>
    <s v="Q2"/>
    <s v="Summer"/>
    <s v="S04"/>
    <x v="5"/>
    <x v="5"/>
    <s v="West"/>
    <s v="C2436"/>
    <x v="0"/>
    <s v="Platinum"/>
    <s v="P034"/>
    <x v="0"/>
    <x v="0"/>
    <s v="Large"/>
    <n v="2"/>
    <n v="108.78"/>
    <n v="12"/>
    <n v="22"/>
    <n v="142.78"/>
    <n v="362.6"/>
    <n v="15"/>
    <n v="616.41999999999996"/>
    <n v="330.86"/>
    <n v="53.67"/>
    <x v="3"/>
    <s v="Takeaway"/>
    <s v="Rohan"/>
    <n v="5"/>
    <s v="Completed"/>
  </r>
  <r>
    <x v="432"/>
    <d v="2025-10-21T00:00:00"/>
    <s v="18:30"/>
    <s v="Tuesday"/>
    <x v="0"/>
    <s v="Q4"/>
    <s v="Autumn"/>
    <s v="S01"/>
    <x v="0"/>
    <x v="0"/>
    <s v="North"/>
    <s v="C2437"/>
    <x v="0"/>
    <s v="Platinum"/>
    <s v="P002"/>
    <x v="2"/>
    <x v="1"/>
    <s v="Medium"/>
    <n v="3"/>
    <n v="86.04"/>
    <n v="12"/>
    <n v="22"/>
    <n v="120.04"/>
    <n v="286.8"/>
    <n v="5"/>
    <n v="817.38"/>
    <n v="457.26"/>
    <n v="55.94"/>
    <x v="1"/>
    <s v="Dine-In"/>
    <s v="Meera"/>
    <n v="4"/>
    <s v="Completed"/>
  </r>
  <r>
    <x v="433"/>
    <d v="2025-06-15T00:00:00"/>
    <s v="17:00"/>
    <s v="Sunday"/>
    <x v="10"/>
    <s v="Q2"/>
    <s v="Summer"/>
    <s v="S01"/>
    <x v="0"/>
    <x v="0"/>
    <s v="North"/>
    <s v="C2438"/>
    <x v="0"/>
    <s v="Platinum"/>
    <s v="P042"/>
    <x v="14"/>
    <x v="5"/>
    <s v="Medium"/>
    <n v="3"/>
    <n v="118.44"/>
    <n v="12"/>
    <n v="22"/>
    <n v="152.44"/>
    <n v="394.8"/>
    <n v="10"/>
    <n v="1065.96"/>
    <n v="608.64"/>
    <n v="57.1"/>
    <x v="3"/>
    <s v="Dine-In"/>
    <s v="Diya"/>
    <n v="3"/>
    <s v="Completed"/>
  </r>
  <r>
    <x v="434"/>
    <d v="2025-05-17T00:00:00"/>
    <s v="18:00"/>
    <s v="Saturday"/>
    <x v="7"/>
    <s v="Q2"/>
    <s v="Summer"/>
    <s v="S10"/>
    <x v="1"/>
    <x v="1"/>
    <s v="South"/>
    <s v="C2439"/>
    <x v="2"/>
    <s v="Gold"/>
    <s v="P041"/>
    <x v="12"/>
    <x v="5"/>
    <s v="Large"/>
    <n v="4"/>
    <n v="125.58"/>
    <n v="12"/>
    <n v="22"/>
    <n v="159.58000000000001"/>
    <n v="418.6"/>
    <n v="10"/>
    <n v="1506.96"/>
    <n v="868.64"/>
    <n v="57.64"/>
    <x v="1"/>
    <s v="Dine-In"/>
    <s v="Meera"/>
    <n v="5"/>
    <s v="Completed"/>
  </r>
  <r>
    <x v="435"/>
    <d v="2025-08-30T00:00:00"/>
    <s v="14:30"/>
    <s v="Saturday"/>
    <x v="4"/>
    <s v="Q3"/>
    <s v="Monsoon"/>
    <s v="S14"/>
    <x v="4"/>
    <x v="4"/>
    <s v="North"/>
    <s v="C2440"/>
    <x v="1"/>
    <s v="Gold"/>
    <s v="P041"/>
    <x v="12"/>
    <x v="5"/>
    <s v="Small"/>
    <n v="2"/>
    <n v="89.7"/>
    <n v="12"/>
    <n v="22"/>
    <n v="123.7"/>
    <n v="299"/>
    <n v="15"/>
    <n v="508.3"/>
    <n v="260.89999999999998"/>
    <n v="51.33"/>
    <x v="2"/>
    <s v="Delivery"/>
    <s v="Kabir"/>
    <n v="5"/>
    <s v="Completed"/>
  </r>
  <r>
    <x v="436"/>
    <d v="2025-08-30T00:00:00"/>
    <s v="18:30"/>
    <s v="Saturday"/>
    <x v="4"/>
    <s v="Q3"/>
    <s v="Monsoon"/>
    <s v="S10"/>
    <x v="1"/>
    <x v="1"/>
    <s v="South"/>
    <s v="C2441"/>
    <x v="1"/>
    <s v="Platinum"/>
    <s v="P041"/>
    <x v="12"/>
    <x v="5"/>
    <s v="Medium"/>
    <n v="1"/>
    <n v="107.64"/>
    <n v="12"/>
    <n v="22"/>
    <n v="141.63999999999999"/>
    <n v="358.8"/>
    <n v="15"/>
    <n v="304.98"/>
    <n v="163.34"/>
    <n v="53.56"/>
    <x v="2"/>
    <s v="Takeaway"/>
    <s v="Aarav"/>
    <n v="5"/>
    <s v="Completed"/>
  </r>
  <r>
    <x v="437"/>
    <d v="2025-09-02T00:00:00"/>
    <s v="09:15"/>
    <s v="Tuesday"/>
    <x v="2"/>
    <s v="Q3"/>
    <s v="Monsoon"/>
    <s v="S14"/>
    <x v="4"/>
    <x v="4"/>
    <s v="North"/>
    <s v="C2442"/>
    <x v="1"/>
    <s v="Platinum"/>
    <s v="P002"/>
    <x v="2"/>
    <x v="1"/>
    <s v="Small"/>
    <n v="2"/>
    <n v="71.7"/>
    <n v="12"/>
    <n v="22"/>
    <n v="105.7"/>
    <n v="239"/>
    <n v="0"/>
    <n v="478"/>
    <n v="266.60000000000002"/>
    <n v="55.77"/>
    <x v="4"/>
    <s v="Delivery"/>
    <s v="Aarav"/>
    <n v="5"/>
    <s v="Completed"/>
  </r>
  <r>
    <x v="438"/>
    <d v="2025-08-27T00:00:00"/>
    <s v="08:00"/>
    <s v="Wednesday"/>
    <x v="4"/>
    <s v="Q3"/>
    <s v="Monsoon"/>
    <s v="S01"/>
    <x v="0"/>
    <x v="0"/>
    <s v="North"/>
    <s v="C2443"/>
    <x v="1"/>
    <s v="Silver"/>
    <s v="P001"/>
    <x v="1"/>
    <x v="1"/>
    <s v="Large"/>
    <n v="1"/>
    <n v="62.58"/>
    <n v="12"/>
    <n v="22"/>
    <n v="96.58"/>
    <n v="208.6"/>
    <n v="5"/>
    <n v="198.17"/>
    <n v="101.59"/>
    <n v="51.26"/>
    <x v="1"/>
    <s v="Dine-In"/>
    <s v="Aarav"/>
    <n v="5"/>
    <s v="Completed"/>
  </r>
  <r>
    <x v="439"/>
    <d v="2025-07-14T00:00:00"/>
    <s v="18:00"/>
    <s v="Monday"/>
    <x v="6"/>
    <s v="Q3"/>
    <s v="Monsoon"/>
    <s v="S10"/>
    <x v="1"/>
    <x v="1"/>
    <s v="South"/>
    <s v="C2444"/>
    <x v="1"/>
    <s v="Gold"/>
    <s v="P014"/>
    <x v="4"/>
    <x v="2"/>
    <s v="Large"/>
    <n v="3"/>
    <n v="62.58"/>
    <n v="12"/>
    <n v="22"/>
    <n v="96.58"/>
    <n v="208.6"/>
    <n v="10"/>
    <n v="563.22"/>
    <n v="273.48"/>
    <n v="48.56"/>
    <x v="0"/>
    <s v="Dine-In"/>
    <s v="Rohan"/>
    <n v="5"/>
    <s v="Completed"/>
  </r>
  <r>
    <x v="440"/>
    <d v="2025-09-04T00:00:00"/>
    <s v="18:30"/>
    <s v="Thursday"/>
    <x v="2"/>
    <s v="Q3"/>
    <s v="Monsoon"/>
    <s v="S12"/>
    <x v="2"/>
    <x v="2"/>
    <s v="East"/>
    <s v="C2445"/>
    <x v="2"/>
    <s v="Silver"/>
    <s v="P004"/>
    <x v="10"/>
    <x v="1"/>
    <s v="Medium"/>
    <n v="2"/>
    <n v="60.84"/>
    <n v="12"/>
    <n v="22"/>
    <n v="94.84"/>
    <n v="202.8"/>
    <n v="10"/>
    <n v="365.04"/>
    <n v="175.36"/>
    <n v="48.04"/>
    <x v="3"/>
    <s v="Takeaway"/>
    <s v="Meera"/>
    <n v="5"/>
    <s v="Completed"/>
  </r>
  <r>
    <x v="441"/>
    <d v="2025-07-02T00:00:00"/>
    <s v="09:15"/>
    <s v="Wednesday"/>
    <x v="6"/>
    <s v="Q3"/>
    <s v="Monsoon"/>
    <s v="S10"/>
    <x v="1"/>
    <x v="1"/>
    <s v="South"/>
    <s v="C2446"/>
    <x v="0"/>
    <s v="Gold"/>
    <s v="P001"/>
    <x v="1"/>
    <x v="1"/>
    <s v="Small"/>
    <n v="1"/>
    <n v="44.7"/>
    <n v="12"/>
    <n v="22"/>
    <n v="78.7"/>
    <n v="149"/>
    <n v="0"/>
    <n v="149"/>
    <n v="70.3"/>
    <n v="47.18"/>
    <x v="2"/>
    <s v="Dine-In"/>
    <s v="Aarav"/>
    <n v="5"/>
    <s v="Completed"/>
  </r>
  <r>
    <x v="442"/>
    <d v="2025-08-22T00:00:00"/>
    <s v="09:15"/>
    <s v="Friday"/>
    <x v="4"/>
    <s v="Q3"/>
    <s v="Monsoon"/>
    <s v="S14"/>
    <x v="4"/>
    <x v="4"/>
    <s v="North"/>
    <s v="C2447"/>
    <x v="2"/>
    <s v="Silver"/>
    <s v="P001"/>
    <x v="1"/>
    <x v="1"/>
    <s v="Small"/>
    <n v="2"/>
    <n v="44.7"/>
    <n v="12"/>
    <n v="22"/>
    <n v="78.7"/>
    <n v="149"/>
    <n v="5"/>
    <n v="283.10000000000002"/>
    <n v="125.7"/>
    <n v="44.4"/>
    <x v="3"/>
    <s v="Delivery"/>
    <s v="Diya"/>
    <n v="5"/>
    <s v="Completed"/>
  </r>
  <r>
    <x v="443"/>
    <d v="2025-03-10T00:00:00"/>
    <s v="14:30"/>
    <s v="Monday"/>
    <x v="5"/>
    <s v="Q1"/>
    <s v="Autumn"/>
    <s v="S04"/>
    <x v="5"/>
    <x v="5"/>
    <s v="West"/>
    <s v="C2448"/>
    <x v="0"/>
    <s v="Gold"/>
    <s v="P028"/>
    <x v="6"/>
    <x v="3"/>
    <s v="Medium"/>
    <n v="3"/>
    <n v="89.64"/>
    <n v="12"/>
    <n v="22"/>
    <n v="123.64"/>
    <n v="298.8"/>
    <n v="5"/>
    <n v="851.58"/>
    <n v="480.66"/>
    <n v="56.44"/>
    <x v="1"/>
    <s v="Dine-In"/>
    <s v="Rohan"/>
    <n v="5"/>
    <s v="Completed"/>
  </r>
  <r>
    <x v="444"/>
    <d v="2025-04-03T00:00:00"/>
    <s v="14:30"/>
    <s v="Thursday"/>
    <x v="11"/>
    <s v="Q2"/>
    <s v="Summer"/>
    <s v="S12"/>
    <x v="2"/>
    <x v="2"/>
    <s v="East"/>
    <s v="C2449"/>
    <x v="1"/>
    <s v="Gold"/>
    <s v="P028"/>
    <x v="6"/>
    <x v="3"/>
    <s v="Small"/>
    <n v="2"/>
    <n v="74.7"/>
    <n v="12"/>
    <n v="22"/>
    <n v="108.7"/>
    <n v="249"/>
    <n v="0"/>
    <n v="498"/>
    <n v="280.60000000000002"/>
    <n v="56.35"/>
    <x v="2"/>
    <s v="Dine-In"/>
    <s v="Meera"/>
    <n v="5"/>
    <s v="Completed"/>
  </r>
  <r>
    <x v="445"/>
    <d v="2025-06-12T00:00:00"/>
    <s v="17:15"/>
    <s v="Thursday"/>
    <x v="10"/>
    <s v="Q2"/>
    <s v="Summer"/>
    <s v="S04"/>
    <x v="5"/>
    <x v="5"/>
    <s v="West"/>
    <s v="C2450"/>
    <x v="2"/>
    <s v="Platinum"/>
    <s v="P036"/>
    <x v="11"/>
    <x v="0"/>
    <s v="Medium"/>
    <n v="1"/>
    <n v="57.24"/>
    <n v="12"/>
    <n v="22"/>
    <n v="91.240000000000009"/>
    <n v="190.8"/>
    <n v="5"/>
    <n v="181.26"/>
    <n v="90.02"/>
    <n v="49.66"/>
    <x v="1"/>
    <s v="Delivery"/>
    <s v="Rohan"/>
    <n v="5"/>
    <s v="Completed"/>
  </r>
  <r>
    <x v="446"/>
    <d v="2025-10-21T00:00:00"/>
    <s v="09:00"/>
    <s v="Tuesday"/>
    <x v="0"/>
    <s v="Q4"/>
    <s v="Autumn"/>
    <s v="S07"/>
    <x v="3"/>
    <x v="3"/>
    <s v="South"/>
    <s v="C2451"/>
    <x v="0"/>
    <s v="Silver"/>
    <s v="P014"/>
    <x v="4"/>
    <x v="2"/>
    <s v="Large"/>
    <n v="3"/>
    <n v="62.58"/>
    <n v="12"/>
    <n v="22"/>
    <n v="96.58"/>
    <n v="208.6"/>
    <n v="0"/>
    <n v="625.79999999999995"/>
    <n v="336.06"/>
    <n v="53.7"/>
    <x v="1"/>
    <s v="Takeaway"/>
    <s v="Diya"/>
    <n v="5"/>
    <s v="Completed"/>
  </r>
  <r>
    <x v="447"/>
    <d v="2025-05-01T00:00:00"/>
    <s v="13:30"/>
    <s v="Thursday"/>
    <x v="7"/>
    <s v="Q2"/>
    <s v="Summer"/>
    <s v="S04"/>
    <x v="5"/>
    <x v="5"/>
    <s v="West"/>
    <s v="C2452"/>
    <x v="0"/>
    <s v="Gold"/>
    <s v="P034"/>
    <x v="0"/>
    <x v="0"/>
    <s v="Medium"/>
    <n v="2"/>
    <n v="93.24"/>
    <n v="12"/>
    <n v="22"/>
    <n v="127.24"/>
    <n v="310.8"/>
    <n v="5"/>
    <n v="590.52"/>
    <n v="336.04"/>
    <n v="56.91"/>
    <x v="2"/>
    <s v="Dine-In"/>
    <s v="Diya"/>
    <n v="4"/>
    <s v="Completed"/>
  </r>
  <r>
    <x v="448"/>
    <d v="2025-04-10T00:00:00"/>
    <s v="08:15"/>
    <s v="Thursday"/>
    <x v="11"/>
    <s v="Q2"/>
    <s v="Summer"/>
    <s v="S10"/>
    <x v="1"/>
    <x v="1"/>
    <s v="South"/>
    <s v="C2453"/>
    <x v="2"/>
    <s v="Gold"/>
    <s v="P003"/>
    <x v="3"/>
    <x v="1"/>
    <s v="Small"/>
    <n v="3"/>
    <n v="65.7"/>
    <n v="12"/>
    <n v="22"/>
    <n v="99.7"/>
    <n v="219"/>
    <n v="10"/>
    <n v="591.29999999999995"/>
    <n v="292.2"/>
    <n v="49.42"/>
    <x v="3"/>
    <s v="Delivery"/>
    <s v="Meera"/>
    <n v="5"/>
    <s v="Completed"/>
  </r>
  <r>
    <x v="449"/>
    <d v="2025-08-05T00:00:00"/>
    <s v="14:30"/>
    <s v="Tuesday"/>
    <x v="4"/>
    <s v="Q3"/>
    <s v="Monsoon"/>
    <s v="S04"/>
    <x v="5"/>
    <x v="5"/>
    <s v="West"/>
    <s v="C2454"/>
    <x v="2"/>
    <s v="Gold"/>
    <s v="P036"/>
    <x v="11"/>
    <x v="0"/>
    <s v="Medium"/>
    <n v="1"/>
    <n v="57.24"/>
    <n v="12"/>
    <n v="22"/>
    <n v="91.240000000000009"/>
    <n v="190.8"/>
    <n v="5"/>
    <n v="181.26"/>
    <n v="90.02"/>
    <n v="49.66"/>
    <x v="3"/>
    <s v="Dine-In"/>
    <s v="Aarav"/>
    <n v="5"/>
    <s v="Completed"/>
  </r>
  <r>
    <x v="450"/>
    <d v="2025-02-16T00:00:00"/>
    <s v="14:00"/>
    <s v="Sunday"/>
    <x v="3"/>
    <s v="Q1"/>
    <s v="Winter"/>
    <s v="S07"/>
    <x v="3"/>
    <x v="3"/>
    <s v="South"/>
    <s v="C2455"/>
    <x v="2"/>
    <s v="Silver"/>
    <s v="P027"/>
    <x v="13"/>
    <x v="3"/>
    <s v="Small"/>
    <n v="4"/>
    <n v="68.7"/>
    <n v="12"/>
    <n v="22"/>
    <n v="102.7"/>
    <n v="229"/>
    <n v="15"/>
    <n v="778.6"/>
    <n v="367.8"/>
    <n v="47.24"/>
    <x v="3"/>
    <s v="Takeaway"/>
    <s v="Diya"/>
    <n v="4"/>
    <s v="Completed"/>
  </r>
  <r>
    <x v="451"/>
    <d v="2025-06-21T00:00:00"/>
    <s v="14:15"/>
    <s v="Saturday"/>
    <x v="10"/>
    <s v="Q2"/>
    <s v="Summer"/>
    <s v="S12"/>
    <x v="2"/>
    <x v="2"/>
    <s v="East"/>
    <s v="C2456"/>
    <x v="0"/>
    <s v="Silver"/>
    <s v="P036"/>
    <x v="11"/>
    <x v="0"/>
    <s v="Medium"/>
    <n v="2"/>
    <n v="57.24"/>
    <n v="12"/>
    <n v="22"/>
    <n v="91.240000000000009"/>
    <n v="190.8"/>
    <n v="10"/>
    <n v="343.44"/>
    <n v="160.96"/>
    <n v="46.87"/>
    <x v="1"/>
    <s v="Dine-In"/>
    <s v="Meera"/>
    <n v="3"/>
    <s v="Completed"/>
  </r>
  <r>
    <x v="452"/>
    <d v="2025-01-10T00:00:00"/>
    <s v="17:45"/>
    <s v="Friday"/>
    <x v="9"/>
    <s v="Q1"/>
    <s v="Winter"/>
    <s v="S04"/>
    <x v="5"/>
    <x v="5"/>
    <s v="West"/>
    <s v="C2457"/>
    <x v="1"/>
    <s v="Gold"/>
    <s v="P020"/>
    <x v="9"/>
    <x v="4"/>
    <s v="Medium"/>
    <n v="3"/>
    <n v="57.24"/>
    <n v="12"/>
    <n v="22"/>
    <n v="91.240000000000009"/>
    <n v="190.8"/>
    <n v="0"/>
    <n v="572.4"/>
    <n v="298.68"/>
    <n v="52.18"/>
    <x v="2"/>
    <s v="Takeaway"/>
    <s v="Aarav"/>
    <n v="5"/>
    <s v="Completed"/>
  </r>
  <r>
    <x v="453"/>
    <d v="2025-06-23T00:00:00"/>
    <s v="09:00"/>
    <s v="Monday"/>
    <x v="10"/>
    <s v="Q2"/>
    <s v="Summer"/>
    <s v="S07"/>
    <x v="3"/>
    <x v="3"/>
    <s v="South"/>
    <s v="C2458"/>
    <x v="0"/>
    <s v="Platinum"/>
    <s v="P034"/>
    <x v="0"/>
    <x v="0"/>
    <s v="Small"/>
    <n v="2"/>
    <n v="77.7"/>
    <n v="12"/>
    <n v="22"/>
    <n v="111.7"/>
    <n v="259"/>
    <n v="10"/>
    <n v="466.2"/>
    <n v="242.8"/>
    <n v="52.08"/>
    <x v="2"/>
    <s v="Takeaway"/>
    <s v="Diya"/>
    <n v="5"/>
    <s v="Completed"/>
  </r>
  <r>
    <x v="454"/>
    <d v="2025-10-18T00:00:00"/>
    <s v="08:00"/>
    <s v="Saturday"/>
    <x v="0"/>
    <s v="Q4"/>
    <s v="Autumn"/>
    <s v="S07"/>
    <x v="3"/>
    <x v="3"/>
    <s v="South"/>
    <s v="C2459"/>
    <x v="2"/>
    <s v="Platinum"/>
    <s v="P014"/>
    <x v="4"/>
    <x v="2"/>
    <s v="Small"/>
    <n v="3"/>
    <n v="44.7"/>
    <n v="12"/>
    <n v="22"/>
    <n v="78.7"/>
    <n v="149"/>
    <n v="15"/>
    <n v="379.95"/>
    <n v="143.85"/>
    <n v="37.86"/>
    <x v="2"/>
    <s v="Dine-In"/>
    <s v="Rohan"/>
    <n v="4"/>
    <s v="Completed"/>
  </r>
  <r>
    <x v="455"/>
    <d v="2025-11-10T00:00:00"/>
    <s v="17:45"/>
    <s v="Monday"/>
    <x v="1"/>
    <s v="Q4"/>
    <s v="Autumn"/>
    <s v="S10"/>
    <x v="1"/>
    <x v="1"/>
    <s v="South"/>
    <s v="C2460"/>
    <x v="2"/>
    <s v="Platinum"/>
    <s v="P003"/>
    <x v="3"/>
    <x v="1"/>
    <s v="Small"/>
    <n v="3"/>
    <n v="65.7"/>
    <n v="12"/>
    <n v="22"/>
    <n v="99.7"/>
    <n v="219"/>
    <n v="10"/>
    <n v="591.29999999999995"/>
    <n v="292.2"/>
    <n v="49.42"/>
    <x v="2"/>
    <s v="Dine-In"/>
    <s v="Kabir"/>
    <n v="3"/>
    <s v="Completed"/>
  </r>
  <r>
    <x v="456"/>
    <d v="2025-01-04T00:00:00"/>
    <s v="08:00"/>
    <s v="Saturday"/>
    <x v="9"/>
    <s v="Q1"/>
    <s v="Winter"/>
    <s v="S12"/>
    <x v="2"/>
    <x v="2"/>
    <s v="East"/>
    <s v="C2461"/>
    <x v="2"/>
    <s v="Silver"/>
    <s v="P041"/>
    <x v="12"/>
    <x v="5"/>
    <s v="Medium"/>
    <n v="4"/>
    <n v="107.64"/>
    <n v="12"/>
    <n v="22"/>
    <n v="141.63999999999999"/>
    <n v="358.8"/>
    <n v="15"/>
    <n v="1219.92"/>
    <n v="653.36"/>
    <n v="53.56"/>
    <x v="1"/>
    <s v="Delivery"/>
    <s v="Kabir"/>
    <s v="Not Rated"/>
    <s v="Completed"/>
  </r>
  <r>
    <x v="457"/>
    <d v="2025-07-27T00:00:00"/>
    <s v="09:45"/>
    <s v="Sunday"/>
    <x v="6"/>
    <s v="Q3"/>
    <s v="Monsoon"/>
    <s v="S14"/>
    <x v="4"/>
    <x v="4"/>
    <s v="North"/>
    <s v="C2462"/>
    <x v="2"/>
    <s v="Platinum"/>
    <s v="P013"/>
    <x v="5"/>
    <x v="2"/>
    <s v="Large"/>
    <n v="3"/>
    <n v="54.18"/>
    <n v="12"/>
    <n v="22"/>
    <n v="88.18"/>
    <n v="180.6"/>
    <n v="10"/>
    <n v="487.62"/>
    <n v="223.08"/>
    <n v="45.75"/>
    <x v="1"/>
    <s v="Delivery"/>
    <s v="Aarav"/>
    <n v="5"/>
    <s v="Completed"/>
  </r>
  <r>
    <x v="458"/>
    <d v="2025-02-20T00:00:00"/>
    <s v="14:00"/>
    <s v="Thursday"/>
    <x v="3"/>
    <s v="Q1"/>
    <s v="Winter"/>
    <s v="S10"/>
    <x v="1"/>
    <x v="1"/>
    <s v="South"/>
    <s v="C2463"/>
    <x v="0"/>
    <s v="Silver"/>
    <s v="P033"/>
    <x v="8"/>
    <x v="0"/>
    <s v="Medium"/>
    <n v="1"/>
    <n v="89.64"/>
    <n v="12"/>
    <n v="22"/>
    <n v="123.64"/>
    <n v="298.8"/>
    <n v="55"/>
    <n v="283.86"/>
    <n v="160.22"/>
    <n v="56.44"/>
    <x v="3"/>
    <s v="Dine-In"/>
    <s v="Kabir"/>
    <n v="5"/>
    <s v="Completed"/>
  </r>
  <r>
    <x v="459"/>
    <d v="2025-06-06T00:00:00"/>
    <s v="17:45"/>
    <s v="Friday"/>
    <x v="10"/>
    <s v="Q2"/>
    <s v="Summer"/>
    <s v="S12"/>
    <x v="2"/>
    <x v="2"/>
    <s v="East"/>
    <s v="C2464"/>
    <x v="2"/>
    <s v="Silver"/>
    <s v="P019"/>
    <x v="7"/>
    <x v="4"/>
    <s v="Large"/>
    <n v="2"/>
    <n v="83.58"/>
    <n v="12"/>
    <n v="22"/>
    <n v="117.58"/>
    <n v="278.60000000000002"/>
    <n v="10"/>
    <n v="501.48"/>
    <n v="266.32"/>
    <n v="53.11"/>
    <x v="1"/>
    <s v="Takeaway"/>
    <s v="Diya"/>
    <n v="5"/>
    <s v="Completed"/>
  </r>
  <r>
    <x v="460"/>
    <d v="2025-02-21T00:00:00"/>
    <s v="09:15"/>
    <s v="Friday"/>
    <x v="3"/>
    <s v="Q1"/>
    <s v="Winter"/>
    <s v="S04"/>
    <x v="5"/>
    <x v="5"/>
    <s v="West"/>
    <s v="C2465"/>
    <x v="2"/>
    <s v="Gold"/>
    <s v="P004"/>
    <x v="10"/>
    <x v="1"/>
    <s v="Medium"/>
    <n v="1"/>
    <n v="60.84"/>
    <n v="12"/>
    <n v="22"/>
    <n v="94.84"/>
    <n v="202.8"/>
    <n v="0"/>
    <n v="202.8"/>
    <n v="107.96"/>
    <n v="53.23"/>
    <x v="0"/>
    <s v="Takeaway"/>
    <s v="Aarav"/>
    <n v="4"/>
    <s v="Completed"/>
  </r>
  <r>
    <x v="461"/>
    <d v="2025-11-06T00:00:00"/>
    <s v="09:15"/>
    <s v="Thursday"/>
    <x v="1"/>
    <s v="Q4"/>
    <s v="Autumn"/>
    <s v="S04"/>
    <x v="5"/>
    <x v="5"/>
    <s v="West"/>
    <s v="C2466"/>
    <x v="1"/>
    <s v="Silver"/>
    <s v="P014"/>
    <x v="4"/>
    <x v="2"/>
    <s v="Small"/>
    <n v="3"/>
    <n v="44.7"/>
    <n v="12"/>
    <n v="22"/>
    <n v="78.7"/>
    <n v="149"/>
    <n v="10"/>
    <n v="402.3"/>
    <n v="166.2"/>
    <n v="41.31"/>
    <x v="3"/>
    <s v="Takeaway"/>
    <s v="Meera"/>
    <n v="4"/>
    <s v="Completed"/>
  </r>
  <r>
    <x v="462"/>
    <d v="2025-07-08T00:00:00"/>
    <s v="17:45"/>
    <s v="Tuesday"/>
    <x v="6"/>
    <s v="Q3"/>
    <s v="Monsoon"/>
    <s v="S14"/>
    <x v="4"/>
    <x v="4"/>
    <s v="North"/>
    <s v="C2467"/>
    <x v="2"/>
    <s v="Platinum"/>
    <s v="P020"/>
    <x v="9"/>
    <x v="4"/>
    <s v="Large"/>
    <n v="1"/>
    <n v="66.78"/>
    <n v="12"/>
    <n v="22"/>
    <n v="100.78"/>
    <n v="222.6"/>
    <n v="10"/>
    <n v="200.34"/>
    <n v="99.56"/>
    <n v="49.7"/>
    <x v="2"/>
    <s v="Takeaway"/>
    <s v="Meera"/>
    <n v="5"/>
    <s v="Completed"/>
  </r>
  <r>
    <x v="463"/>
    <d v="2025-01-16T00:00:00"/>
    <s v="09:00"/>
    <s v="Thursday"/>
    <x v="9"/>
    <s v="Q1"/>
    <s v="Winter"/>
    <s v="S01"/>
    <x v="0"/>
    <x v="0"/>
    <s v="North"/>
    <s v="C2468"/>
    <x v="2"/>
    <s v="Silver"/>
    <s v="P001"/>
    <x v="1"/>
    <x v="1"/>
    <s v="Small"/>
    <n v="2"/>
    <n v="44.7"/>
    <n v="12"/>
    <n v="22"/>
    <n v="78.7"/>
    <n v="149"/>
    <n v="5"/>
    <n v="283.10000000000002"/>
    <n v="125.7"/>
    <n v="44.4"/>
    <x v="0"/>
    <s v="Dine-In"/>
    <s v="Kabir"/>
    <n v="5"/>
    <s v="Completed"/>
  </r>
  <r>
    <x v="464"/>
    <d v="2025-03-15T00:00:00"/>
    <s v="09:00"/>
    <s v="Saturday"/>
    <x v="5"/>
    <s v="Q1"/>
    <s v="Autumn"/>
    <s v="S01"/>
    <x v="0"/>
    <x v="0"/>
    <s v="North"/>
    <s v="C2469"/>
    <x v="0"/>
    <s v="Silver"/>
    <s v="P001"/>
    <x v="1"/>
    <x v="1"/>
    <s v="Large"/>
    <n v="3"/>
    <n v="62.58"/>
    <n v="12"/>
    <n v="22"/>
    <n v="96.58"/>
    <n v="208.6"/>
    <n v="15"/>
    <n v="531.92999999999995"/>
    <n v="242.19"/>
    <n v="45.53"/>
    <x v="1"/>
    <s v="Takeaway"/>
    <s v="Rohan"/>
    <n v="3"/>
    <s v="Completed"/>
  </r>
  <r>
    <x v="465"/>
    <d v="2025-10-08T00:00:00"/>
    <s v="13:00"/>
    <s v="Wednesday"/>
    <x v="0"/>
    <s v="Q4"/>
    <s v="Autumn"/>
    <s v="S07"/>
    <x v="3"/>
    <x v="3"/>
    <s v="South"/>
    <s v="C2470"/>
    <x v="2"/>
    <s v="Gold"/>
    <s v="P028"/>
    <x v="6"/>
    <x v="3"/>
    <s v="Small"/>
    <n v="2"/>
    <n v="74.7"/>
    <n v="12"/>
    <n v="22"/>
    <n v="108.7"/>
    <n v="249"/>
    <n v="0"/>
    <n v="498"/>
    <n v="280.60000000000002"/>
    <n v="56.35"/>
    <x v="3"/>
    <s v="Dine-In"/>
    <s v="Kabir"/>
    <n v="4"/>
    <s v="Completed"/>
  </r>
  <r>
    <x v="466"/>
    <d v="2025-03-02T00:00:00"/>
    <s v="18:30"/>
    <s v="Sunday"/>
    <x v="5"/>
    <s v="Q1"/>
    <s v="Autumn"/>
    <s v="S10"/>
    <x v="1"/>
    <x v="1"/>
    <s v="South"/>
    <s v="C2471"/>
    <x v="2"/>
    <s v="Silver"/>
    <s v="P042"/>
    <x v="14"/>
    <x v="5"/>
    <s v="Small"/>
    <n v="3"/>
    <n v="98.7"/>
    <n v="12"/>
    <n v="22"/>
    <n v="132.69999999999999"/>
    <n v="329"/>
    <n v="15"/>
    <n v="838.95"/>
    <n v="440.85"/>
    <n v="52.55"/>
    <x v="2"/>
    <s v="Takeaway"/>
    <s v="Aarav"/>
    <n v="3"/>
    <s v="Completed"/>
  </r>
  <r>
    <x v="467"/>
    <d v="2025-08-20T00:00:00"/>
    <s v="09:00"/>
    <s v="Wednesday"/>
    <x v="4"/>
    <s v="Q3"/>
    <s v="Monsoon"/>
    <s v="S12"/>
    <x v="2"/>
    <x v="2"/>
    <s v="East"/>
    <s v="C2472"/>
    <x v="0"/>
    <s v="Silver"/>
    <s v="P002"/>
    <x v="2"/>
    <x v="1"/>
    <s v="Medium"/>
    <n v="1"/>
    <n v="86.04"/>
    <n v="12"/>
    <n v="22"/>
    <n v="120.04"/>
    <n v="286.8"/>
    <n v="0"/>
    <n v="286.8"/>
    <n v="166.76"/>
    <n v="58.15"/>
    <x v="0"/>
    <s v="Takeaway"/>
    <s v="Rohan"/>
    <n v="4"/>
    <s v="Completed"/>
  </r>
  <r>
    <x v="468"/>
    <d v="2025-06-30T00:00:00"/>
    <s v="18:45"/>
    <s v="Monday"/>
    <x v="10"/>
    <s v="Q2"/>
    <s v="Summer"/>
    <s v="S01"/>
    <x v="0"/>
    <x v="0"/>
    <s v="North"/>
    <s v="C2473"/>
    <x v="1"/>
    <s v="Silver"/>
    <s v="P019"/>
    <x v="7"/>
    <x v="4"/>
    <s v="Small"/>
    <n v="1"/>
    <n v="59.7"/>
    <n v="12"/>
    <n v="22"/>
    <n v="93.7"/>
    <n v="199"/>
    <n v="5"/>
    <n v="189.05"/>
    <n v="95.35"/>
    <n v="50.44"/>
    <x v="3"/>
    <s v="Takeaway"/>
    <s v="Aarav"/>
    <n v="5"/>
    <s v="Completed"/>
  </r>
  <r>
    <x v="469"/>
    <d v="2025-09-26T00:00:00"/>
    <s v="17:15"/>
    <s v="Friday"/>
    <x v="2"/>
    <s v="Q3"/>
    <s v="Monsoon"/>
    <s v="S12"/>
    <x v="2"/>
    <x v="2"/>
    <s v="East"/>
    <s v="C2474"/>
    <x v="1"/>
    <s v="Gold"/>
    <s v="P013"/>
    <x v="5"/>
    <x v="2"/>
    <s v="Small"/>
    <n v="1"/>
    <n v="38.700000000000003"/>
    <n v="12"/>
    <n v="22"/>
    <n v="72.7"/>
    <n v="129"/>
    <n v="5"/>
    <n v="122.55"/>
    <n v="49.85"/>
    <n v="40.68"/>
    <x v="2"/>
    <s v="Takeaway"/>
    <s v="Diya"/>
    <n v="5"/>
    <s v="Completed"/>
  </r>
  <r>
    <x v="470"/>
    <d v="2025-05-19T00:00:00"/>
    <s v="13:00"/>
    <s v="Monday"/>
    <x v="7"/>
    <s v="Q2"/>
    <s v="Summer"/>
    <s v="S07"/>
    <x v="3"/>
    <x v="3"/>
    <s v="South"/>
    <s v="C2475"/>
    <x v="1"/>
    <s v="Silver"/>
    <s v="P033"/>
    <x v="8"/>
    <x v="0"/>
    <s v="Small"/>
    <n v="3"/>
    <n v="74.7"/>
    <n v="12"/>
    <n v="22"/>
    <n v="108.7"/>
    <n v="249"/>
    <n v="0"/>
    <n v="747"/>
    <n v="420.9"/>
    <n v="56.35"/>
    <x v="2"/>
    <s v="Dine-In"/>
    <s v="Rohan"/>
    <n v="5"/>
    <s v="Completed"/>
  </r>
  <r>
    <x v="471"/>
    <d v="2025-11-29T00:00:00"/>
    <s v="17:00"/>
    <s v="Saturday"/>
    <x v="1"/>
    <s v="Q4"/>
    <s v="Autumn"/>
    <s v="S01"/>
    <x v="0"/>
    <x v="0"/>
    <s v="North"/>
    <s v="C2476"/>
    <x v="0"/>
    <s v="Gold"/>
    <s v="P042"/>
    <x v="14"/>
    <x v="5"/>
    <s v="Medium"/>
    <n v="2"/>
    <n v="118.44"/>
    <n v="12"/>
    <n v="22"/>
    <n v="152.44"/>
    <n v="394.8"/>
    <n v="10"/>
    <n v="710.64"/>
    <n v="405.76"/>
    <n v="57.1"/>
    <x v="0"/>
    <s v="Dine-In"/>
    <s v="Aarav"/>
    <n v="4"/>
    <s v="Completed"/>
  </r>
  <r>
    <x v="472"/>
    <d v="2025-12-29T00:00:00"/>
    <s v="09:45"/>
    <s v="Monday"/>
    <x v="8"/>
    <s v="Q4"/>
    <s v="Winter"/>
    <s v="S04"/>
    <x v="5"/>
    <x v="5"/>
    <s v="West"/>
    <s v="C2477"/>
    <x v="0"/>
    <s v="Silver"/>
    <s v="P002"/>
    <x v="2"/>
    <x v="1"/>
    <s v="Large"/>
    <n v="1"/>
    <n v="100.38"/>
    <n v="12"/>
    <n v="22"/>
    <n v="134.38"/>
    <n v="334.6"/>
    <n v="10"/>
    <n v="301.14"/>
    <n v="166.76"/>
    <n v="55.38"/>
    <x v="2"/>
    <s v="Takeaway"/>
    <s v="Meera"/>
    <n v="5"/>
    <s v="Completed"/>
  </r>
  <r>
    <x v="473"/>
    <d v="2025-09-29T00:00:00"/>
    <s v="18:30"/>
    <s v="Monday"/>
    <x v="2"/>
    <s v="Q3"/>
    <s v="Monsoon"/>
    <s v="S01"/>
    <x v="0"/>
    <x v="0"/>
    <s v="North"/>
    <s v="C2478"/>
    <x v="1"/>
    <s v="Gold"/>
    <s v="P002"/>
    <x v="2"/>
    <x v="1"/>
    <s v="Small"/>
    <n v="3"/>
    <n v="71.7"/>
    <n v="12"/>
    <n v="22"/>
    <n v="105.7"/>
    <n v="239"/>
    <n v="0"/>
    <n v="717"/>
    <n v="399.9"/>
    <n v="55.77"/>
    <x v="3"/>
    <s v="Takeaway"/>
    <s v="Kabir"/>
    <n v="5"/>
    <s v="Completed"/>
  </r>
  <r>
    <x v="474"/>
    <d v="2025-05-14T00:00:00"/>
    <s v="13:30"/>
    <s v="Wednesday"/>
    <x v="7"/>
    <s v="Q2"/>
    <s v="Summer"/>
    <s v="S01"/>
    <x v="0"/>
    <x v="0"/>
    <s v="North"/>
    <s v="C2479"/>
    <x v="2"/>
    <s v="Platinum"/>
    <s v="P033"/>
    <x v="8"/>
    <x v="0"/>
    <s v="Small"/>
    <n v="3"/>
    <n v="74.7"/>
    <n v="12"/>
    <n v="22"/>
    <n v="108.7"/>
    <n v="249"/>
    <n v="0"/>
    <n v="747"/>
    <n v="420.9"/>
    <n v="56.35"/>
    <x v="0"/>
    <s v="Dine-In"/>
    <s v="Diya"/>
    <n v="5"/>
    <s v="Completed"/>
  </r>
  <r>
    <x v="475"/>
    <d v="2025-02-19T00:00:00"/>
    <s v="09:45"/>
    <s v="Wednesday"/>
    <x v="3"/>
    <s v="Q1"/>
    <s v="Winter"/>
    <s v="S14"/>
    <x v="4"/>
    <x v="4"/>
    <s v="North"/>
    <s v="C2480"/>
    <x v="1"/>
    <s v="Silver"/>
    <s v="P002"/>
    <x v="2"/>
    <x v="1"/>
    <s v="Medium"/>
    <n v="3"/>
    <n v="86.04"/>
    <n v="12"/>
    <n v="22"/>
    <n v="120.04"/>
    <n v="286.8"/>
    <n v="5"/>
    <n v="817.38"/>
    <n v="457.26"/>
    <n v="55.94"/>
    <x v="1"/>
    <s v="Takeaway"/>
    <s v="Meera"/>
    <n v="5"/>
    <s v="Completed"/>
  </r>
  <r>
    <x v="476"/>
    <d v="2025-11-20T00:00:00"/>
    <s v="13:00"/>
    <s v="Thursday"/>
    <x v="1"/>
    <s v="Q4"/>
    <s v="Autumn"/>
    <s v="S04"/>
    <x v="5"/>
    <x v="5"/>
    <s v="West"/>
    <s v="C2481"/>
    <x v="1"/>
    <s v="Silver"/>
    <s v="P027"/>
    <x v="13"/>
    <x v="3"/>
    <s v="Large"/>
    <n v="3"/>
    <n v="96.18"/>
    <n v="12"/>
    <n v="22"/>
    <n v="130.18"/>
    <n v="320.60000000000002"/>
    <n v="0"/>
    <n v="961.8"/>
    <n v="571.26"/>
    <n v="59.39"/>
    <x v="4"/>
    <s v="Dine-In"/>
    <s v="Meera"/>
    <n v="5"/>
    <s v="Completed"/>
  </r>
  <r>
    <x v="477"/>
    <d v="2025-07-09T00:00:00"/>
    <s v="14:00"/>
    <s v="Wednesday"/>
    <x v="6"/>
    <s v="Q3"/>
    <s v="Monsoon"/>
    <s v="S07"/>
    <x v="3"/>
    <x v="3"/>
    <s v="South"/>
    <s v="C2482"/>
    <x v="1"/>
    <s v="Gold"/>
    <s v="P036"/>
    <x v="11"/>
    <x v="0"/>
    <s v="Large"/>
    <n v="3"/>
    <n v="66.78"/>
    <n v="12"/>
    <n v="22"/>
    <n v="100.78"/>
    <n v="222.6"/>
    <n v="10"/>
    <n v="601.02"/>
    <n v="298.68"/>
    <n v="49.7"/>
    <x v="3"/>
    <s v="Takeaway"/>
    <s v="Kabir"/>
    <n v="5"/>
    <s v="Completed"/>
  </r>
  <r>
    <x v="478"/>
    <d v="2025-04-06T00:00:00"/>
    <s v="14:30"/>
    <s v="Sunday"/>
    <x v="11"/>
    <s v="Q2"/>
    <s v="Summer"/>
    <s v="S12"/>
    <x v="2"/>
    <x v="2"/>
    <s v="East"/>
    <s v="C2483"/>
    <x v="0"/>
    <s v="Platinum"/>
    <s v="P028"/>
    <x v="6"/>
    <x v="3"/>
    <s v="Medium"/>
    <n v="3"/>
    <n v="89.64"/>
    <n v="12"/>
    <n v="22"/>
    <n v="123.64"/>
    <n v="298.8"/>
    <n v="15"/>
    <n v="761.94"/>
    <n v="391.02"/>
    <n v="51.32"/>
    <x v="1"/>
    <s v="Delivery"/>
    <s v="Meera"/>
    <n v="5"/>
    <s v="Completed"/>
  </r>
  <r>
    <x v="479"/>
    <d v="2025-04-20T00:00:00"/>
    <s v="09:30"/>
    <s v="Sunday"/>
    <x v="11"/>
    <s v="Q2"/>
    <s v="Summer"/>
    <s v="S12"/>
    <x v="2"/>
    <x v="2"/>
    <s v="East"/>
    <s v="C2484"/>
    <x v="1"/>
    <s v="Platinum"/>
    <s v="P003"/>
    <x v="3"/>
    <x v="1"/>
    <s v="Medium"/>
    <n v="2"/>
    <n v="78.84"/>
    <n v="12"/>
    <n v="22"/>
    <n v="112.84"/>
    <n v="262.8"/>
    <n v="15"/>
    <n v="446.76"/>
    <n v="221.08"/>
    <n v="49.49"/>
    <x v="2"/>
    <s v="Takeaway"/>
    <s v="Diya"/>
    <n v="5"/>
    <s v="Completed"/>
  </r>
  <r>
    <x v="480"/>
    <d v="2025-11-12T00:00:00"/>
    <s v="09:00"/>
    <s v="Wednesday"/>
    <x v="1"/>
    <s v="Q4"/>
    <s v="Autumn"/>
    <s v="S12"/>
    <x v="2"/>
    <x v="2"/>
    <s v="East"/>
    <s v="C2485"/>
    <x v="1"/>
    <s v="Gold"/>
    <s v="P003"/>
    <x v="3"/>
    <x v="1"/>
    <s v="Small"/>
    <n v="1"/>
    <n v="65.7"/>
    <n v="12"/>
    <n v="22"/>
    <n v="99.7"/>
    <n v="219"/>
    <n v="10"/>
    <n v="197.1"/>
    <n v="97.4"/>
    <n v="49.42"/>
    <x v="0"/>
    <s v="Delivery"/>
    <s v="Meera"/>
    <n v="3"/>
    <s v="Completed"/>
  </r>
  <r>
    <x v="481"/>
    <d v="2025-07-23T00:00:00"/>
    <s v="17:30"/>
    <s v="Wednesday"/>
    <x v="6"/>
    <s v="Q3"/>
    <s v="Monsoon"/>
    <s v="S04"/>
    <x v="5"/>
    <x v="5"/>
    <s v="West"/>
    <s v="C2486"/>
    <x v="0"/>
    <s v="Gold"/>
    <s v="P001"/>
    <x v="1"/>
    <x v="1"/>
    <s v="Small"/>
    <n v="1"/>
    <n v="44.7"/>
    <n v="12"/>
    <n v="22"/>
    <n v="78.7"/>
    <n v="149"/>
    <n v="0"/>
    <n v="149"/>
    <n v="70.3"/>
    <n v="47.18"/>
    <x v="2"/>
    <s v="Takeaway"/>
    <s v="Rohan"/>
    <n v="5"/>
    <s v="Completed"/>
  </r>
  <r>
    <x v="482"/>
    <d v="2025-02-07T00:00:00"/>
    <s v="13:00"/>
    <s v="Friday"/>
    <x v="3"/>
    <s v="Q1"/>
    <s v="Winter"/>
    <s v="S01"/>
    <x v="0"/>
    <x v="0"/>
    <s v="North"/>
    <s v="C2487"/>
    <x v="0"/>
    <s v="Platinum"/>
    <s v="P003"/>
    <x v="3"/>
    <x v="1"/>
    <s v="Small"/>
    <n v="3"/>
    <n v="65.7"/>
    <n v="12"/>
    <n v="22"/>
    <n v="99.7"/>
    <n v="219"/>
    <n v="10"/>
    <n v="591.29999999999995"/>
    <n v="292.2"/>
    <n v="49.42"/>
    <x v="2"/>
    <s v="Dine-In"/>
    <s v="Kabir"/>
    <n v="5"/>
    <s v="Completed"/>
  </r>
  <r>
    <x v="483"/>
    <d v="2025-07-24T00:00:00"/>
    <s v="13:45"/>
    <s v="Thursday"/>
    <x v="6"/>
    <s v="Q3"/>
    <s v="Monsoon"/>
    <s v="S12"/>
    <x v="2"/>
    <x v="2"/>
    <s v="East"/>
    <s v="C2488"/>
    <x v="0"/>
    <s v="Gold"/>
    <s v="P013"/>
    <x v="5"/>
    <x v="2"/>
    <s v="Large"/>
    <n v="3"/>
    <n v="54.18"/>
    <n v="12"/>
    <n v="22"/>
    <n v="88.18"/>
    <n v="180.6"/>
    <n v="10"/>
    <n v="487.62"/>
    <n v="223.08"/>
    <n v="45.75"/>
    <x v="0"/>
    <s v="Dine-In"/>
    <s v="Kabir"/>
    <n v="5"/>
    <s v="Completed"/>
  </r>
  <r>
    <x v="484"/>
    <d v="2025-04-20T00:00:00"/>
    <s v="18:45"/>
    <s v="Sunday"/>
    <x v="11"/>
    <s v="Q2"/>
    <s v="Summer"/>
    <s v="S10"/>
    <x v="1"/>
    <x v="1"/>
    <s v="South"/>
    <s v="C2490"/>
    <x v="1"/>
    <s v="Silver"/>
    <s v="P001"/>
    <x v="1"/>
    <x v="1"/>
    <s v="Small"/>
    <n v="3"/>
    <n v="44.7"/>
    <n v="12"/>
    <n v="22"/>
    <n v="78.7"/>
    <n v="149"/>
    <n v="10"/>
    <n v="402.3"/>
    <n v="166.2"/>
    <n v="41.31"/>
    <x v="3"/>
    <s v="Delivery"/>
    <s v="Rohan"/>
    <n v="4"/>
    <s v="Completed"/>
  </r>
  <r>
    <x v="485"/>
    <d v="2025-12-08T00:00:00"/>
    <s v="17:00"/>
    <s v="Monday"/>
    <x v="8"/>
    <s v="Q4"/>
    <s v="Winter"/>
    <s v="S07"/>
    <x v="3"/>
    <x v="3"/>
    <s v="South"/>
    <s v="C2491"/>
    <x v="1"/>
    <s v="Gold"/>
    <s v="P003"/>
    <x v="3"/>
    <x v="1"/>
    <s v="Medium"/>
    <n v="1"/>
    <n v="78.84"/>
    <n v="12"/>
    <n v="22"/>
    <n v="112.84"/>
    <n v="262.8"/>
    <n v="0"/>
    <n v="262.8"/>
    <n v="149.96"/>
    <n v="57.06"/>
    <x v="0"/>
    <s v="Dine-In"/>
    <s v="Rohan"/>
    <n v="5"/>
    <s v="Completed"/>
  </r>
  <r>
    <x v="486"/>
    <d v="2025-09-18T00:00:00"/>
    <s v="13:15"/>
    <s v="Thursday"/>
    <x v="2"/>
    <s v="Q3"/>
    <s v="Monsoon"/>
    <s v="S04"/>
    <x v="5"/>
    <x v="5"/>
    <s v="West"/>
    <s v="C2492"/>
    <x v="1"/>
    <s v="Silver"/>
    <s v="P027"/>
    <x v="13"/>
    <x v="3"/>
    <s v="Small"/>
    <n v="2"/>
    <n v="68.7"/>
    <n v="12"/>
    <n v="22"/>
    <n v="102.7"/>
    <n v="229"/>
    <n v="10"/>
    <n v="412.2"/>
    <n v="206.8"/>
    <n v="50.17"/>
    <x v="2"/>
    <s v="Dine-In"/>
    <s v="Aarav"/>
    <n v="5"/>
    <s v="Completed"/>
  </r>
  <r>
    <x v="487"/>
    <d v="2025-01-20T00:00:00"/>
    <s v="14:00"/>
    <s v="Monday"/>
    <x v="9"/>
    <s v="Q1"/>
    <s v="Winter"/>
    <s v="S14"/>
    <x v="4"/>
    <x v="4"/>
    <s v="North"/>
    <s v="C2493"/>
    <x v="1"/>
    <s v="Platinum"/>
    <s v="P004"/>
    <x v="10"/>
    <x v="1"/>
    <s v="Large"/>
    <n v="2"/>
    <n v="70.98"/>
    <n v="12"/>
    <n v="22"/>
    <n v="104.98"/>
    <n v="236.6"/>
    <n v="0"/>
    <n v="473.2"/>
    <n v="263.24"/>
    <n v="55.63"/>
    <x v="1"/>
    <s v="Delivery"/>
    <s v="Kabir"/>
    <n v="5"/>
    <s v="Completed"/>
  </r>
  <r>
    <x v="488"/>
    <d v="2025-09-08T00:00:00"/>
    <s v="08:15"/>
    <s v="Monday"/>
    <x v="2"/>
    <s v="Q3"/>
    <s v="Monsoon"/>
    <s v="S10"/>
    <x v="1"/>
    <x v="1"/>
    <s v="South"/>
    <s v="C2494"/>
    <x v="0"/>
    <s v="Platinum"/>
    <s v="P001"/>
    <x v="1"/>
    <x v="1"/>
    <s v="Small"/>
    <n v="1"/>
    <n v="44.7"/>
    <n v="12"/>
    <n v="22"/>
    <n v="78.7"/>
    <n v="149"/>
    <n v="0"/>
    <n v="149"/>
    <n v="70.3"/>
    <n v="47.18"/>
    <x v="0"/>
    <s v="Takeaway"/>
    <s v="Kabir"/>
    <n v="5"/>
    <s v="Completed"/>
  </r>
  <r>
    <x v="489"/>
    <d v="2025-06-24T00:00:00"/>
    <s v="09:15"/>
    <s v="Tuesday"/>
    <x v="10"/>
    <s v="Q2"/>
    <s v="Summer"/>
    <s v="S12"/>
    <x v="2"/>
    <x v="2"/>
    <s v="East"/>
    <s v="C2495"/>
    <x v="0"/>
    <s v="Gold"/>
    <s v="P002"/>
    <x v="2"/>
    <x v="1"/>
    <s v="Large"/>
    <n v="1"/>
    <n v="100.38"/>
    <n v="12"/>
    <n v="22"/>
    <n v="134.38"/>
    <n v="334.6"/>
    <n v="10"/>
    <n v="301.14"/>
    <n v="166.76"/>
    <n v="55.38"/>
    <x v="1"/>
    <s v="Delivery"/>
    <s v="Meera"/>
    <n v="5"/>
    <s v="Completed"/>
  </r>
  <r>
    <x v="490"/>
    <d v="2025-08-09T00:00:00"/>
    <s v="08:15"/>
    <s v="Saturday"/>
    <x v="4"/>
    <s v="Q3"/>
    <s v="Monsoon"/>
    <s v="S01"/>
    <x v="0"/>
    <x v="0"/>
    <s v="North"/>
    <s v="C2496"/>
    <x v="0"/>
    <s v="Gold"/>
    <s v="P041"/>
    <x v="12"/>
    <x v="5"/>
    <s v="Small"/>
    <n v="1"/>
    <n v="89.7"/>
    <n v="12"/>
    <n v="22"/>
    <n v="123.7"/>
    <n v="299"/>
    <n v="55"/>
    <n v="254.15"/>
    <n v="130.44999999999999"/>
    <n v="51.33"/>
    <x v="1"/>
    <s v="Takeaway"/>
    <s v="Rohan"/>
    <n v="5"/>
    <s v="Completed"/>
  </r>
  <r>
    <x v="491"/>
    <d v="2025-09-25T00:00:00"/>
    <s v="08:45"/>
    <s v="Thursday"/>
    <x v="2"/>
    <s v="Q3"/>
    <s v="Monsoon"/>
    <s v="S07"/>
    <x v="3"/>
    <x v="3"/>
    <s v="South"/>
    <s v="C2497"/>
    <x v="2"/>
    <s v="Gold"/>
    <s v="P001"/>
    <x v="1"/>
    <x v="1"/>
    <s v="Medium"/>
    <n v="3"/>
    <n v="53.64"/>
    <n v="12"/>
    <n v="22"/>
    <n v="87.64"/>
    <n v="178.8"/>
    <n v="0"/>
    <n v="536.4"/>
    <n v="273.48"/>
    <n v="50.98"/>
    <x v="0"/>
    <s v="Takeaway"/>
    <s v="Meera"/>
    <n v="5"/>
    <s v="Completed"/>
  </r>
  <r>
    <x v="492"/>
    <d v="2025-11-10T00:00:00"/>
    <s v="18:30"/>
    <s v="Monday"/>
    <x v="1"/>
    <s v="Q4"/>
    <s v="Autumn"/>
    <s v="S14"/>
    <x v="4"/>
    <x v="4"/>
    <s v="North"/>
    <s v="C2498"/>
    <x v="1"/>
    <s v="Gold"/>
    <s v="P003"/>
    <x v="3"/>
    <x v="1"/>
    <s v="Large"/>
    <n v="2"/>
    <n v="91.98"/>
    <n v="12"/>
    <n v="22"/>
    <n v="125.98"/>
    <n v="306.60000000000002"/>
    <n v="5"/>
    <n v="582.54"/>
    <n v="330.58"/>
    <n v="56.75"/>
    <x v="3"/>
    <s v="Dine-In"/>
    <s v="Kabir"/>
    <n v="5"/>
    <s v="Completed"/>
  </r>
  <r>
    <x v="493"/>
    <d v="2025-05-26T00:00:00"/>
    <s v="08:45"/>
    <s v="Monday"/>
    <x v="7"/>
    <s v="Q2"/>
    <s v="Summer"/>
    <s v="S10"/>
    <x v="1"/>
    <x v="1"/>
    <s v="South"/>
    <s v="C2499"/>
    <x v="2"/>
    <s v="Silver"/>
    <s v="P001"/>
    <x v="1"/>
    <x v="1"/>
    <s v="Large"/>
    <n v="2"/>
    <n v="62.58"/>
    <n v="12"/>
    <n v="22"/>
    <n v="96.58"/>
    <n v="208.6"/>
    <n v="10"/>
    <n v="375.48"/>
    <n v="182.32"/>
    <n v="48.56"/>
    <x v="0"/>
    <s v="Takeaway"/>
    <s v="Diya"/>
    <n v="5"/>
    <s v="Completed"/>
  </r>
  <r>
    <x v="494"/>
    <d v="2025-11-20T00:00:00"/>
    <s v="09:15"/>
    <s v="Thursday"/>
    <x v="1"/>
    <s v="Q4"/>
    <s v="Autumn"/>
    <s v="S07"/>
    <x v="3"/>
    <x v="3"/>
    <s v="South"/>
    <s v="C2500"/>
    <x v="1"/>
    <s v="Gold"/>
    <s v="P002"/>
    <x v="2"/>
    <x v="1"/>
    <s v="Medium"/>
    <n v="3"/>
    <n v="86.04"/>
    <n v="12"/>
    <n v="22"/>
    <n v="120.04"/>
    <n v="286.8"/>
    <n v="5"/>
    <n v="817.38"/>
    <n v="457.26"/>
    <n v="55.94"/>
    <x v="0"/>
    <s v="Delivery"/>
    <s v="Rohan"/>
    <n v="5"/>
    <s v="Completed"/>
  </r>
  <r>
    <x v="495"/>
    <d v="2025-04-18T00:00:00"/>
    <s v="17:00"/>
    <s v="Friday"/>
    <x v="11"/>
    <s v="Q2"/>
    <s v="Summer"/>
    <s v="S07"/>
    <x v="3"/>
    <x v="3"/>
    <s v="South"/>
    <s v="C2501"/>
    <x v="0"/>
    <s v="Silver"/>
    <s v="P001"/>
    <x v="1"/>
    <x v="1"/>
    <s v="Medium"/>
    <n v="2"/>
    <n v="53.64"/>
    <n v="12"/>
    <n v="22"/>
    <n v="87.64"/>
    <n v="178.8"/>
    <n v="10"/>
    <n v="321.83999999999997"/>
    <n v="146.56"/>
    <n v="45.54"/>
    <x v="2"/>
    <s v="Dine-In"/>
    <s v="Meera"/>
    <n v="4"/>
    <s v="Completed"/>
  </r>
  <r>
    <x v="496"/>
    <d v="2025-10-20T00:00:00"/>
    <s v="18:45"/>
    <s v="Monday"/>
    <x v="0"/>
    <s v="Q4"/>
    <s v="Autumn"/>
    <s v="S12"/>
    <x v="2"/>
    <x v="2"/>
    <s v="East"/>
    <s v="C2502"/>
    <x v="1"/>
    <s v="Gold"/>
    <s v="P002"/>
    <x v="2"/>
    <x v="1"/>
    <s v="Large"/>
    <n v="3"/>
    <n v="100.38"/>
    <n v="12"/>
    <n v="22"/>
    <n v="134.38"/>
    <n v="334.6"/>
    <n v="5"/>
    <n v="953.61"/>
    <n v="550.47"/>
    <n v="57.72"/>
    <x v="1"/>
    <s v="Delivery"/>
    <s v="Aarav"/>
    <n v="5"/>
    <s v="Completed"/>
  </r>
  <r>
    <x v="497"/>
    <d v="2025-08-04T00:00:00"/>
    <s v="18:45"/>
    <s v="Monday"/>
    <x v="4"/>
    <s v="Q3"/>
    <s v="Monsoon"/>
    <s v="S10"/>
    <x v="1"/>
    <x v="1"/>
    <s v="South"/>
    <s v="C2503"/>
    <x v="0"/>
    <s v="Gold"/>
    <s v="P019"/>
    <x v="7"/>
    <x v="4"/>
    <s v="Large"/>
    <n v="3"/>
    <n v="83.58"/>
    <n v="12"/>
    <n v="22"/>
    <n v="117.58"/>
    <n v="278.60000000000002"/>
    <n v="10"/>
    <n v="752.22"/>
    <n v="399.48"/>
    <n v="53.11"/>
    <x v="0"/>
    <s v="Delivery"/>
    <s v="Meera"/>
    <n v="4"/>
    <s v="Completed"/>
  </r>
  <r>
    <x v="498"/>
    <d v="2025-04-04T00:00:00"/>
    <s v="09:15"/>
    <s v="Friday"/>
    <x v="11"/>
    <s v="Q2"/>
    <s v="Summer"/>
    <s v="S14"/>
    <x v="4"/>
    <x v="4"/>
    <s v="North"/>
    <s v="C2504"/>
    <x v="1"/>
    <s v="Silver"/>
    <s v="P004"/>
    <x v="10"/>
    <x v="1"/>
    <s v="Medium"/>
    <n v="1"/>
    <n v="60.84"/>
    <n v="12"/>
    <n v="22"/>
    <n v="94.84"/>
    <n v="202.8"/>
    <n v="0"/>
    <n v="202.8"/>
    <n v="107.96"/>
    <n v="53.23"/>
    <x v="0"/>
    <s v="Dine-In"/>
    <s v="Meera"/>
    <n v="4"/>
    <s v="Completed"/>
  </r>
  <r>
    <x v="499"/>
    <d v="2025-03-16T00:00:00"/>
    <s v="14:45"/>
    <s v="Sunday"/>
    <x v="5"/>
    <s v="Q1"/>
    <s v="Autumn"/>
    <s v="S12"/>
    <x v="2"/>
    <x v="2"/>
    <s v="East"/>
    <s v="C2505"/>
    <x v="2"/>
    <s v="Silver"/>
    <s v="P041"/>
    <x v="12"/>
    <x v="5"/>
    <s v="Medium"/>
    <n v="4"/>
    <n v="107.64"/>
    <n v="12"/>
    <n v="22"/>
    <n v="141.63999999999999"/>
    <n v="358.8"/>
    <n v="15"/>
    <n v="1219.92"/>
    <n v="653.36"/>
    <n v="53.56"/>
    <x v="0"/>
    <s v="Dine-In"/>
    <s v="Meera"/>
    <n v="4"/>
    <s v="Completed"/>
  </r>
  <r>
    <x v="500"/>
    <d v="2025-01-28T00:00:00"/>
    <s v="13:00"/>
    <s v="Tuesday"/>
    <x v="9"/>
    <s v="Q1"/>
    <s v="Winter"/>
    <s v="S01"/>
    <x v="0"/>
    <x v="0"/>
    <s v="North"/>
    <s v="C2506"/>
    <x v="1"/>
    <s v="Platinum"/>
    <s v="P028"/>
    <x v="6"/>
    <x v="3"/>
    <s v="Medium"/>
    <n v="2"/>
    <n v="89.64"/>
    <n v="12"/>
    <n v="22"/>
    <n v="123.64"/>
    <n v="298.8"/>
    <n v="5"/>
    <n v="567.72"/>
    <n v="320.44"/>
    <n v="56.44"/>
    <x v="2"/>
    <s v="Takeaway"/>
    <s v="Rohan"/>
    <n v="5"/>
    <s v="Completed"/>
  </r>
  <r>
    <x v="501"/>
    <d v="2025-12-16T00:00:00"/>
    <s v="13:30"/>
    <s v="Tuesday"/>
    <x v="8"/>
    <s v="Q4"/>
    <s v="Winter"/>
    <s v="S10"/>
    <x v="1"/>
    <x v="1"/>
    <s v="South"/>
    <s v="C2507"/>
    <x v="0"/>
    <s v="Silver"/>
    <s v="P003"/>
    <x v="3"/>
    <x v="1"/>
    <s v="Large"/>
    <n v="2"/>
    <n v="91.98"/>
    <n v="12"/>
    <n v="22"/>
    <n v="125.98"/>
    <n v="306.60000000000002"/>
    <n v="0"/>
    <n v="613.20000000000005"/>
    <n v="361.24"/>
    <n v="58.91"/>
    <x v="1"/>
    <s v="Delivery"/>
    <s v="Rohan"/>
    <n v="4"/>
    <s v="Completed"/>
  </r>
  <r>
    <x v="502"/>
    <d v="2025-08-02T00:00:00"/>
    <s v="09:00"/>
    <s v="Saturday"/>
    <x v="4"/>
    <s v="Q3"/>
    <s v="Monsoon"/>
    <s v="S10"/>
    <x v="1"/>
    <x v="1"/>
    <s v="South"/>
    <s v="C2508"/>
    <x v="1"/>
    <s v="Silver"/>
    <s v="P001"/>
    <x v="1"/>
    <x v="1"/>
    <s v="Large"/>
    <n v="2"/>
    <n v="62.58"/>
    <n v="12"/>
    <n v="22"/>
    <n v="96.58"/>
    <n v="208.6"/>
    <n v="15"/>
    <n v="354.62"/>
    <n v="161.46"/>
    <n v="45.53"/>
    <x v="3"/>
    <s v="Takeaway"/>
    <s v="Aarav"/>
    <n v="5"/>
    <s v="Completed"/>
  </r>
  <r>
    <x v="503"/>
    <d v="2025-05-15T00:00:00"/>
    <s v="08:00"/>
    <s v="Thursday"/>
    <x v="7"/>
    <s v="Q2"/>
    <s v="Summer"/>
    <s v="S04"/>
    <x v="5"/>
    <x v="5"/>
    <s v="West"/>
    <s v="C2509"/>
    <x v="0"/>
    <s v="Gold"/>
    <s v="P004"/>
    <x v="10"/>
    <x v="1"/>
    <s v="Large"/>
    <n v="3"/>
    <n v="70.98"/>
    <n v="12"/>
    <n v="22"/>
    <n v="104.98"/>
    <n v="236.6"/>
    <n v="5"/>
    <n v="674.31"/>
    <n v="359.37"/>
    <n v="53.29"/>
    <x v="1"/>
    <s v="Delivery"/>
    <s v="Aarav"/>
    <n v="5"/>
    <s v="Completed"/>
  </r>
  <r>
    <x v="504"/>
    <d v="2025-03-18T00:00:00"/>
    <s v="09:45"/>
    <s v="Tuesday"/>
    <x v="5"/>
    <s v="Q1"/>
    <s v="Autumn"/>
    <s v="S10"/>
    <x v="1"/>
    <x v="1"/>
    <s v="South"/>
    <s v="C2510"/>
    <x v="0"/>
    <s v="Gold"/>
    <s v="P002"/>
    <x v="2"/>
    <x v="1"/>
    <s v="Large"/>
    <n v="2"/>
    <n v="100.38"/>
    <n v="12"/>
    <n v="22"/>
    <n v="134.38"/>
    <n v="334.6"/>
    <n v="5"/>
    <n v="635.74"/>
    <n v="366.98"/>
    <n v="57.72"/>
    <x v="1"/>
    <s v="Takeaway"/>
    <s v="Kabir"/>
    <n v="5"/>
    <s v="Completed"/>
  </r>
  <r>
    <x v="505"/>
    <d v="2025-12-08T00:00:00"/>
    <s v="08:00"/>
    <s v="Monday"/>
    <x v="8"/>
    <s v="Q4"/>
    <s v="Winter"/>
    <s v="S14"/>
    <x v="4"/>
    <x v="4"/>
    <s v="North"/>
    <s v="C2511"/>
    <x v="1"/>
    <s v="Silver"/>
    <s v="P004"/>
    <x v="10"/>
    <x v="1"/>
    <s v="Large"/>
    <n v="1"/>
    <n v="70.98"/>
    <n v="12"/>
    <n v="22"/>
    <n v="104.98"/>
    <n v="236.6"/>
    <n v="5"/>
    <n v="224.77"/>
    <n v="119.79"/>
    <n v="53.29"/>
    <x v="3"/>
    <s v="Delivery"/>
    <s v="Aarav"/>
    <n v="5"/>
    <s v="Completed"/>
  </r>
  <r>
    <x v="506"/>
    <d v="2025-11-14T00:00:00"/>
    <s v="13:00"/>
    <s v="Friday"/>
    <x v="1"/>
    <s v="Q4"/>
    <s v="Autumn"/>
    <s v="S10"/>
    <x v="1"/>
    <x v="1"/>
    <s v="South"/>
    <s v="C2512"/>
    <x v="2"/>
    <s v="Platinum"/>
    <s v="P002"/>
    <x v="2"/>
    <x v="1"/>
    <s v="Small"/>
    <n v="1"/>
    <n v="71.7"/>
    <n v="12"/>
    <n v="22"/>
    <n v="105.7"/>
    <n v="239"/>
    <n v="5"/>
    <n v="227.05"/>
    <n v="121.35"/>
    <n v="53.45"/>
    <x v="1"/>
    <s v="Dine-In"/>
    <s v="Rohan"/>
    <n v="4"/>
    <s v="Completed"/>
  </r>
  <r>
    <x v="507"/>
    <d v="2025-02-24T00:00:00"/>
    <s v="17:00"/>
    <s v="Monday"/>
    <x v="3"/>
    <s v="Q1"/>
    <s v="Winter"/>
    <s v="S12"/>
    <x v="2"/>
    <x v="2"/>
    <s v="East"/>
    <s v="C2513"/>
    <x v="2"/>
    <s v="Silver"/>
    <s v="P002"/>
    <x v="2"/>
    <x v="1"/>
    <s v="Large"/>
    <n v="3"/>
    <n v="100.38"/>
    <n v="12"/>
    <n v="22"/>
    <n v="134.38"/>
    <n v="334.6"/>
    <n v="0"/>
    <n v="1003.8"/>
    <n v="600.66"/>
    <n v="59.84"/>
    <x v="3"/>
    <s v="Dine-In"/>
    <s v="Aarav"/>
    <n v="5"/>
    <s v="Completed"/>
  </r>
  <r>
    <x v="508"/>
    <d v="2025-12-15T00:00:00"/>
    <s v="17:45"/>
    <s v="Monday"/>
    <x v="8"/>
    <s v="Q4"/>
    <s v="Winter"/>
    <s v="S14"/>
    <x v="4"/>
    <x v="4"/>
    <s v="North"/>
    <s v="C2514"/>
    <x v="1"/>
    <s v="Silver"/>
    <s v="P004"/>
    <x v="10"/>
    <x v="1"/>
    <s v="Medium"/>
    <n v="2"/>
    <n v="60.84"/>
    <n v="12"/>
    <n v="22"/>
    <n v="94.84"/>
    <n v="202.8"/>
    <n v="0"/>
    <n v="405.6"/>
    <n v="215.92"/>
    <n v="53.23"/>
    <x v="0"/>
    <s v="Takeaway"/>
    <s v="Meera"/>
    <n v="4"/>
    <s v="Completed"/>
  </r>
  <r>
    <x v="509"/>
    <d v="2025-06-04T00:00:00"/>
    <s v="18:00"/>
    <s v="Wednesday"/>
    <x v="10"/>
    <s v="Q2"/>
    <s v="Summer"/>
    <s v="S14"/>
    <x v="4"/>
    <x v="4"/>
    <s v="North"/>
    <s v="C2515"/>
    <x v="2"/>
    <s v="Silver"/>
    <s v="P002"/>
    <x v="2"/>
    <x v="1"/>
    <s v="Medium"/>
    <n v="1"/>
    <n v="86.04"/>
    <n v="12"/>
    <n v="22"/>
    <n v="120.04"/>
    <n v="286.8"/>
    <n v="10"/>
    <n v="258.12"/>
    <n v="138.08000000000001"/>
    <n v="53.49"/>
    <x v="1"/>
    <s v="Dine-In"/>
    <s v="Meera"/>
    <n v="5"/>
    <s v="Completed"/>
  </r>
  <r>
    <x v="510"/>
    <d v="2025-05-20T00:00:00"/>
    <s v="13:45"/>
    <s v="Tuesday"/>
    <x v="7"/>
    <s v="Q2"/>
    <s v="Summer"/>
    <s v="S07"/>
    <x v="3"/>
    <x v="3"/>
    <s v="South"/>
    <s v="C2516"/>
    <x v="1"/>
    <s v="Silver"/>
    <s v="P027"/>
    <x v="13"/>
    <x v="3"/>
    <s v="Large"/>
    <n v="2"/>
    <n v="96.18"/>
    <n v="12"/>
    <n v="22"/>
    <n v="130.18"/>
    <n v="320.60000000000002"/>
    <n v="0"/>
    <n v="641.20000000000005"/>
    <n v="380.84"/>
    <n v="59.39"/>
    <x v="3"/>
    <s v="Dine-In"/>
    <s v="Diya"/>
    <n v="3"/>
    <s v="Completed"/>
  </r>
  <r>
    <x v="511"/>
    <d v="2025-05-26T00:00:00"/>
    <s v="13:45"/>
    <s v="Monday"/>
    <x v="7"/>
    <s v="Q2"/>
    <s v="Summer"/>
    <s v="S10"/>
    <x v="1"/>
    <x v="1"/>
    <s v="South"/>
    <s v="C2517"/>
    <x v="0"/>
    <s v="Silver"/>
    <s v="P033"/>
    <x v="8"/>
    <x v="0"/>
    <s v="Small"/>
    <n v="3"/>
    <n v="74.7"/>
    <n v="12"/>
    <n v="22"/>
    <n v="108.7"/>
    <n v="249"/>
    <n v="5"/>
    <n v="709.65"/>
    <n v="383.55"/>
    <n v="54.05"/>
    <x v="1"/>
    <s v="Dine-In"/>
    <s v="Aarav"/>
    <n v="5"/>
    <s v="Completed"/>
  </r>
  <r>
    <x v="512"/>
    <d v="2025-12-20T00:00:00"/>
    <s v="14:30"/>
    <s v="Saturday"/>
    <x v="8"/>
    <s v="Q4"/>
    <s v="Winter"/>
    <s v="S04"/>
    <x v="5"/>
    <x v="5"/>
    <s v="West"/>
    <s v="C2518"/>
    <x v="1"/>
    <s v="Platinum"/>
    <s v="P033"/>
    <x v="8"/>
    <x v="0"/>
    <s v="Large"/>
    <n v="3"/>
    <n v="104.58"/>
    <n v="12"/>
    <n v="22"/>
    <n v="138.58000000000001"/>
    <n v="348.6"/>
    <n v="10"/>
    <n v="941.22"/>
    <n v="525.48"/>
    <n v="55.83"/>
    <x v="0"/>
    <s v="Takeaway"/>
    <s v="Diya"/>
    <n v="5"/>
    <s v="Completed"/>
  </r>
  <r>
    <x v="513"/>
    <d v="2025-12-20T00:00:00"/>
    <s v="08:15"/>
    <s v="Saturday"/>
    <x v="8"/>
    <s v="Q4"/>
    <s v="Winter"/>
    <s v="S10"/>
    <x v="1"/>
    <x v="1"/>
    <s v="South"/>
    <s v="C2519"/>
    <x v="2"/>
    <s v="Silver"/>
    <s v="P001"/>
    <x v="1"/>
    <x v="1"/>
    <s v="Medium"/>
    <n v="4"/>
    <n v="53.64"/>
    <n v="12"/>
    <n v="22"/>
    <n v="87.64"/>
    <n v="178.8"/>
    <n v="10"/>
    <n v="643.67999999999995"/>
    <n v="293.12"/>
    <n v="45.54"/>
    <x v="1"/>
    <s v="Delivery"/>
    <s v="Rohan"/>
    <n v="5"/>
    <s v="Completed"/>
  </r>
  <r>
    <x v="514"/>
    <d v="2025-06-01T00:00:00"/>
    <s v="09:15"/>
    <s v="Sunday"/>
    <x v="10"/>
    <s v="Q2"/>
    <s v="Summer"/>
    <s v="S12"/>
    <x v="2"/>
    <x v="2"/>
    <s v="East"/>
    <s v="C2520"/>
    <x v="0"/>
    <s v="Gold"/>
    <s v="P036"/>
    <x v="11"/>
    <x v="0"/>
    <s v="Small"/>
    <n v="3"/>
    <n v="47.7"/>
    <n v="12"/>
    <n v="22"/>
    <n v="81.7"/>
    <n v="159"/>
    <n v="15"/>
    <n v="405.45"/>
    <n v="160.35"/>
    <n v="39.549999999999997"/>
    <x v="0"/>
    <s v="Delivery"/>
    <s v="Kabir"/>
    <n v="4"/>
    <s v="Completed"/>
  </r>
  <r>
    <x v="515"/>
    <d v="2025-04-18T00:00:00"/>
    <s v="08:30"/>
    <s v="Friday"/>
    <x v="11"/>
    <s v="Q2"/>
    <s v="Summer"/>
    <s v="S14"/>
    <x v="4"/>
    <x v="4"/>
    <s v="North"/>
    <s v="C2521"/>
    <x v="2"/>
    <s v="Gold"/>
    <s v="P013"/>
    <x v="5"/>
    <x v="2"/>
    <s v="Medium"/>
    <n v="1"/>
    <n v="46.44"/>
    <n v="12"/>
    <n v="22"/>
    <n v="80.44"/>
    <n v="154.80000000000001"/>
    <n v="0"/>
    <n v="154.80000000000001"/>
    <n v="74.36"/>
    <n v="48.04"/>
    <x v="0"/>
    <s v="Takeaway"/>
    <s v="Rohan"/>
    <n v="5"/>
    <s v="Completed"/>
  </r>
  <r>
    <x v="516"/>
    <d v="2025-07-31T00:00:00"/>
    <s v="09:15"/>
    <s v="Thursday"/>
    <x v="6"/>
    <s v="Q3"/>
    <s v="Monsoon"/>
    <s v="S07"/>
    <x v="3"/>
    <x v="3"/>
    <s v="South"/>
    <s v="C2522"/>
    <x v="2"/>
    <s v="Gold"/>
    <s v="P014"/>
    <x v="4"/>
    <x v="2"/>
    <s v="Medium"/>
    <n v="2"/>
    <n v="53.64"/>
    <n v="12"/>
    <n v="22"/>
    <n v="87.64"/>
    <n v="178.8"/>
    <n v="0"/>
    <n v="357.6"/>
    <n v="182.32"/>
    <n v="50.98"/>
    <x v="0"/>
    <s v="Delivery"/>
    <s v="Aarav"/>
    <n v="4"/>
    <s v="Completed"/>
  </r>
  <r>
    <x v="517"/>
    <d v="2025-11-07T00:00:00"/>
    <s v="17:15"/>
    <s v="Friday"/>
    <x v="1"/>
    <s v="Q4"/>
    <s v="Autumn"/>
    <s v="S04"/>
    <x v="5"/>
    <x v="5"/>
    <s v="West"/>
    <s v="C2523"/>
    <x v="2"/>
    <s v="Platinum"/>
    <s v="P002"/>
    <x v="2"/>
    <x v="1"/>
    <s v="Large"/>
    <n v="1"/>
    <n v="100.38"/>
    <n v="12"/>
    <n v="22"/>
    <n v="134.38"/>
    <n v="334.6"/>
    <n v="0"/>
    <n v="334.6"/>
    <n v="200.22"/>
    <n v="59.84"/>
    <x v="0"/>
    <s v="Dine-In"/>
    <s v="Meera"/>
    <n v="5"/>
    <s v="Completed"/>
  </r>
  <r>
    <x v="518"/>
    <d v="2025-05-27T00:00:00"/>
    <s v="09:15"/>
    <s v="Tuesday"/>
    <x v="7"/>
    <s v="Q2"/>
    <s v="Summer"/>
    <s v="S07"/>
    <x v="3"/>
    <x v="3"/>
    <s v="South"/>
    <s v="C2524"/>
    <x v="0"/>
    <s v="Gold"/>
    <s v="P013"/>
    <x v="5"/>
    <x v="2"/>
    <s v="Large"/>
    <n v="1"/>
    <n v="54.18"/>
    <n v="12"/>
    <n v="22"/>
    <n v="88.18"/>
    <n v="180.6"/>
    <n v="0"/>
    <n v="180.6"/>
    <n v="92.42"/>
    <n v="51.17"/>
    <x v="0"/>
    <s v="Takeaway"/>
    <s v="Meera"/>
    <n v="4"/>
    <s v="Completed"/>
  </r>
  <r>
    <x v="519"/>
    <d v="2025-01-22T00:00:00"/>
    <s v="08:45"/>
    <s v="Wednesday"/>
    <x v="9"/>
    <s v="Q1"/>
    <s v="Winter"/>
    <s v="S14"/>
    <x v="4"/>
    <x v="4"/>
    <s v="North"/>
    <s v="C2525"/>
    <x v="0"/>
    <s v="Silver"/>
    <s v="P001"/>
    <x v="1"/>
    <x v="1"/>
    <s v="Medium"/>
    <n v="1"/>
    <n v="53.64"/>
    <n v="12"/>
    <n v="22"/>
    <n v="87.64"/>
    <n v="178.8"/>
    <n v="0"/>
    <n v="178.8"/>
    <n v="91.16"/>
    <n v="50.98"/>
    <x v="1"/>
    <s v="Delivery"/>
    <s v="Aarav"/>
    <n v="5"/>
    <s v="Completed"/>
  </r>
  <r>
    <x v="520"/>
    <d v="2025-06-08T00:00:00"/>
    <s v="09:45"/>
    <s v="Sunday"/>
    <x v="10"/>
    <s v="Q2"/>
    <s v="Summer"/>
    <s v="S07"/>
    <x v="3"/>
    <x v="3"/>
    <s v="South"/>
    <s v="C2526"/>
    <x v="0"/>
    <s v="Gold"/>
    <s v="P013"/>
    <x v="5"/>
    <x v="2"/>
    <s v="Medium"/>
    <n v="1"/>
    <n v="46.44"/>
    <n v="12"/>
    <n v="22"/>
    <n v="80.44"/>
    <n v="154.80000000000001"/>
    <n v="15"/>
    <n v="131.58000000000001"/>
    <n v="51.14"/>
    <n v="38.869999999999997"/>
    <x v="1"/>
    <s v="Takeaway"/>
    <s v="Kabir"/>
    <n v="5"/>
    <s v="Completed"/>
  </r>
  <r>
    <x v="521"/>
    <d v="2025-07-03T00:00:00"/>
    <s v="17:45"/>
    <s v="Thursday"/>
    <x v="6"/>
    <s v="Q3"/>
    <s v="Monsoon"/>
    <s v="S10"/>
    <x v="1"/>
    <x v="1"/>
    <s v="South"/>
    <s v="C2527"/>
    <x v="1"/>
    <s v="Platinum"/>
    <s v="P001"/>
    <x v="1"/>
    <x v="1"/>
    <s v="Medium"/>
    <n v="1"/>
    <n v="53.64"/>
    <n v="12"/>
    <n v="22"/>
    <n v="87.64"/>
    <n v="178.8"/>
    <n v="10"/>
    <n v="160.91999999999999"/>
    <n v="73.28"/>
    <n v="45.54"/>
    <x v="2"/>
    <s v="Dine-In"/>
    <s v="Rohan"/>
    <n v="5"/>
    <s v="Completed"/>
  </r>
  <r>
    <x v="522"/>
    <d v="2025-04-02T00:00:00"/>
    <s v="09:15"/>
    <s v="Wednesday"/>
    <x v="11"/>
    <s v="Q2"/>
    <s v="Summer"/>
    <s v="S01"/>
    <x v="0"/>
    <x v="0"/>
    <s v="North"/>
    <s v="C2528"/>
    <x v="1"/>
    <s v="Gold"/>
    <s v="P004"/>
    <x v="10"/>
    <x v="1"/>
    <s v="Small"/>
    <n v="1"/>
    <n v="50.7"/>
    <n v="12"/>
    <n v="22"/>
    <n v="84.7"/>
    <n v="169"/>
    <n v="0"/>
    <n v="169"/>
    <n v="84.3"/>
    <n v="49.88"/>
    <x v="1"/>
    <s v="Takeaway"/>
    <s v="Aarav"/>
    <n v="5"/>
    <s v="Completed"/>
  </r>
  <r>
    <x v="523"/>
    <d v="2025-02-17T00:00:00"/>
    <s v="13:45"/>
    <s v="Monday"/>
    <x v="3"/>
    <s v="Q1"/>
    <s v="Winter"/>
    <s v="S04"/>
    <x v="5"/>
    <x v="5"/>
    <s v="West"/>
    <s v="C2529"/>
    <x v="1"/>
    <s v="Gold"/>
    <s v="P002"/>
    <x v="2"/>
    <x v="1"/>
    <s v="Small"/>
    <n v="1"/>
    <n v="71.7"/>
    <n v="12"/>
    <n v="22"/>
    <n v="105.7"/>
    <n v="239"/>
    <n v="0"/>
    <n v="239"/>
    <n v="133.30000000000001"/>
    <n v="55.77"/>
    <x v="2"/>
    <s v="Dine-In"/>
    <s v="Aarav"/>
    <n v="4"/>
    <s v="Completed"/>
  </r>
  <r>
    <x v="524"/>
    <d v="2025-02-08T00:00:00"/>
    <s v="17:00"/>
    <s v="Saturday"/>
    <x v="3"/>
    <s v="Q1"/>
    <s v="Winter"/>
    <s v="S10"/>
    <x v="1"/>
    <x v="1"/>
    <s v="South"/>
    <s v="C2530"/>
    <x v="2"/>
    <s v="Silver"/>
    <s v="P004"/>
    <x v="10"/>
    <x v="1"/>
    <s v="Large"/>
    <n v="2"/>
    <n v="70.98"/>
    <n v="12"/>
    <n v="22"/>
    <n v="104.98"/>
    <n v="236.6"/>
    <n v="10"/>
    <n v="425.88"/>
    <n v="215.92"/>
    <n v="50.7"/>
    <x v="1"/>
    <s v="Delivery"/>
    <s v="Diya"/>
    <n v="5"/>
    <s v="Completed"/>
  </r>
  <r>
    <x v="525"/>
    <d v="2025-08-05T00:00:00"/>
    <s v="08:30"/>
    <s v="Tuesday"/>
    <x v="4"/>
    <s v="Q3"/>
    <s v="Monsoon"/>
    <s v="S04"/>
    <x v="5"/>
    <x v="5"/>
    <s v="West"/>
    <s v="C2531"/>
    <x v="1"/>
    <s v="Platinum"/>
    <s v="P004"/>
    <x v="10"/>
    <x v="1"/>
    <s v="Large"/>
    <n v="1"/>
    <n v="70.98"/>
    <n v="12"/>
    <n v="22"/>
    <n v="104.98"/>
    <n v="236.6"/>
    <n v="0"/>
    <n v="236.6"/>
    <n v="131.62"/>
    <n v="55.63"/>
    <x v="2"/>
    <s v="Takeaway"/>
    <s v="Rohan"/>
    <n v="4"/>
    <s v="Completed"/>
  </r>
  <r>
    <x v="526"/>
    <d v="2025-01-04T00:00:00"/>
    <s v="09:15"/>
    <s v="Saturday"/>
    <x v="9"/>
    <s v="Q1"/>
    <s v="Winter"/>
    <s v="S10"/>
    <x v="1"/>
    <x v="1"/>
    <s v="South"/>
    <s v="C2532"/>
    <x v="0"/>
    <s v="Platinum"/>
    <s v="P002"/>
    <x v="2"/>
    <x v="1"/>
    <s v="Small"/>
    <n v="2"/>
    <n v="71.7"/>
    <n v="12"/>
    <n v="22"/>
    <n v="105.7"/>
    <n v="239"/>
    <n v="15"/>
    <n v="406.3"/>
    <n v="194.9"/>
    <n v="47.97"/>
    <x v="1"/>
    <s v="Takeaway"/>
    <s v="Diya"/>
    <n v="5"/>
    <s v="Completed"/>
  </r>
  <r>
    <x v="527"/>
    <d v="2025-07-27T00:00:00"/>
    <s v="17:00"/>
    <s v="Sunday"/>
    <x v="6"/>
    <s v="Q3"/>
    <s v="Monsoon"/>
    <s v="S12"/>
    <x v="2"/>
    <x v="2"/>
    <s v="East"/>
    <s v="C2533"/>
    <x v="1"/>
    <s v="Platinum"/>
    <s v="P002"/>
    <x v="2"/>
    <x v="1"/>
    <s v="Small"/>
    <n v="3"/>
    <n v="71.7"/>
    <n v="12"/>
    <n v="22"/>
    <n v="105.7"/>
    <n v="239"/>
    <n v="15"/>
    <n v="609.45000000000005"/>
    <n v="292.35000000000002"/>
    <n v="47.97"/>
    <x v="0"/>
    <s v="Dine-In"/>
    <s v="Rohan"/>
    <n v="5"/>
    <s v="Completed"/>
  </r>
  <r>
    <x v="528"/>
    <d v="2025-02-07T00:00:00"/>
    <s v="14:30"/>
    <s v="Friday"/>
    <x v="3"/>
    <s v="Q1"/>
    <s v="Winter"/>
    <s v="S07"/>
    <x v="3"/>
    <x v="3"/>
    <s v="South"/>
    <s v="C2534"/>
    <x v="2"/>
    <s v="Silver"/>
    <s v="P033"/>
    <x v="8"/>
    <x v="0"/>
    <s v="Medium"/>
    <n v="2"/>
    <n v="89.64"/>
    <n v="12"/>
    <n v="22"/>
    <n v="123.64"/>
    <n v="298.8"/>
    <n v="10"/>
    <n v="537.84"/>
    <n v="290.56"/>
    <n v="54.02"/>
    <x v="0"/>
    <s v="Takeaway"/>
    <s v="Rohan"/>
    <n v="5"/>
    <s v="Completed"/>
  </r>
  <r>
    <x v="529"/>
    <d v="2025-07-24T00:00:00"/>
    <s v="09:45"/>
    <s v="Thursday"/>
    <x v="6"/>
    <s v="Q3"/>
    <s v="Monsoon"/>
    <s v="S01"/>
    <x v="0"/>
    <x v="0"/>
    <s v="North"/>
    <s v="C2535"/>
    <x v="0"/>
    <s v="Gold"/>
    <s v="P014"/>
    <x v="4"/>
    <x v="2"/>
    <s v="Medium"/>
    <n v="3"/>
    <n v="53.64"/>
    <n v="12"/>
    <n v="22"/>
    <n v="87.64"/>
    <n v="178.8"/>
    <n v="5"/>
    <n v="509.58"/>
    <n v="246.66"/>
    <n v="48.4"/>
    <x v="3"/>
    <s v="Takeaway"/>
    <s v="Diya"/>
    <n v="5"/>
    <s v="Completed"/>
  </r>
  <r>
    <x v="530"/>
    <d v="2025-10-16T00:00:00"/>
    <s v="18:15"/>
    <s v="Thursday"/>
    <x v="0"/>
    <s v="Q4"/>
    <s v="Autumn"/>
    <s v="S04"/>
    <x v="5"/>
    <x v="5"/>
    <s v="West"/>
    <s v="C2536"/>
    <x v="2"/>
    <s v="Platinum"/>
    <s v="P001"/>
    <x v="1"/>
    <x v="1"/>
    <s v="Small"/>
    <n v="1"/>
    <n v="44.7"/>
    <n v="12"/>
    <n v="22"/>
    <n v="78.7"/>
    <n v="149"/>
    <n v="10"/>
    <n v="134.1"/>
    <n v="55.4"/>
    <n v="41.31"/>
    <x v="3"/>
    <s v="Dine-In"/>
    <s v="Aarav"/>
    <n v="3"/>
    <s v="Completed"/>
  </r>
  <r>
    <x v="531"/>
    <d v="2025-06-09T00:00:00"/>
    <s v="17:00"/>
    <s v="Monday"/>
    <x v="10"/>
    <s v="Q2"/>
    <s v="Summer"/>
    <s v="S01"/>
    <x v="0"/>
    <x v="0"/>
    <s v="North"/>
    <s v="C2537"/>
    <x v="1"/>
    <s v="Gold"/>
    <s v="P001"/>
    <x v="1"/>
    <x v="1"/>
    <s v="Medium"/>
    <n v="2"/>
    <n v="53.64"/>
    <n v="12"/>
    <n v="22"/>
    <n v="87.64"/>
    <n v="178.8"/>
    <n v="10"/>
    <n v="321.83999999999997"/>
    <n v="146.56"/>
    <n v="45.54"/>
    <x v="1"/>
    <s v="Dine-In"/>
    <s v="Rohan"/>
    <n v="5"/>
    <s v="Completed"/>
  </r>
  <r>
    <x v="532"/>
    <d v="2025-10-24T00:00:00"/>
    <s v="14:45"/>
    <s v="Friday"/>
    <x v="0"/>
    <s v="Q4"/>
    <s v="Autumn"/>
    <s v="S01"/>
    <x v="0"/>
    <x v="0"/>
    <s v="North"/>
    <s v="C2538"/>
    <x v="1"/>
    <s v="Platinum"/>
    <s v="P028"/>
    <x v="6"/>
    <x v="3"/>
    <s v="Small"/>
    <n v="1"/>
    <n v="74.7"/>
    <n v="12"/>
    <n v="22"/>
    <n v="108.7"/>
    <n v="249"/>
    <n v="0"/>
    <n v="249"/>
    <n v="140.30000000000001"/>
    <n v="56.35"/>
    <x v="0"/>
    <s v="Takeaway"/>
    <s v="Diya"/>
    <n v="5"/>
    <s v="Completed"/>
  </r>
  <r>
    <x v="533"/>
    <d v="2025-04-01T00:00:00"/>
    <s v="17:45"/>
    <s v="Tuesday"/>
    <x v="11"/>
    <s v="Q2"/>
    <s v="Summer"/>
    <s v="S07"/>
    <x v="3"/>
    <x v="3"/>
    <s v="South"/>
    <s v="C2539"/>
    <x v="0"/>
    <s v="Gold"/>
    <s v="P034"/>
    <x v="0"/>
    <x v="0"/>
    <s v="Large"/>
    <n v="3"/>
    <n v="108.78"/>
    <n v="12"/>
    <n v="22"/>
    <n v="142.78"/>
    <n v="362.6"/>
    <n v="10"/>
    <n v="979.02"/>
    <n v="550.67999999999995"/>
    <n v="56.25"/>
    <x v="3"/>
    <s v="Delivery"/>
    <s v="Meera"/>
    <n v="5"/>
    <s v="Completed"/>
  </r>
  <r>
    <x v="534"/>
    <d v="2025-08-20T00:00:00"/>
    <s v="08:15"/>
    <s v="Wednesday"/>
    <x v="4"/>
    <s v="Q3"/>
    <s v="Monsoon"/>
    <s v="S10"/>
    <x v="1"/>
    <x v="1"/>
    <s v="South"/>
    <s v="C2540"/>
    <x v="1"/>
    <s v="Platinum"/>
    <s v="P013"/>
    <x v="5"/>
    <x v="2"/>
    <s v="Small"/>
    <n v="1"/>
    <n v="38.700000000000003"/>
    <n v="12"/>
    <n v="22"/>
    <n v="72.7"/>
    <n v="129"/>
    <n v="0"/>
    <n v="129"/>
    <n v="56.3"/>
    <n v="43.64"/>
    <x v="2"/>
    <s v="Takeaway"/>
    <s v="Kabir"/>
    <n v="5"/>
    <s v="Completed"/>
  </r>
  <r>
    <x v="535"/>
    <d v="2025-04-11T00:00:00"/>
    <s v="18:45"/>
    <s v="Friday"/>
    <x v="11"/>
    <s v="Q2"/>
    <s v="Summer"/>
    <s v="S14"/>
    <x v="4"/>
    <x v="4"/>
    <s v="North"/>
    <s v="C2541"/>
    <x v="1"/>
    <s v="Silver"/>
    <s v="P036"/>
    <x v="11"/>
    <x v="0"/>
    <s v="Large"/>
    <n v="2"/>
    <n v="66.78"/>
    <n v="12"/>
    <n v="22"/>
    <n v="100.78"/>
    <n v="222.6"/>
    <n v="10"/>
    <n v="400.68"/>
    <n v="199.12"/>
    <n v="49.7"/>
    <x v="4"/>
    <s v="Dine-In"/>
    <s v="Rohan"/>
    <n v="5"/>
    <s v="Completed"/>
  </r>
  <r>
    <x v="536"/>
    <d v="2025-04-10T00:00:00"/>
    <s v="08:15"/>
    <s v="Thursday"/>
    <x v="11"/>
    <s v="Q2"/>
    <s v="Summer"/>
    <s v="S14"/>
    <x v="4"/>
    <x v="4"/>
    <s v="North"/>
    <s v="C2542"/>
    <x v="1"/>
    <s v="Gold"/>
    <s v="P034"/>
    <x v="0"/>
    <x v="0"/>
    <s v="Medium"/>
    <n v="2"/>
    <n v="93.24"/>
    <n v="12"/>
    <n v="22"/>
    <n v="127.24"/>
    <n v="310.8"/>
    <n v="10"/>
    <n v="559.44000000000005"/>
    <n v="304.95999999999998"/>
    <n v="54.51"/>
    <x v="3"/>
    <s v="Takeaway"/>
    <s v="Meera"/>
    <n v="5"/>
    <s v="Completed"/>
  </r>
  <r>
    <x v="537"/>
    <d v="2025-10-29T00:00:00"/>
    <s v="18:45"/>
    <s v="Wednesday"/>
    <x v="0"/>
    <s v="Q4"/>
    <s v="Autumn"/>
    <s v="S10"/>
    <x v="1"/>
    <x v="1"/>
    <s v="South"/>
    <s v="C2543"/>
    <x v="2"/>
    <s v="Silver"/>
    <s v="P003"/>
    <x v="3"/>
    <x v="1"/>
    <s v="Medium"/>
    <n v="3"/>
    <n v="78.84"/>
    <n v="12"/>
    <n v="22"/>
    <n v="112.84"/>
    <n v="262.8"/>
    <n v="0"/>
    <n v="788.4"/>
    <n v="449.88"/>
    <n v="57.06"/>
    <x v="0"/>
    <s v="Dine-In"/>
    <s v="Meera"/>
    <n v="5"/>
    <s v="Completed"/>
  </r>
  <r>
    <x v="538"/>
    <d v="2025-06-18T00:00:00"/>
    <s v="09:15"/>
    <s v="Wednesday"/>
    <x v="10"/>
    <s v="Q2"/>
    <s v="Summer"/>
    <s v="S12"/>
    <x v="2"/>
    <x v="2"/>
    <s v="East"/>
    <s v="C2544"/>
    <x v="1"/>
    <s v="Platinum"/>
    <s v="P001"/>
    <x v="1"/>
    <x v="1"/>
    <s v="Small"/>
    <n v="3"/>
    <n v="44.7"/>
    <n v="12"/>
    <n v="22"/>
    <n v="78.7"/>
    <n v="149"/>
    <n v="5"/>
    <n v="424.65"/>
    <n v="188.55"/>
    <n v="44.4"/>
    <x v="3"/>
    <s v="Takeaway"/>
    <s v="Kabir"/>
    <n v="4"/>
    <s v="Completed"/>
  </r>
  <r>
    <x v="539"/>
    <d v="2025-10-31T00:00:00"/>
    <s v="18:15"/>
    <s v="Friday"/>
    <x v="0"/>
    <s v="Q4"/>
    <s v="Autumn"/>
    <s v="S01"/>
    <x v="0"/>
    <x v="0"/>
    <s v="North"/>
    <s v="C2545"/>
    <x v="1"/>
    <s v="Silver"/>
    <s v="P001"/>
    <x v="1"/>
    <x v="1"/>
    <s v="Small"/>
    <n v="2"/>
    <n v="44.7"/>
    <n v="12"/>
    <n v="22"/>
    <n v="78.7"/>
    <n v="149"/>
    <n v="0"/>
    <n v="298"/>
    <n v="140.6"/>
    <n v="47.18"/>
    <x v="3"/>
    <s v="Dine-In"/>
    <s v="Aarav"/>
    <n v="5"/>
    <s v="Completed"/>
  </r>
  <r>
    <x v="540"/>
    <d v="2025-01-21T00:00:00"/>
    <s v="17:30"/>
    <s v="Tuesday"/>
    <x v="9"/>
    <s v="Q1"/>
    <s v="Winter"/>
    <s v="S07"/>
    <x v="3"/>
    <x v="3"/>
    <s v="South"/>
    <s v="C2546"/>
    <x v="1"/>
    <s v="Platinum"/>
    <s v="P019"/>
    <x v="7"/>
    <x v="4"/>
    <s v="Large"/>
    <n v="1"/>
    <n v="83.58"/>
    <n v="12"/>
    <n v="22"/>
    <n v="117.58"/>
    <n v="278.60000000000002"/>
    <n v="5"/>
    <n v="264.67"/>
    <n v="147.09"/>
    <n v="55.57"/>
    <x v="2"/>
    <s v="Dine-In"/>
    <s v="Aarav"/>
    <n v="5"/>
    <s v="Completed"/>
  </r>
  <r>
    <x v="541"/>
    <d v="2025-12-24T00:00:00"/>
    <s v="14:30"/>
    <s v="Wednesday"/>
    <x v="8"/>
    <s v="Q4"/>
    <s v="Winter"/>
    <s v="S12"/>
    <x v="2"/>
    <x v="2"/>
    <s v="East"/>
    <s v="C2547"/>
    <x v="0"/>
    <s v="Platinum"/>
    <s v="P003"/>
    <x v="3"/>
    <x v="1"/>
    <s v="Medium"/>
    <n v="1"/>
    <n v="78.84"/>
    <n v="12"/>
    <n v="22"/>
    <n v="112.84"/>
    <n v="262.8"/>
    <n v="10"/>
    <n v="236.52"/>
    <n v="123.68"/>
    <n v="52.29"/>
    <x v="1"/>
    <s v="Dine-In"/>
    <s v="Rohan"/>
    <n v="4"/>
    <s v="Completed"/>
  </r>
  <r>
    <x v="542"/>
    <d v="2025-10-03T00:00:00"/>
    <s v="17:00"/>
    <s v="Friday"/>
    <x v="0"/>
    <s v="Q4"/>
    <s v="Autumn"/>
    <s v="S14"/>
    <x v="4"/>
    <x v="4"/>
    <s v="North"/>
    <s v="C2548"/>
    <x v="1"/>
    <s v="Silver"/>
    <s v="P004"/>
    <x v="10"/>
    <x v="1"/>
    <s v="Medium"/>
    <n v="1"/>
    <n v="60.84"/>
    <n v="12"/>
    <n v="22"/>
    <n v="94.84"/>
    <n v="202.8"/>
    <n v="0"/>
    <n v="202.8"/>
    <n v="107.96"/>
    <n v="53.23"/>
    <x v="2"/>
    <s v="Dine-In"/>
    <s v="Kabir"/>
    <n v="5"/>
    <s v="Completed"/>
  </r>
  <r>
    <x v="543"/>
    <d v="2025-03-16T00:00:00"/>
    <s v="08:15"/>
    <s v="Sunday"/>
    <x v="5"/>
    <s v="Q1"/>
    <s v="Autumn"/>
    <s v="S12"/>
    <x v="2"/>
    <x v="2"/>
    <s v="East"/>
    <s v="C2549"/>
    <x v="0"/>
    <s v="Gold"/>
    <s v="P042"/>
    <x v="14"/>
    <x v="5"/>
    <s v="Large"/>
    <n v="2"/>
    <n v="138.18"/>
    <n v="12"/>
    <n v="22"/>
    <n v="172.18"/>
    <n v="460.6"/>
    <n v="15"/>
    <n v="783.02"/>
    <n v="438.66"/>
    <n v="56.02"/>
    <x v="3"/>
    <s v="Delivery"/>
    <s v="Diya"/>
    <n v="5"/>
    <s v="Completed"/>
  </r>
  <r>
    <x v="544"/>
    <d v="2025-09-01T00:00:00"/>
    <s v="17:45"/>
    <s v="Monday"/>
    <x v="2"/>
    <s v="Q3"/>
    <s v="Monsoon"/>
    <s v="S01"/>
    <x v="0"/>
    <x v="0"/>
    <s v="North"/>
    <s v="C2550"/>
    <x v="2"/>
    <s v="Platinum"/>
    <s v="P003"/>
    <x v="3"/>
    <x v="1"/>
    <s v="Large"/>
    <n v="3"/>
    <n v="91.98"/>
    <n v="12"/>
    <n v="22"/>
    <n v="125.98"/>
    <n v="306.60000000000002"/>
    <n v="0"/>
    <n v="919.8"/>
    <n v="541.86"/>
    <n v="58.91"/>
    <x v="1"/>
    <s v="Dine-In"/>
    <s v="Meera"/>
    <n v="4"/>
    <s v="Completed"/>
  </r>
  <r>
    <x v="545"/>
    <d v="2025-03-14T00:00:00"/>
    <s v="18:45"/>
    <s v="Friday"/>
    <x v="5"/>
    <s v="Q1"/>
    <s v="Autumn"/>
    <s v="S04"/>
    <x v="5"/>
    <x v="5"/>
    <s v="West"/>
    <s v="C2551"/>
    <x v="2"/>
    <s v="Silver"/>
    <s v="P002"/>
    <x v="2"/>
    <x v="1"/>
    <s v="Large"/>
    <n v="1"/>
    <n v="100.38"/>
    <n v="12"/>
    <n v="22"/>
    <n v="134.38"/>
    <n v="334.6"/>
    <n v="0"/>
    <n v="334.6"/>
    <n v="200.22"/>
    <n v="59.84"/>
    <x v="0"/>
    <s v="Dine-In"/>
    <s v="Kabir"/>
    <n v="4"/>
    <s v="Completed"/>
  </r>
  <r>
    <x v="546"/>
    <d v="2025-04-30T00:00:00"/>
    <s v="17:45"/>
    <s v="Wednesday"/>
    <x v="11"/>
    <s v="Q2"/>
    <s v="Summer"/>
    <s v="S07"/>
    <x v="3"/>
    <x v="3"/>
    <s v="South"/>
    <s v="C2552"/>
    <x v="1"/>
    <s v="Platinum"/>
    <s v="P003"/>
    <x v="3"/>
    <x v="1"/>
    <s v="Medium"/>
    <n v="1"/>
    <n v="78.84"/>
    <n v="12"/>
    <n v="22"/>
    <n v="112.84"/>
    <n v="262.8"/>
    <n v="10"/>
    <n v="236.52"/>
    <n v="123.68"/>
    <n v="52.29"/>
    <x v="0"/>
    <s v="Takeaway"/>
    <s v="Diya"/>
    <n v="5"/>
    <s v="Completed"/>
  </r>
  <r>
    <x v="547"/>
    <d v="2025-10-30T00:00:00"/>
    <s v="17:45"/>
    <s v="Thursday"/>
    <x v="0"/>
    <s v="Q4"/>
    <s v="Autumn"/>
    <s v="S12"/>
    <x v="2"/>
    <x v="2"/>
    <s v="East"/>
    <s v="C2553"/>
    <x v="1"/>
    <s v="Platinum"/>
    <s v="P001"/>
    <x v="1"/>
    <x v="1"/>
    <s v="Medium"/>
    <n v="2"/>
    <n v="53.64"/>
    <n v="12"/>
    <n v="22"/>
    <n v="87.64"/>
    <n v="178.8"/>
    <n v="0"/>
    <n v="357.6"/>
    <n v="182.32"/>
    <n v="50.98"/>
    <x v="3"/>
    <s v="Takeaway"/>
    <s v="Meera"/>
    <n v="5"/>
    <s v="Completed"/>
  </r>
  <r>
    <x v="548"/>
    <d v="2025-01-04T00:00:00"/>
    <s v="18:00"/>
    <s v="Saturday"/>
    <x v="9"/>
    <s v="Q1"/>
    <s v="Winter"/>
    <s v="S07"/>
    <x v="3"/>
    <x v="3"/>
    <s v="South"/>
    <s v="C2554"/>
    <x v="0"/>
    <s v="Silver"/>
    <s v="P001"/>
    <x v="1"/>
    <x v="1"/>
    <s v="Small"/>
    <n v="2"/>
    <n v="44.7"/>
    <n v="12"/>
    <n v="22"/>
    <n v="78.7"/>
    <n v="149"/>
    <n v="15"/>
    <n v="253.3"/>
    <n v="95.9"/>
    <n v="37.86"/>
    <x v="1"/>
    <s v="Dine-In"/>
    <s v="Rohan"/>
    <n v="5"/>
    <s v="Completed"/>
  </r>
  <r>
    <x v="549"/>
    <d v="2025-08-04T00:00:00"/>
    <s v="17:45"/>
    <s v="Monday"/>
    <x v="4"/>
    <s v="Q3"/>
    <s v="Monsoon"/>
    <s v="S01"/>
    <x v="0"/>
    <x v="0"/>
    <s v="North"/>
    <s v="C2555"/>
    <x v="2"/>
    <s v="Silver"/>
    <s v="P003"/>
    <x v="3"/>
    <x v="1"/>
    <s v="Medium"/>
    <n v="1"/>
    <n v="78.84"/>
    <n v="12"/>
    <n v="22"/>
    <n v="112.84"/>
    <n v="262.8"/>
    <n v="0"/>
    <n v="262.8"/>
    <n v="149.96"/>
    <n v="57.06"/>
    <x v="0"/>
    <s v="Dine-In"/>
    <s v="Diya"/>
    <n v="5"/>
    <s v="Completed"/>
  </r>
  <r>
    <x v="550"/>
    <d v="2025-03-01T00:00:00"/>
    <s v="08:45"/>
    <s v="Saturday"/>
    <x v="5"/>
    <s v="Q1"/>
    <s v="Autumn"/>
    <s v="S04"/>
    <x v="5"/>
    <x v="5"/>
    <s v="West"/>
    <s v="C2556"/>
    <x v="0"/>
    <s v="Platinum"/>
    <s v="P001"/>
    <x v="1"/>
    <x v="1"/>
    <s v="Medium"/>
    <n v="1"/>
    <n v="53.64"/>
    <n v="12"/>
    <n v="22"/>
    <n v="87.64"/>
    <n v="178.8"/>
    <n v="10"/>
    <n v="160.91999999999999"/>
    <n v="73.28"/>
    <n v="45.54"/>
    <x v="1"/>
    <s v="Takeaway"/>
    <s v="Kabir"/>
    <n v="4"/>
    <s v="Completed"/>
  </r>
  <r>
    <x v="551"/>
    <d v="2025-07-19T00:00:00"/>
    <s v="09:45"/>
    <s v="Saturday"/>
    <x v="6"/>
    <s v="Q3"/>
    <s v="Monsoon"/>
    <s v="S07"/>
    <x v="3"/>
    <x v="3"/>
    <s v="South"/>
    <s v="C2557"/>
    <x v="2"/>
    <s v="Silver"/>
    <s v="P014"/>
    <x v="4"/>
    <x v="2"/>
    <s v="Large"/>
    <n v="3"/>
    <n v="62.58"/>
    <n v="12"/>
    <n v="22"/>
    <n v="96.58"/>
    <n v="208.6"/>
    <n v="10"/>
    <n v="563.22"/>
    <n v="273.48"/>
    <n v="48.56"/>
    <x v="3"/>
    <s v="Takeaway"/>
    <s v="Diya"/>
    <n v="5"/>
    <s v="Completed"/>
  </r>
  <r>
    <x v="552"/>
    <d v="2025-05-15T00:00:00"/>
    <s v="13:15"/>
    <s v="Thursday"/>
    <x v="7"/>
    <s v="Q2"/>
    <s v="Summer"/>
    <s v="S04"/>
    <x v="5"/>
    <x v="5"/>
    <s v="West"/>
    <s v="C2558"/>
    <x v="1"/>
    <s v="Platinum"/>
    <s v="P036"/>
    <x v="11"/>
    <x v="0"/>
    <s v="Large"/>
    <n v="2"/>
    <n v="66.78"/>
    <n v="12"/>
    <n v="22"/>
    <n v="100.78"/>
    <n v="222.6"/>
    <n v="10"/>
    <n v="400.68"/>
    <n v="199.12"/>
    <n v="49.7"/>
    <x v="0"/>
    <s v="Delivery"/>
    <s v="Meera"/>
    <n v="5"/>
    <s v="Completed"/>
  </r>
  <r>
    <x v="553"/>
    <d v="2025-10-02T00:00:00"/>
    <s v="13:45"/>
    <s v="Thursday"/>
    <x v="0"/>
    <s v="Q4"/>
    <s v="Autumn"/>
    <s v="S14"/>
    <x v="4"/>
    <x v="4"/>
    <s v="North"/>
    <s v="C2560"/>
    <x v="0"/>
    <s v="Gold"/>
    <s v="P034"/>
    <x v="0"/>
    <x v="0"/>
    <s v="Large"/>
    <n v="3"/>
    <n v="108.78"/>
    <n v="12"/>
    <n v="22"/>
    <n v="142.78"/>
    <n v="362.6"/>
    <n v="5"/>
    <n v="1033.4100000000001"/>
    <n v="605.07000000000005"/>
    <n v="58.55"/>
    <x v="1"/>
    <s v="Dine-In"/>
    <s v="Diya"/>
    <n v="5"/>
    <s v="Completed"/>
  </r>
  <r>
    <x v="554"/>
    <d v="2025-04-15T00:00:00"/>
    <s v="08:30"/>
    <s v="Tuesday"/>
    <x v="11"/>
    <s v="Q2"/>
    <s v="Summer"/>
    <s v="S07"/>
    <x v="3"/>
    <x v="3"/>
    <s v="South"/>
    <s v="C2561"/>
    <x v="2"/>
    <s v="Platinum"/>
    <s v="P036"/>
    <x v="11"/>
    <x v="0"/>
    <s v="Large"/>
    <n v="2"/>
    <n v="66.78"/>
    <n v="12"/>
    <n v="22"/>
    <n v="100.78"/>
    <n v="222.6"/>
    <n v="10"/>
    <n v="400.68"/>
    <n v="199.12"/>
    <n v="49.7"/>
    <x v="1"/>
    <s v="Delivery"/>
    <s v="Diya"/>
    <n v="5"/>
    <s v="Completed"/>
  </r>
  <r>
    <x v="555"/>
    <d v="2025-12-20T00:00:00"/>
    <s v="09:30"/>
    <s v="Saturday"/>
    <x v="8"/>
    <s v="Q4"/>
    <s v="Winter"/>
    <s v="S07"/>
    <x v="3"/>
    <x v="3"/>
    <s v="South"/>
    <s v="C2562"/>
    <x v="1"/>
    <s v="Silver"/>
    <s v="P004"/>
    <x v="10"/>
    <x v="1"/>
    <s v="Large"/>
    <n v="1"/>
    <n v="70.98"/>
    <n v="12"/>
    <n v="22"/>
    <n v="104.98"/>
    <n v="236.6"/>
    <n v="15"/>
    <n v="201.11"/>
    <n v="96.13"/>
    <n v="47.8"/>
    <x v="1"/>
    <s v="Takeaway"/>
    <s v="Aarav"/>
    <n v="5"/>
    <s v="Completed"/>
  </r>
  <r>
    <x v="556"/>
    <d v="2025-06-16T00:00:00"/>
    <s v="18:45"/>
    <s v="Monday"/>
    <x v="10"/>
    <s v="Q2"/>
    <s v="Summer"/>
    <s v="S12"/>
    <x v="2"/>
    <x v="2"/>
    <s v="East"/>
    <s v="C2563"/>
    <x v="2"/>
    <s v="Gold"/>
    <s v="P002"/>
    <x v="2"/>
    <x v="1"/>
    <s v="Large"/>
    <n v="1"/>
    <n v="100.38"/>
    <n v="12"/>
    <n v="22"/>
    <n v="134.38"/>
    <n v="334.6"/>
    <n v="10"/>
    <n v="301.14"/>
    <n v="166.76"/>
    <n v="55.38"/>
    <x v="0"/>
    <s v="Dine-In"/>
    <s v="Kabir"/>
    <n v="4"/>
    <s v="Completed"/>
  </r>
  <r>
    <x v="557"/>
    <d v="2025-02-24T00:00:00"/>
    <s v="18:15"/>
    <s v="Monday"/>
    <x v="3"/>
    <s v="Q1"/>
    <s v="Winter"/>
    <s v="S01"/>
    <x v="0"/>
    <x v="0"/>
    <s v="North"/>
    <s v="C2564"/>
    <x v="1"/>
    <s v="Platinum"/>
    <s v="P001"/>
    <x v="1"/>
    <x v="1"/>
    <s v="Small"/>
    <n v="1"/>
    <n v="44.7"/>
    <n v="12"/>
    <n v="22"/>
    <n v="78.7"/>
    <n v="149"/>
    <n v="5"/>
    <n v="141.55000000000001"/>
    <n v="62.85"/>
    <n v="44.4"/>
    <x v="1"/>
    <s v="Dine-In"/>
    <s v="Aarav"/>
    <n v="5"/>
    <s v="Completed"/>
  </r>
  <r>
    <x v="558"/>
    <d v="2025-03-08T00:00:00"/>
    <s v="14:30"/>
    <s v="Saturday"/>
    <x v="5"/>
    <s v="Q1"/>
    <s v="Autumn"/>
    <s v="S04"/>
    <x v="5"/>
    <x v="5"/>
    <s v="West"/>
    <s v="C2565"/>
    <x v="1"/>
    <s v="Silver"/>
    <s v="P033"/>
    <x v="8"/>
    <x v="0"/>
    <s v="Large"/>
    <n v="3"/>
    <n v="104.58"/>
    <n v="12"/>
    <n v="22"/>
    <n v="138.58000000000001"/>
    <n v="348.6"/>
    <n v="15"/>
    <n v="888.93"/>
    <n v="473.19"/>
    <n v="53.23"/>
    <x v="0"/>
    <s v="Delivery"/>
    <s v="Diya"/>
    <n v="4"/>
    <s v="Completed"/>
  </r>
  <r>
    <x v="559"/>
    <d v="2025-10-20T00:00:00"/>
    <s v="18:15"/>
    <s v="Monday"/>
    <x v="0"/>
    <s v="Q4"/>
    <s v="Autumn"/>
    <s v="S07"/>
    <x v="3"/>
    <x v="3"/>
    <s v="South"/>
    <s v="C2566"/>
    <x v="1"/>
    <s v="Silver"/>
    <s v="P019"/>
    <x v="7"/>
    <x v="4"/>
    <s v="Medium"/>
    <n v="3"/>
    <n v="71.64"/>
    <n v="12"/>
    <n v="22"/>
    <n v="105.64"/>
    <n v="238.8"/>
    <n v="5"/>
    <n v="680.58"/>
    <n v="363.66"/>
    <n v="53.43"/>
    <x v="0"/>
    <s v="Takeaway"/>
    <s v="Diya"/>
    <n v="4"/>
    <s v="Completed"/>
  </r>
  <r>
    <x v="560"/>
    <d v="2025-05-29T00:00:00"/>
    <s v="14:15"/>
    <s v="Thursday"/>
    <x v="7"/>
    <s v="Q2"/>
    <s v="Summer"/>
    <s v="S01"/>
    <x v="0"/>
    <x v="0"/>
    <s v="North"/>
    <s v="C2567"/>
    <x v="2"/>
    <s v="Gold"/>
    <s v="P036"/>
    <x v="11"/>
    <x v="0"/>
    <s v="Medium"/>
    <n v="1"/>
    <n v="57.24"/>
    <n v="12"/>
    <n v="22"/>
    <n v="91.240000000000009"/>
    <n v="190.8"/>
    <n v="5"/>
    <n v="181.26"/>
    <n v="90.02"/>
    <n v="49.66"/>
    <x v="1"/>
    <s v="Takeaway"/>
    <s v="Meera"/>
    <n v="5"/>
    <s v="Completed"/>
  </r>
  <r>
    <x v="561"/>
    <d v="2025-05-11T00:00:00"/>
    <s v="14:15"/>
    <s v="Sunday"/>
    <x v="7"/>
    <s v="Q2"/>
    <s v="Summer"/>
    <s v="S10"/>
    <x v="1"/>
    <x v="1"/>
    <s v="South"/>
    <s v="C2568"/>
    <x v="2"/>
    <s v="Silver"/>
    <s v="P034"/>
    <x v="0"/>
    <x v="0"/>
    <s v="Large"/>
    <n v="4"/>
    <n v="108.78"/>
    <n v="12"/>
    <n v="22"/>
    <n v="142.78"/>
    <n v="362.6"/>
    <n v="15"/>
    <n v="1232.8399999999999"/>
    <n v="661.72"/>
    <n v="53.67"/>
    <x v="1"/>
    <s v="Delivery"/>
    <s v="Meera"/>
    <n v="4"/>
    <s v="Completed"/>
  </r>
  <r>
    <x v="562"/>
    <d v="2025-06-25T00:00:00"/>
    <s v="08:00"/>
    <s v="Wednesday"/>
    <x v="10"/>
    <s v="Q2"/>
    <s v="Summer"/>
    <s v="S07"/>
    <x v="3"/>
    <x v="3"/>
    <s v="South"/>
    <s v="C2569"/>
    <x v="2"/>
    <s v="Silver"/>
    <s v="P004"/>
    <x v="10"/>
    <x v="1"/>
    <s v="Large"/>
    <n v="2"/>
    <n v="70.98"/>
    <n v="12"/>
    <n v="22"/>
    <n v="104.98"/>
    <n v="236.6"/>
    <n v="0"/>
    <n v="473.2"/>
    <n v="263.24"/>
    <n v="55.63"/>
    <x v="3"/>
    <s v="Takeaway"/>
    <s v="Diya"/>
    <n v="4"/>
    <s v="Completed"/>
  </r>
  <r>
    <x v="563"/>
    <d v="2025-02-02T00:00:00"/>
    <s v="08:30"/>
    <s v="Sunday"/>
    <x v="3"/>
    <s v="Q1"/>
    <s v="Winter"/>
    <s v="S10"/>
    <x v="1"/>
    <x v="1"/>
    <s v="South"/>
    <s v="C2570"/>
    <x v="1"/>
    <s v="Gold"/>
    <s v="P041"/>
    <x v="12"/>
    <x v="5"/>
    <s v="Small"/>
    <n v="3"/>
    <n v="89.7"/>
    <n v="12"/>
    <n v="22"/>
    <n v="123.7"/>
    <n v="299"/>
    <n v="15"/>
    <n v="762.45"/>
    <n v="391.35"/>
    <n v="51.33"/>
    <x v="0"/>
    <s v="Takeaway"/>
    <s v="Aarav"/>
    <n v="5"/>
    <s v="Completed"/>
  </r>
  <r>
    <x v="564"/>
    <d v="2025-02-01T00:00:00"/>
    <s v="18:45"/>
    <s v="Saturday"/>
    <x v="3"/>
    <s v="Q1"/>
    <s v="Winter"/>
    <s v="S04"/>
    <x v="5"/>
    <x v="5"/>
    <s v="West"/>
    <s v="C2571"/>
    <x v="0"/>
    <s v="Platinum"/>
    <s v="P041"/>
    <x v="12"/>
    <x v="5"/>
    <s v="Large"/>
    <n v="3"/>
    <n v="125.58"/>
    <n v="12"/>
    <n v="22"/>
    <n v="159.58000000000001"/>
    <n v="418.6"/>
    <n v="10"/>
    <n v="1130.22"/>
    <n v="651.48"/>
    <n v="57.64"/>
    <x v="2"/>
    <s v="Delivery"/>
    <s v="Aarav"/>
    <n v="5"/>
    <s v="Completed"/>
  </r>
  <r>
    <x v="565"/>
    <d v="2025-02-06T00:00:00"/>
    <s v="09:00"/>
    <s v="Thursday"/>
    <x v="3"/>
    <s v="Q1"/>
    <s v="Winter"/>
    <s v="S12"/>
    <x v="2"/>
    <x v="2"/>
    <s v="East"/>
    <s v="C2572"/>
    <x v="0"/>
    <s v="Platinum"/>
    <s v="P002"/>
    <x v="2"/>
    <x v="1"/>
    <s v="Large"/>
    <n v="2"/>
    <n v="100.38"/>
    <n v="12"/>
    <n v="22"/>
    <n v="134.38"/>
    <n v="334.6"/>
    <n v="0"/>
    <n v="669.2"/>
    <n v="400.44"/>
    <n v="59.84"/>
    <x v="2"/>
    <s v="Takeaway"/>
    <s v="Rohan"/>
    <n v="5"/>
    <s v="Completed"/>
  </r>
  <r>
    <x v="566"/>
    <d v="2025-09-29T00:00:00"/>
    <s v="14:45"/>
    <s v="Monday"/>
    <x v="2"/>
    <s v="Q3"/>
    <s v="Monsoon"/>
    <s v="S04"/>
    <x v="5"/>
    <x v="5"/>
    <s v="West"/>
    <s v="C2573"/>
    <x v="0"/>
    <s v="Platinum"/>
    <s v="P027"/>
    <x v="13"/>
    <x v="3"/>
    <s v="Large"/>
    <n v="2"/>
    <n v="96.18"/>
    <n v="12"/>
    <n v="22"/>
    <n v="130.18"/>
    <n v="320.60000000000002"/>
    <n v="0"/>
    <n v="641.20000000000005"/>
    <n v="380.84"/>
    <n v="59.39"/>
    <x v="2"/>
    <s v="Delivery"/>
    <s v="Kabir"/>
    <n v="5"/>
    <s v="Completed"/>
  </r>
  <r>
    <x v="567"/>
    <d v="2025-07-24T00:00:00"/>
    <s v="18:30"/>
    <s v="Thursday"/>
    <x v="6"/>
    <s v="Q3"/>
    <s v="Monsoon"/>
    <s v="S07"/>
    <x v="3"/>
    <x v="3"/>
    <s v="South"/>
    <s v="C2574"/>
    <x v="2"/>
    <s v="Platinum"/>
    <s v="P003"/>
    <x v="3"/>
    <x v="1"/>
    <s v="Large"/>
    <n v="1"/>
    <n v="91.98"/>
    <n v="12"/>
    <n v="22"/>
    <n v="125.98"/>
    <n v="306.60000000000002"/>
    <n v="0"/>
    <n v="306.60000000000002"/>
    <n v="180.62"/>
    <n v="58.91"/>
    <x v="2"/>
    <s v="Delivery"/>
    <s v="Aarav"/>
    <n v="4"/>
    <s v="Completed"/>
  </r>
  <r>
    <x v="568"/>
    <d v="2025-04-24T00:00:00"/>
    <s v="08:00"/>
    <s v="Thursday"/>
    <x v="11"/>
    <s v="Q2"/>
    <s v="Summer"/>
    <s v="S07"/>
    <x v="3"/>
    <x v="3"/>
    <s v="South"/>
    <s v="C2575"/>
    <x v="0"/>
    <s v="Platinum"/>
    <s v="P036"/>
    <x v="11"/>
    <x v="0"/>
    <s v="Small"/>
    <n v="3"/>
    <n v="47.7"/>
    <n v="12"/>
    <n v="22"/>
    <n v="81.7"/>
    <n v="159"/>
    <n v="0"/>
    <n v="477"/>
    <n v="231.9"/>
    <n v="48.62"/>
    <x v="1"/>
    <s v="Takeaway"/>
    <s v="Rohan"/>
    <n v="5"/>
    <s v="Completed"/>
  </r>
  <r>
    <x v="569"/>
    <d v="2025-04-15T00:00:00"/>
    <s v="08:00"/>
    <s v="Tuesday"/>
    <x v="11"/>
    <s v="Q2"/>
    <s v="Summer"/>
    <s v="S07"/>
    <x v="3"/>
    <x v="3"/>
    <s v="South"/>
    <s v="C2576"/>
    <x v="1"/>
    <s v="Silver"/>
    <s v="P001"/>
    <x v="1"/>
    <x v="1"/>
    <s v="Medium"/>
    <n v="2"/>
    <n v="53.64"/>
    <n v="12"/>
    <n v="22"/>
    <n v="87.64"/>
    <n v="178.8"/>
    <n v="0"/>
    <n v="357.6"/>
    <n v="182.32"/>
    <n v="50.98"/>
    <x v="2"/>
    <s v="Takeaway"/>
    <s v="Aarav"/>
    <n v="5"/>
    <s v="Completed"/>
  </r>
  <r>
    <x v="570"/>
    <d v="2025-04-11T00:00:00"/>
    <s v="18:00"/>
    <s v="Friday"/>
    <x v="11"/>
    <s v="Q2"/>
    <s v="Summer"/>
    <s v="S10"/>
    <x v="1"/>
    <x v="1"/>
    <s v="South"/>
    <s v="C2577"/>
    <x v="1"/>
    <s v="Gold"/>
    <s v="P019"/>
    <x v="7"/>
    <x v="4"/>
    <s v="Medium"/>
    <n v="3"/>
    <n v="71.64"/>
    <n v="12"/>
    <n v="22"/>
    <n v="105.64"/>
    <n v="238.8"/>
    <n v="5"/>
    <n v="680.58"/>
    <n v="363.66"/>
    <n v="53.43"/>
    <x v="0"/>
    <s v="Takeaway"/>
    <s v="Meera"/>
    <n v="5"/>
    <s v="Completed"/>
  </r>
  <r>
    <x v="571"/>
    <d v="2025-06-06T00:00:00"/>
    <s v="18:15"/>
    <s v="Friday"/>
    <x v="10"/>
    <s v="Q2"/>
    <s v="Summer"/>
    <s v="S12"/>
    <x v="2"/>
    <x v="2"/>
    <s v="East"/>
    <s v="C2578"/>
    <x v="2"/>
    <s v="Gold"/>
    <s v="P033"/>
    <x v="8"/>
    <x v="0"/>
    <s v="Large"/>
    <n v="2"/>
    <n v="104.58"/>
    <n v="12"/>
    <n v="22"/>
    <n v="138.58000000000001"/>
    <n v="348.6"/>
    <n v="10"/>
    <n v="627.48"/>
    <n v="350.32"/>
    <n v="55.83"/>
    <x v="1"/>
    <s v="Takeaway"/>
    <s v="Kabir"/>
    <s v="Not Rated"/>
    <s v="Completed"/>
  </r>
  <r>
    <x v="572"/>
    <d v="2025-04-21T00:00:00"/>
    <s v="09:00"/>
    <s v="Monday"/>
    <x v="11"/>
    <s v="Q2"/>
    <s v="Summer"/>
    <s v="S14"/>
    <x v="4"/>
    <x v="4"/>
    <s v="North"/>
    <s v="C2579"/>
    <x v="1"/>
    <s v="Gold"/>
    <s v="P001"/>
    <x v="1"/>
    <x v="1"/>
    <s v="Small"/>
    <n v="3"/>
    <n v="44.7"/>
    <n v="12"/>
    <n v="22"/>
    <n v="78.7"/>
    <n v="149"/>
    <n v="10"/>
    <n v="402.3"/>
    <n v="166.2"/>
    <n v="41.31"/>
    <x v="0"/>
    <s v="Takeaway"/>
    <s v="Meera"/>
    <n v="5"/>
    <s v="Completed"/>
  </r>
  <r>
    <x v="573"/>
    <d v="2025-03-17T00:00:00"/>
    <s v="18:45"/>
    <s v="Monday"/>
    <x v="5"/>
    <s v="Q1"/>
    <s v="Autumn"/>
    <s v="S07"/>
    <x v="3"/>
    <x v="3"/>
    <s v="South"/>
    <s v="C2580"/>
    <x v="1"/>
    <s v="Gold"/>
    <s v="P002"/>
    <x v="2"/>
    <x v="1"/>
    <s v="Medium"/>
    <n v="2"/>
    <n v="86.04"/>
    <n v="12"/>
    <n v="22"/>
    <n v="120.04"/>
    <n v="286.8"/>
    <n v="5"/>
    <n v="544.91999999999996"/>
    <n v="304.83999999999997"/>
    <n v="55.94"/>
    <x v="3"/>
    <s v="Dine-In"/>
    <s v="Kabir"/>
    <n v="5"/>
    <s v="Completed"/>
  </r>
  <r>
    <x v="574"/>
    <d v="2025-01-10T00:00:00"/>
    <s v="17:15"/>
    <s v="Friday"/>
    <x v="9"/>
    <s v="Q1"/>
    <s v="Winter"/>
    <s v="S14"/>
    <x v="4"/>
    <x v="4"/>
    <s v="North"/>
    <s v="C2581"/>
    <x v="2"/>
    <s v="Silver"/>
    <s v="P002"/>
    <x v="2"/>
    <x v="1"/>
    <s v="Medium"/>
    <n v="3"/>
    <n v="86.04"/>
    <n v="12"/>
    <n v="22"/>
    <n v="120.04"/>
    <n v="286.8"/>
    <n v="0"/>
    <n v="860.4"/>
    <n v="500.28"/>
    <n v="58.15"/>
    <x v="2"/>
    <s v="Takeaway"/>
    <s v="Kabir"/>
    <n v="5"/>
    <s v="Completed"/>
  </r>
  <r>
    <x v="575"/>
    <d v="2025-03-13T00:00:00"/>
    <s v="17:45"/>
    <s v="Thursday"/>
    <x v="5"/>
    <s v="Q1"/>
    <s v="Autumn"/>
    <s v="S07"/>
    <x v="3"/>
    <x v="3"/>
    <s v="South"/>
    <s v="C2582"/>
    <x v="2"/>
    <s v="Gold"/>
    <s v="P002"/>
    <x v="2"/>
    <x v="1"/>
    <s v="Small"/>
    <n v="3"/>
    <n v="71.7"/>
    <n v="12"/>
    <n v="22"/>
    <n v="105.7"/>
    <n v="239"/>
    <n v="0"/>
    <n v="717"/>
    <n v="399.9"/>
    <n v="55.77"/>
    <x v="3"/>
    <s v="Dine-In"/>
    <s v="Aarav"/>
    <n v="4"/>
    <s v="Completed"/>
  </r>
  <r>
    <x v="576"/>
    <d v="2025-08-01T00:00:00"/>
    <s v="14:00"/>
    <s v="Friday"/>
    <x v="4"/>
    <s v="Q3"/>
    <s v="Monsoon"/>
    <s v="S07"/>
    <x v="3"/>
    <x v="3"/>
    <s v="South"/>
    <s v="C2583"/>
    <x v="1"/>
    <s v="Silver"/>
    <s v="P014"/>
    <x v="4"/>
    <x v="2"/>
    <s v="Large"/>
    <n v="3"/>
    <n v="62.58"/>
    <n v="12"/>
    <n v="22"/>
    <n v="96.58"/>
    <n v="208.6"/>
    <n v="5"/>
    <n v="594.51"/>
    <n v="304.77"/>
    <n v="51.26"/>
    <x v="1"/>
    <s v="Takeaway"/>
    <s v="Meera"/>
    <n v="5"/>
    <s v="Completed"/>
  </r>
  <r>
    <x v="577"/>
    <d v="2025-05-24T00:00:00"/>
    <s v="14:30"/>
    <s v="Saturday"/>
    <x v="7"/>
    <s v="Q2"/>
    <s v="Summer"/>
    <s v="S07"/>
    <x v="3"/>
    <x v="3"/>
    <s v="South"/>
    <s v="C2584"/>
    <x v="2"/>
    <s v="Gold"/>
    <s v="P033"/>
    <x v="8"/>
    <x v="0"/>
    <s v="Large"/>
    <n v="2"/>
    <n v="104.58"/>
    <n v="12"/>
    <n v="22"/>
    <n v="138.58000000000001"/>
    <n v="348.6"/>
    <n v="10"/>
    <n v="627.48"/>
    <n v="350.32"/>
    <n v="55.83"/>
    <x v="2"/>
    <s v="Delivery"/>
    <s v="Aarav"/>
    <n v="4"/>
    <s v="Completed"/>
  </r>
  <r>
    <x v="578"/>
    <d v="2025-02-13T00:00:00"/>
    <s v="14:30"/>
    <s v="Thursday"/>
    <x v="3"/>
    <s v="Q1"/>
    <s v="Winter"/>
    <s v="S04"/>
    <x v="5"/>
    <x v="5"/>
    <s v="West"/>
    <s v="C2585"/>
    <x v="0"/>
    <s v="Gold"/>
    <s v="P003"/>
    <x v="3"/>
    <x v="1"/>
    <s v="Medium"/>
    <n v="2"/>
    <n v="78.84"/>
    <n v="12"/>
    <n v="22"/>
    <n v="112.84"/>
    <n v="262.8"/>
    <n v="10"/>
    <n v="473.04"/>
    <n v="247.36"/>
    <n v="52.29"/>
    <x v="1"/>
    <s v="Takeaway"/>
    <s v="Aarav"/>
    <n v="3"/>
    <s v="Completed"/>
  </r>
  <r>
    <x v="579"/>
    <d v="2025-04-22T00:00:00"/>
    <s v="18:45"/>
    <s v="Tuesday"/>
    <x v="11"/>
    <s v="Q2"/>
    <s v="Summer"/>
    <s v="S07"/>
    <x v="3"/>
    <x v="3"/>
    <s v="South"/>
    <s v="C2586"/>
    <x v="0"/>
    <s v="Gold"/>
    <s v="P004"/>
    <x v="10"/>
    <x v="1"/>
    <s v="Small"/>
    <n v="1"/>
    <n v="50.7"/>
    <n v="12"/>
    <n v="22"/>
    <n v="84.7"/>
    <n v="169"/>
    <n v="5"/>
    <n v="160.55000000000001"/>
    <n v="75.849999999999994"/>
    <n v="47.24"/>
    <x v="3"/>
    <s v="Takeaway"/>
    <s v="Rohan"/>
    <n v="5"/>
    <s v="Completed"/>
  </r>
  <r>
    <x v="580"/>
    <d v="2025-03-07T00:00:00"/>
    <s v="17:15"/>
    <s v="Friday"/>
    <x v="5"/>
    <s v="Q1"/>
    <s v="Autumn"/>
    <s v="S14"/>
    <x v="4"/>
    <x v="4"/>
    <s v="North"/>
    <s v="C2587"/>
    <x v="2"/>
    <s v="Platinum"/>
    <s v="P020"/>
    <x v="9"/>
    <x v="4"/>
    <s v="Medium"/>
    <n v="3"/>
    <n v="57.24"/>
    <n v="12"/>
    <n v="22"/>
    <n v="91.240000000000009"/>
    <n v="190.8"/>
    <n v="5"/>
    <n v="543.78"/>
    <n v="270.06"/>
    <n v="49.66"/>
    <x v="1"/>
    <s v="Dine-In"/>
    <s v="Diya"/>
    <s v="Not Rated"/>
    <s v="Completed"/>
  </r>
  <r>
    <x v="581"/>
    <d v="2025-08-17T00:00:00"/>
    <s v="18:00"/>
    <s v="Sunday"/>
    <x v="4"/>
    <s v="Q3"/>
    <s v="Monsoon"/>
    <s v="S01"/>
    <x v="0"/>
    <x v="0"/>
    <s v="North"/>
    <s v="C2588"/>
    <x v="0"/>
    <s v="Silver"/>
    <s v="P004"/>
    <x v="10"/>
    <x v="1"/>
    <s v="Large"/>
    <n v="3"/>
    <n v="70.98"/>
    <n v="12"/>
    <n v="22"/>
    <n v="104.98"/>
    <n v="236.6"/>
    <n v="10"/>
    <n v="638.82000000000005"/>
    <n v="323.88"/>
    <n v="50.7"/>
    <x v="1"/>
    <s v="Dine-In"/>
    <s v="Aarav"/>
    <n v="5"/>
    <s v="Completed"/>
  </r>
  <r>
    <x v="582"/>
    <d v="2025-03-22T00:00:00"/>
    <s v="17:45"/>
    <s v="Saturday"/>
    <x v="5"/>
    <s v="Q1"/>
    <s v="Autumn"/>
    <s v="S07"/>
    <x v="3"/>
    <x v="3"/>
    <s v="South"/>
    <s v="C2589"/>
    <x v="2"/>
    <s v="Platinum"/>
    <s v="P001"/>
    <x v="1"/>
    <x v="1"/>
    <s v="Small"/>
    <n v="4"/>
    <n v="44.7"/>
    <n v="12"/>
    <n v="22"/>
    <n v="78.7"/>
    <n v="149"/>
    <n v="10"/>
    <n v="536.4"/>
    <n v="221.6"/>
    <n v="41.31"/>
    <x v="0"/>
    <s v="Delivery"/>
    <s v="Meera"/>
    <n v="3"/>
    <s v="Completed"/>
  </r>
  <r>
    <x v="583"/>
    <d v="2025-02-06T00:00:00"/>
    <s v="18:30"/>
    <s v="Thursday"/>
    <x v="3"/>
    <s v="Q1"/>
    <s v="Winter"/>
    <s v="S12"/>
    <x v="2"/>
    <x v="2"/>
    <s v="East"/>
    <s v="C2590"/>
    <x v="1"/>
    <s v="Platinum"/>
    <s v="P002"/>
    <x v="2"/>
    <x v="1"/>
    <s v="Small"/>
    <n v="2"/>
    <n v="71.7"/>
    <n v="12"/>
    <n v="22"/>
    <n v="105.7"/>
    <n v="239"/>
    <n v="5"/>
    <n v="454.1"/>
    <n v="242.7"/>
    <n v="53.45"/>
    <x v="0"/>
    <s v="Dine-In"/>
    <s v="Meera"/>
    <n v="5"/>
    <s v="Completed"/>
  </r>
  <r>
    <x v="584"/>
    <d v="2025-02-10T00:00:00"/>
    <s v="18:30"/>
    <s v="Monday"/>
    <x v="3"/>
    <s v="Q1"/>
    <s v="Winter"/>
    <s v="S01"/>
    <x v="0"/>
    <x v="0"/>
    <s v="North"/>
    <s v="C2591"/>
    <x v="0"/>
    <s v="Platinum"/>
    <s v="P003"/>
    <x v="3"/>
    <x v="1"/>
    <s v="Small"/>
    <n v="2"/>
    <n v="65.7"/>
    <n v="12"/>
    <n v="22"/>
    <n v="99.7"/>
    <n v="219"/>
    <n v="0"/>
    <n v="438"/>
    <n v="238.6"/>
    <n v="54.47"/>
    <x v="1"/>
    <s v="Dine-In"/>
    <s v="Rohan"/>
    <n v="5"/>
    <s v="Completed"/>
  </r>
  <r>
    <x v="585"/>
    <d v="2025-05-23T00:00:00"/>
    <s v="13:45"/>
    <s v="Friday"/>
    <x v="7"/>
    <s v="Q2"/>
    <s v="Summer"/>
    <s v="S07"/>
    <x v="3"/>
    <x v="3"/>
    <s v="South"/>
    <s v="C2592"/>
    <x v="0"/>
    <s v="Gold"/>
    <s v="P034"/>
    <x v="0"/>
    <x v="0"/>
    <s v="Medium"/>
    <n v="2"/>
    <n v="93.24"/>
    <n v="12"/>
    <n v="22"/>
    <n v="127.24"/>
    <n v="310.8"/>
    <n v="0"/>
    <n v="621.6"/>
    <n v="367.12"/>
    <n v="59.06"/>
    <x v="0"/>
    <s v="Dine-In"/>
    <s v="Aarav"/>
    <n v="5"/>
    <s v="Completed"/>
  </r>
  <r>
    <x v="586"/>
    <d v="2025-01-31T00:00:00"/>
    <s v="17:30"/>
    <s v="Friday"/>
    <x v="9"/>
    <s v="Q1"/>
    <s v="Winter"/>
    <s v="S01"/>
    <x v="0"/>
    <x v="0"/>
    <s v="North"/>
    <s v="C2593"/>
    <x v="1"/>
    <s v="Platinum"/>
    <s v="P001"/>
    <x v="1"/>
    <x v="1"/>
    <s v="Medium"/>
    <n v="1"/>
    <n v="53.64"/>
    <n v="12"/>
    <n v="22"/>
    <n v="87.64"/>
    <n v="178.8"/>
    <n v="10"/>
    <n v="160.91999999999999"/>
    <n v="73.28"/>
    <n v="45.54"/>
    <x v="1"/>
    <s v="Takeaway"/>
    <s v="Aarav"/>
    <n v="3"/>
    <s v="Completed"/>
  </r>
  <r>
    <x v="587"/>
    <d v="2025-12-05T00:00:00"/>
    <s v="14:15"/>
    <s v="Friday"/>
    <x v="8"/>
    <s v="Q4"/>
    <s v="Winter"/>
    <s v="S07"/>
    <x v="3"/>
    <x v="3"/>
    <s v="South"/>
    <s v="C2594"/>
    <x v="1"/>
    <s v="Platinum"/>
    <s v="P003"/>
    <x v="3"/>
    <x v="1"/>
    <s v="Small"/>
    <n v="3"/>
    <n v="65.7"/>
    <n v="12"/>
    <n v="22"/>
    <n v="99.7"/>
    <n v="219"/>
    <n v="0"/>
    <n v="657"/>
    <n v="357.9"/>
    <n v="54.47"/>
    <x v="2"/>
    <s v="Dine-In"/>
    <s v="Meera"/>
    <n v="4"/>
    <s v="Completed"/>
  </r>
  <r>
    <x v="588"/>
    <d v="2025-11-02T00:00:00"/>
    <s v="08:30"/>
    <s v="Sunday"/>
    <x v="1"/>
    <s v="Q4"/>
    <s v="Autumn"/>
    <s v="S14"/>
    <x v="4"/>
    <x v="4"/>
    <s v="North"/>
    <s v="C2595"/>
    <x v="0"/>
    <s v="Gold"/>
    <s v="P013"/>
    <x v="5"/>
    <x v="2"/>
    <s v="Small"/>
    <n v="2"/>
    <n v="38.700000000000003"/>
    <n v="12"/>
    <n v="22"/>
    <n v="72.7"/>
    <n v="129"/>
    <n v="10"/>
    <n v="232.2"/>
    <n v="86.8"/>
    <n v="37.380000000000003"/>
    <x v="0"/>
    <s v="Takeaway"/>
    <s v="Aarav"/>
    <n v="5"/>
    <s v="Completed"/>
  </r>
  <r>
    <x v="589"/>
    <d v="2025-01-25T00:00:00"/>
    <s v="17:15"/>
    <s v="Saturday"/>
    <x v="9"/>
    <s v="Q1"/>
    <s v="Winter"/>
    <s v="S14"/>
    <x v="4"/>
    <x v="4"/>
    <s v="North"/>
    <s v="C2596"/>
    <x v="0"/>
    <s v="Gold"/>
    <s v="P001"/>
    <x v="1"/>
    <x v="1"/>
    <s v="Medium"/>
    <n v="3"/>
    <n v="53.64"/>
    <n v="12"/>
    <n v="22"/>
    <n v="87.64"/>
    <n v="178.8"/>
    <n v="15"/>
    <n v="455.94"/>
    <n v="193.02"/>
    <n v="42.33"/>
    <x v="0"/>
    <s v="Dine-In"/>
    <s v="Meera"/>
    <n v="5"/>
    <s v="Completed"/>
  </r>
  <r>
    <x v="590"/>
    <d v="2025-02-14T00:00:00"/>
    <s v="08:45"/>
    <s v="Friday"/>
    <x v="3"/>
    <s v="Q1"/>
    <s v="Winter"/>
    <s v="S14"/>
    <x v="4"/>
    <x v="4"/>
    <s v="North"/>
    <s v="C2597"/>
    <x v="2"/>
    <s v="Platinum"/>
    <s v="P003"/>
    <x v="3"/>
    <x v="1"/>
    <s v="Small"/>
    <n v="2"/>
    <n v="65.7"/>
    <n v="12"/>
    <n v="22"/>
    <n v="99.7"/>
    <n v="219"/>
    <n v="0"/>
    <n v="438"/>
    <n v="238.6"/>
    <n v="54.47"/>
    <x v="3"/>
    <s v="Dine-In"/>
    <s v="Meera"/>
    <n v="5"/>
    <s v="Completed"/>
  </r>
  <r>
    <x v="591"/>
    <d v="2025-02-16T00:00:00"/>
    <s v="17:00"/>
    <s v="Sunday"/>
    <x v="3"/>
    <s v="Q1"/>
    <s v="Winter"/>
    <s v="S12"/>
    <x v="2"/>
    <x v="2"/>
    <s v="East"/>
    <s v="C2598"/>
    <x v="0"/>
    <s v="Gold"/>
    <s v="P004"/>
    <x v="10"/>
    <x v="1"/>
    <s v="Small"/>
    <n v="1"/>
    <n v="50.7"/>
    <n v="12"/>
    <n v="22"/>
    <n v="84.7"/>
    <n v="169"/>
    <n v="10"/>
    <n v="152.1"/>
    <n v="67.400000000000006"/>
    <n v="44.31"/>
    <x v="3"/>
    <s v="Delivery"/>
    <s v="Diya"/>
    <n v="4"/>
    <s v="Completed"/>
  </r>
  <r>
    <x v="592"/>
    <d v="2025-05-09T00:00:00"/>
    <s v="17:00"/>
    <s v="Friday"/>
    <x v="7"/>
    <s v="Q2"/>
    <s v="Summer"/>
    <s v="S04"/>
    <x v="5"/>
    <x v="5"/>
    <s v="West"/>
    <s v="C2599"/>
    <x v="0"/>
    <s v="Silver"/>
    <s v="P034"/>
    <x v="0"/>
    <x v="0"/>
    <s v="Large"/>
    <n v="1"/>
    <n v="108.78"/>
    <n v="12"/>
    <n v="22"/>
    <n v="142.78"/>
    <n v="362.6"/>
    <n v="0"/>
    <n v="362.6"/>
    <n v="219.82"/>
    <n v="60.62"/>
    <x v="1"/>
    <s v="Dine-In"/>
    <s v="Aarav"/>
    <n v="4"/>
    <s v="Completed"/>
  </r>
  <r>
    <x v="593"/>
    <d v="2025-01-14T00:00:00"/>
    <s v="08:00"/>
    <s v="Tuesday"/>
    <x v="9"/>
    <s v="Q1"/>
    <s v="Winter"/>
    <s v="S12"/>
    <x v="2"/>
    <x v="2"/>
    <s v="East"/>
    <s v="C2600"/>
    <x v="0"/>
    <s v="Silver"/>
    <s v="P003"/>
    <x v="3"/>
    <x v="1"/>
    <s v="Small"/>
    <n v="2"/>
    <n v="65.7"/>
    <n v="12"/>
    <n v="22"/>
    <n v="99.7"/>
    <n v="219"/>
    <n v="10"/>
    <n v="394.2"/>
    <n v="194.8"/>
    <n v="49.42"/>
    <x v="1"/>
    <s v="Takeaway"/>
    <s v="Kabir"/>
    <n v="5"/>
    <s v="Completed"/>
  </r>
  <r>
    <x v="594"/>
    <d v="2025-09-22T00:00:00"/>
    <s v="14:30"/>
    <s v="Monday"/>
    <x v="2"/>
    <s v="Q3"/>
    <s v="Monsoon"/>
    <s v="S14"/>
    <x v="4"/>
    <x v="4"/>
    <s v="North"/>
    <s v="C2601"/>
    <x v="1"/>
    <s v="Gold"/>
    <s v="P014"/>
    <x v="4"/>
    <x v="2"/>
    <s v="Medium"/>
    <n v="3"/>
    <n v="53.64"/>
    <n v="12"/>
    <n v="22"/>
    <n v="87.64"/>
    <n v="178.8"/>
    <n v="10"/>
    <n v="482.76"/>
    <n v="219.84"/>
    <n v="45.54"/>
    <x v="1"/>
    <s v="Delivery"/>
    <s v="Meera"/>
    <n v="3"/>
    <s v="Completed"/>
  </r>
  <r>
    <x v="595"/>
    <d v="2025-03-24T00:00:00"/>
    <s v="14:00"/>
    <s v="Monday"/>
    <x v="5"/>
    <s v="Q1"/>
    <s v="Autumn"/>
    <s v="S01"/>
    <x v="0"/>
    <x v="0"/>
    <s v="North"/>
    <s v="C2602"/>
    <x v="1"/>
    <s v="Gold"/>
    <s v="P027"/>
    <x v="13"/>
    <x v="3"/>
    <s v="Small"/>
    <n v="1"/>
    <n v="68.7"/>
    <n v="12"/>
    <n v="22"/>
    <n v="102.7"/>
    <n v="229"/>
    <n v="0"/>
    <n v="229"/>
    <n v="126.3"/>
    <n v="55.15"/>
    <x v="1"/>
    <s v="Takeaway"/>
    <s v="Kabir"/>
    <n v="4"/>
    <s v="Completed"/>
  </r>
  <r>
    <x v="596"/>
    <d v="2025-08-21T00:00:00"/>
    <s v="13:45"/>
    <s v="Thursday"/>
    <x v="4"/>
    <s v="Q3"/>
    <s v="Monsoon"/>
    <s v="S14"/>
    <x v="4"/>
    <x v="4"/>
    <s v="North"/>
    <s v="C2603"/>
    <x v="1"/>
    <s v="Silver"/>
    <s v="P028"/>
    <x v="6"/>
    <x v="3"/>
    <s v="Small"/>
    <n v="3"/>
    <n v="74.7"/>
    <n v="12"/>
    <n v="22"/>
    <n v="108.7"/>
    <n v="249"/>
    <n v="0"/>
    <n v="747"/>
    <n v="420.9"/>
    <n v="56.35"/>
    <x v="2"/>
    <s v="Takeaway"/>
    <s v="Rohan"/>
    <n v="3"/>
    <s v="Completed"/>
  </r>
  <r>
    <x v="597"/>
    <d v="2025-01-19T00:00:00"/>
    <s v="13:45"/>
    <s v="Sunday"/>
    <x v="9"/>
    <s v="Q1"/>
    <s v="Winter"/>
    <s v="S04"/>
    <x v="5"/>
    <x v="5"/>
    <s v="West"/>
    <s v="C2604"/>
    <x v="1"/>
    <s v="Platinum"/>
    <s v="P003"/>
    <x v="3"/>
    <x v="1"/>
    <s v="Large"/>
    <n v="1"/>
    <n v="91.98"/>
    <n v="12"/>
    <n v="22"/>
    <n v="125.98"/>
    <n v="306.60000000000002"/>
    <n v="10"/>
    <n v="275.94"/>
    <n v="149.96"/>
    <n v="54.35"/>
    <x v="0"/>
    <s v="Dine-In"/>
    <s v="Kabir"/>
    <n v="5"/>
    <s v="Completed"/>
  </r>
  <r>
    <x v="598"/>
    <d v="2025-07-19T00:00:00"/>
    <s v="18:15"/>
    <s v="Saturday"/>
    <x v="6"/>
    <s v="Q3"/>
    <s v="Monsoon"/>
    <s v="S12"/>
    <x v="2"/>
    <x v="2"/>
    <s v="East"/>
    <s v="C2605"/>
    <x v="1"/>
    <s v="Platinum"/>
    <s v="P004"/>
    <x v="10"/>
    <x v="1"/>
    <s v="Medium"/>
    <n v="3"/>
    <n v="60.84"/>
    <n v="12"/>
    <n v="22"/>
    <n v="94.84"/>
    <n v="202.8"/>
    <n v="15"/>
    <n v="517.14"/>
    <n v="232.62"/>
    <n v="44.98"/>
    <x v="3"/>
    <s v="Dine-In"/>
    <s v="Kabir"/>
    <n v="5"/>
    <s v="Completed"/>
  </r>
  <r>
    <x v="599"/>
    <d v="2025-01-20T00:00:00"/>
    <s v="08:45"/>
    <s v="Monday"/>
    <x v="9"/>
    <s v="Q1"/>
    <s v="Winter"/>
    <s v="S14"/>
    <x v="4"/>
    <x v="4"/>
    <s v="North"/>
    <s v="C2606"/>
    <x v="1"/>
    <s v="Platinum"/>
    <s v="P002"/>
    <x v="2"/>
    <x v="1"/>
    <s v="Small"/>
    <n v="1"/>
    <n v="71.7"/>
    <n v="12"/>
    <n v="22"/>
    <n v="105.7"/>
    <n v="239"/>
    <n v="0"/>
    <n v="239"/>
    <n v="133.30000000000001"/>
    <n v="55.77"/>
    <x v="3"/>
    <s v="Dine-In"/>
    <s v="Kabir"/>
    <n v="5"/>
    <s v="Completed"/>
  </r>
  <r>
    <x v="600"/>
    <d v="2025-04-12T00:00:00"/>
    <s v="18:00"/>
    <s v="Saturday"/>
    <x v="11"/>
    <s v="Q2"/>
    <s v="Summer"/>
    <s v="S14"/>
    <x v="4"/>
    <x v="4"/>
    <s v="North"/>
    <s v="C2607"/>
    <x v="2"/>
    <s v="Platinum"/>
    <s v="P002"/>
    <x v="2"/>
    <x v="1"/>
    <s v="Small"/>
    <n v="4"/>
    <n v="71.7"/>
    <n v="12"/>
    <n v="22"/>
    <n v="105.7"/>
    <n v="239"/>
    <n v="10"/>
    <n v="860.4"/>
    <n v="437.6"/>
    <n v="50.86"/>
    <x v="2"/>
    <s v="Dine-In"/>
    <s v="Kabir"/>
    <n v="5"/>
    <s v="Completed"/>
  </r>
  <r>
    <x v="601"/>
    <d v="2025-03-04T00:00:00"/>
    <s v="09:45"/>
    <s v="Tuesday"/>
    <x v="5"/>
    <s v="Q1"/>
    <s v="Autumn"/>
    <s v="S14"/>
    <x v="4"/>
    <x v="4"/>
    <s v="North"/>
    <s v="C2608"/>
    <x v="1"/>
    <s v="Silver"/>
    <s v="P014"/>
    <x v="4"/>
    <x v="2"/>
    <s v="Small"/>
    <n v="3"/>
    <n v="44.7"/>
    <n v="12"/>
    <n v="22"/>
    <n v="78.7"/>
    <n v="149"/>
    <n v="0"/>
    <n v="447"/>
    <n v="210.9"/>
    <n v="47.18"/>
    <x v="3"/>
    <s v="Takeaway"/>
    <s v="Diya"/>
    <n v="4"/>
    <s v="Completed"/>
  </r>
  <r>
    <x v="602"/>
    <d v="2025-12-03T00:00:00"/>
    <s v="09:00"/>
    <s v="Wednesday"/>
    <x v="8"/>
    <s v="Q4"/>
    <s v="Winter"/>
    <s v="S07"/>
    <x v="3"/>
    <x v="3"/>
    <s v="South"/>
    <s v="C2609"/>
    <x v="2"/>
    <s v="Silver"/>
    <s v="P002"/>
    <x v="2"/>
    <x v="1"/>
    <s v="Medium"/>
    <n v="3"/>
    <n v="86.04"/>
    <n v="12"/>
    <n v="22"/>
    <n v="120.04"/>
    <n v="286.8"/>
    <n v="0"/>
    <n v="860.4"/>
    <n v="500.28"/>
    <n v="58.15"/>
    <x v="3"/>
    <s v="Takeaway"/>
    <s v="Aarav"/>
    <n v="5"/>
    <s v="Completed"/>
  </r>
  <r>
    <x v="603"/>
    <d v="2025-06-25T00:00:00"/>
    <s v="13:15"/>
    <s v="Wednesday"/>
    <x v="10"/>
    <s v="Q2"/>
    <s v="Summer"/>
    <s v="S12"/>
    <x v="2"/>
    <x v="2"/>
    <s v="East"/>
    <s v="C2610"/>
    <x v="1"/>
    <s v="Platinum"/>
    <s v="P033"/>
    <x v="8"/>
    <x v="0"/>
    <s v="Small"/>
    <n v="3"/>
    <n v="74.7"/>
    <n v="12"/>
    <n v="22"/>
    <n v="108.7"/>
    <n v="249"/>
    <n v="5"/>
    <n v="709.65"/>
    <n v="383.55"/>
    <n v="54.05"/>
    <x v="1"/>
    <s v="Takeaway"/>
    <s v="Meera"/>
    <n v="4"/>
    <s v="Completed"/>
  </r>
  <r>
    <x v="604"/>
    <d v="2025-12-20T00:00:00"/>
    <s v="14:00"/>
    <s v="Saturday"/>
    <x v="8"/>
    <s v="Q4"/>
    <s v="Winter"/>
    <s v="S14"/>
    <x v="4"/>
    <x v="4"/>
    <s v="North"/>
    <s v="C2611"/>
    <x v="2"/>
    <s v="Gold"/>
    <s v="P042"/>
    <x v="14"/>
    <x v="5"/>
    <s v="Small"/>
    <n v="4"/>
    <n v="98.7"/>
    <n v="12"/>
    <n v="22"/>
    <n v="132.69999999999999"/>
    <n v="329"/>
    <n v="15"/>
    <n v="1118.5999999999999"/>
    <n v="587.79999999999995"/>
    <n v="52.55"/>
    <x v="3"/>
    <s v="Delivery"/>
    <s v="Kabir"/>
    <n v="5"/>
    <s v="Completed"/>
  </r>
  <r>
    <x v="605"/>
    <d v="2025-12-11T00:00:00"/>
    <s v="08:00"/>
    <s v="Thursday"/>
    <x v="8"/>
    <s v="Q4"/>
    <s v="Winter"/>
    <s v="S10"/>
    <x v="1"/>
    <x v="1"/>
    <s v="South"/>
    <s v="C2612"/>
    <x v="0"/>
    <s v="Platinum"/>
    <s v="P001"/>
    <x v="1"/>
    <x v="1"/>
    <s v="Small"/>
    <n v="3"/>
    <n v="44.7"/>
    <n v="12"/>
    <n v="22"/>
    <n v="78.7"/>
    <n v="149"/>
    <n v="5"/>
    <n v="424.65"/>
    <n v="188.55"/>
    <n v="44.4"/>
    <x v="0"/>
    <s v="Dine-In"/>
    <s v="Kabir"/>
    <n v="5"/>
    <s v="Completed"/>
  </r>
  <r>
    <x v="606"/>
    <d v="2025-06-22T00:00:00"/>
    <s v="09:00"/>
    <s v="Sunday"/>
    <x v="10"/>
    <s v="Q2"/>
    <s v="Summer"/>
    <s v="S10"/>
    <x v="1"/>
    <x v="1"/>
    <s v="South"/>
    <s v="C2613"/>
    <x v="0"/>
    <s v="Platinum"/>
    <s v="P041"/>
    <x v="12"/>
    <x v="5"/>
    <s v="Small"/>
    <n v="1"/>
    <n v="89.7"/>
    <n v="12"/>
    <n v="22"/>
    <n v="123.7"/>
    <n v="299"/>
    <n v="10"/>
    <n v="269.10000000000002"/>
    <n v="145.4"/>
    <n v="54.03"/>
    <x v="3"/>
    <s v="Takeaway"/>
    <s v="Diya"/>
    <n v="4"/>
    <s v="Completed"/>
  </r>
  <r>
    <x v="607"/>
    <d v="2025-03-06T00:00:00"/>
    <s v="14:00"/>
    <s v="Thursday"/>
    <x v="5"/>
    <s v="Q1"/>
    <s v="Autumn"/>
    <s v="S10"/>
    <x v="1"/>
    <x v="1"/>
    <s v="South"/>
    <s v="C2614"/>
    <x v="1"/>
    <s v="Platinum"/>
    <s v="P036"/>
    <x v="11"/>
    <x v="0"/>
    <s v="Small"/>
    <n v="3"/>
    <n v="47.7"/>
    <n v="12"/>
    <n v="22"/>
    <n v="81.7"/>
    <n v="159"/>
    <n v="0"/>
    <n v="477"/>
    <n v="231.9"/>
    <n v="48.62"/>
    <x v="1"/>
    <s v="Delivery"/>
    <s v="Kabir"/>
    <n v="4"/>
    <s v="Completed"/>
  </r>
  <r>
    <x v="608"/>
    <d v="2025-03-29T00:00:00"/>
    <s v="13:30"/>
    <s v="Saturday"/>
    <x v="5"/>
    <s v="Q1"/>
    <s v="Autumn"/>
    <s v="S14"/>
    <x v="4"/>
    <x v="4"/>
    <s v="North"/>
    <s v="C2615"/>
    <x v="2"/>
    <s v="Gold"/>
    <s v="P036"/>
    <x v="11"/>
    <x v="0"/>
    <s v="Large"/>
    <n v="4"/>
    <n v="66.78"/>
    <n v="12"/>
    <n v="22"/>
    <n v="100.78"/>
    <n v="222.6"/>
    <n v="15"/>
    <n v="756.84"/>
    <n v="353.72"/>
    <n v="46.74"/>
    <x v="2"/>
    <s v="Takeaway"/>
    <s v="Diya"/>
    <n v="5"/>
    <s v="Completed"/>
  </r>
  <r>
    <x v="609"/>
    <d v="2025-04-05T00:00:00"/>
    <s v="18:30"/>
    <s v="Saturday"/>
    <x v="11"/>
    <s v="Q2"/>
    <s v="Summer"/>
    <s v="S01"/>
    <x v="0"/>
    <x v="0"/>
    <s v="North"/>
    <s v="C2616"/>
    <x v="1"/>
    <s v="Gold"/>
    <s v="P036"/>
    <x v="11"/>
    <x v="0"/>
    <s v="Medium"/>
    <n v="3"/>
    <n v="57.24"/>
    <n v="12"/>
    <n v="22"/>
    <n v="91.240000000000009"/>
    <n v="190.8"/>
    <n v="15"/>
    <n v="486.54"/>
    <n v="212.82"/>
    <n v="43.74"/>
    <x v="1"/>
    <s v="Delivery"/>
    <s v="Meera"/>
    <n v="5"/>
    <s v="Completed"/>
  </r>
  <r>
    <x v="610"/>
    <d v="2025-05-26T00:00:00"/>
    <s v="09:15"/>
    <s v="Monday"/>
    <x v="7"/>
    <s v="Q2"/>
    <s v="Summer"/>
    <s v="S07"/>
    <x v="3"/>
    <x v="3"/>
    <s v="South"/>
    <s v="C2617"/>
    <x v="0"/>
    <s v="Silver"/>
    <s v="P034"/>
    <x v="0"/>
    <x v="0"/>
    <s v="Large"/>
    <n v="2"/>
    <n v="108.78"/>
    <n v="12"/>
    <n v="22"/>
    <n v="142.78"/>
    <n v="362.6"/>
    <n v="0"/>
    <n v="725.2"/>
    <n v="439.64"/>
    <n v="60.62"/>
    <x v="1"/>
    <s v="Takeaway"/>
    <s v="Diya"/>
    <n v="5"/>
    <s v="Completed"/>
  </r>
  <r>
    <x v="611"/>
    <d v="2025-07-29T00:00:00"/>
    <s v="18:00"/>
    <s v="Tuesday"/>
    <x v="6"/>
    <s v="Q3"/>
    <s v="Monsoon"/>
    <s v="S14"/>
    <x v="4"/>
    <x v="4"/>
    <s v="North"/>
    <s v="C2618"/>
    <x v="1"/>
    <s v="Gold"/>
    <s v="P004"/>
    <x v="10"/>
    <x v="1"/>
    <s v="Small"/>
    <n v="1"/>
    <n v="50.7"/>
    <n v="12"/>
    <n v="22"/>
    <n v="84.7"/>
    <n v="169"/>
    <n v="0"/>
    <n v="169"/>
    <n v="84.3"/>
    <n v="49.88"/>
    <x v="1"/>
    <s v="Takeaway"/>
    <s v="Rohan"/>
    <n v="5"/>
    <s v="Completed"/>
  </r>
  <r>
    <x v="612"/>
    <d v="2025-12-09T00:00:00"/>
    <s v="18:15"/>
    <s v="Tuesday"/>
    <x v="8"/>
    <s v="Q4"/>
    <s v="Winter"/>
    <s v="S14"/>
    <x v="4"/>
    <x v="4"/>
    <s v="North"/>
    <s v="C2619"/>
    <x v="0"/>
    <s v="Platinum"/>
    <s v="P003"/>
    <x v="3"/>
    <x v="1"/>
    <s v="Small"/>
    <n v="1"/>
    <n v="65.7"/>
    <n v="12"/>
    <n v="22"/>
    <n v="99.7"/>
    <n v="219"/>
    <n v="0"/>
    <n v="219"/>
    <n v="119.3"/>
    <n v="54.47"/>
    <x v="1"/>
    <s v="Delivery"/>
    <s v="Aarav"/>
    <n v="5"/>
    <s v="Completed"/>
  </r>
  <r>
    <x v="613"/>
    <d v="2025-07-10T00:00:00"/>
    <s v="14:15"/>
    <s v="Thursday"/>
    <x v="6"/>
    <s v="Q3"/>
    <s v="Monsoon"/>
    <s v="S12"/>
    <x v="2"/>
    <x v="2"/>
    <s v="East"/>
    <s v="C2620"/>
    <x v="0"/>
    <s v="Gold"/>
    <s v="P004"/>
    <x v="10"/>
    <x v="1"/>
    <s v="Medium"/>
    <n v="1"/>
    <n v="60.84"/>
    <n v="12"/>
    <n v="22"/>
    <n v="94.84"/>
    <n v="202.8"/>
    <n v="5"/>
    <n v="192.66"/>
    <n v="97.82"/>
    <n v="50.77"/>
    <x v="0"/>
    <s v="Dine-In"/>
    <s v="Kabir"/>
    <n v="5"/>
    <s v="Completed"/>
  </r>
  <r>
    <x v="614"/>
    <d v="2025-06-24T00:00:00"/>
    <s v="09:45"/>
    <s v="Tuesday"/>
    <x v="10"/>
    <s v="Q2"/>
    <s v="Summer"/>
    <s v="S04"/>
    <x v="5"/>
    <x v="5"/>
    <s v="West"/>
    <s v="C2621"/>
    <x v="1"/>
    <s v="Silver"/>
    <s v="P003"/>
    <x v="3"/>
    <x v="1"/>
    <s v="Large"/>
    <n v="2"/>
    <n v="91.98"/>
    <n v="12"/>
    <n v="22"/>
    <n v="125.98"/>
    <n v="306.60000000000002"/>
    <n v="0"/>
    <n v="613.20000000000005"/>
    <n v="361.24"/>
    <n v="58.91"/>
    <x v="0"/>
    <s v="Delivery"/>
    <s v="Diya"/>
    <n v="5"/>
    <s v="Completed"/>
  </r>
  <r>
    <x v="615"/>
    <d v="2025-05-27T00:00:00"/>
    <s v="17:00"/>
    <s v="Tuesday"/>
    <x v="7"/>
    <s v="Q2"/>
    <s v="Summer"/>
    <s v="S07"/>
    <x v="3"/>
    <x v="3"/>
    <s v="South"/>
    <s v="C2622"/>
    <x v="2"/>
    <s v="Platinum"/>
    <s v="P020"/>
    <x v="9"/>
    <x v="4"/>
    <s v="Large"/>
    <n v="2"/>
    <n v="66.78"/>
    <n v="12"/>
    <n v="22"/>
    <n v="100.78"/>
    <n v="222.6"/>
    <n v="10"/>
    <n v="400.68"/>
    <n v="199.12"/>
    <n v="49.7"/>
    <x v="3"/>
    <s v="Dine-In"/>
    <s v="Kabir"/>
    <n v="5"/>
    <s v="Completed"/>
  </r>
  <r>
    <x v="616"/>
    <d v="2025-07-13T00:00:00"/>
    <s v="14:30"/>
    <s v="Sunday"/>
    <x v="6"/>
    <s v="Q3"/>
    <s v="Monsoon"/>
    <s v="S07"/>
    <x v="3"/>
    <x v="3"/>
    <s v="South"/>
    <s v="C2623"/>
    <x v="2"/>
    <s v="Platinum"/>
    <s v="P027"/>
    <x v="13"/>
    <x v="3"/>
    <s v="Medium"/>
    <n v="3"/>
    <n v="82.44"/>
    <n v="12"/>
    <n v="22"/>
    <n v="116.44"/>
    <n v="274.8"/>
    <n v="10"/>
    <n v="741.96"/>
    <n v="392.64"/>
    <n v="52.92"/>
    <x v="1"/>
    <s v="Dine-In"/>
    <s v="Aarav"/>
    <n v="5"/>
    <s v="Completed"/>
  </r>
  <r>
    <x v="617"/>
    <d v="2025-11-21T00:00:00"/>
    <s v="18:00"/>
    <s v="Friday"/>
    <x v="1"/>
    <s v="Q4"/>
    <s v="Autumn"/>
    <s v="S14"/>
    <x v="4"/>
    <x v="4"/>
    <s v="North"/>
    <s v="C2624"/>
    <x v="2"/>
    <s v="Gold"/>
    <s v="P001"/>
    <x v="1"/>
    <x v="1"/>
    <s v="Large"/>
    <n v="2"/>
    <n v="62.58"/>
    <n v="12"/>
    <n v="22"/>
    <n v="96.58"/>
    <n v="208.6"/>
    <n v="0"/>
    <n v="417.2"/>
    <n v="224.04"/>
    <n v="53.7"/>
    <x v="3"/>
    <s v="Delivery"/>
    <s v="Rohan"/>
    <s v="Not Rated"/>
    <s v="Completed"/>
  </r>
  <r>
    <x v="618"/>
    <d v="2025-04-18T00:00:00"/>
    <s v="13:15"/>
    <s v="Friday"/>
    <x v="11"/>
    <s v="Q2"/>
    <s v="Summer"/>
    <s v="S12"/>
    <x v="2"/>
    <x v="2"/>
    <s v="East"/>
    <s v="C2625"/>
    <x v="0"/>
    <s v="Gold"/>
    <s v="P036"/>
    <x v="11"/>
    <x v="0"/>
    <s v="Small"/>
    <n v="2"/>
    <n v="47.7"/>
    <n v="12"/>
    <n v="22"/>
    <n v="81.7"/>
    <n v="159"/>
    <n v="5"/>
    <n v="302.10000000000002"/>
    <n v="138.69999999999999"/>
    <n v="45.91"/>
    <x v="3"/>
    <s v="Dine-In"/>
    <s v="Meera"/>
    <n v="5"/>
    <s v="Completed"/>
  </r>
  <r>
    <x v="619"/>
    <d v="2025-03-08T00:00:00"/>
    <s v="14:00"/>
    <s v="Saturday"/>
    <x v="5"/>
    <s v="Q1"/>
    <s v="Autumn"/>
    <s v="S14"/>
    <x v="4"/>
    <x v="4"/>
    <s v="North"/>
    <s v="C2626"/>
    <x v="2"/>
    <s v="Silver"/>
    <s v="P028"/>
    <x v="6"/>
    <x v="3"/>
    <s v="Medium"/>
    <n v="3"/>
    <n v="89.64"/>
    <n v="12"/>
    <n v="22"/>
    <n v="123.64"/>
    <n v="298.8"/>
    <n v="15"/>
    <n v="761.94"/>
    <n v="391.02"/>
    <n v="51.32"/>
    <x v="0"/>
    <s v="Delivery"/>
    <s v="Rohan"/>
    <n v="4"/>
    <s v="Completed"/>
  </r>
  <r>
    <x v="620"/>
    <d v="2025-09-03T00:00:00"/>
    <s v="18:30"/>
    <s v="Wednesday"/>
    <x v="2"/>
    <s v="Q3"/>
    <s v="Monsoon"/>
    <s v="S10"/>
    <x v="1"/>
    <x v="1"/>
    <s v="South"/>
    <s v="C2627"/>
    <x v="0"/>
    <s v="Silver"/>
    <s v="P004"/>
    <x v="10"/>
    <x v="1"/>
    <s v="Large"/>
    <n v="2"/>
    <n v="70.98"/>
    <n v="12"/>
    <n v="22"/>
    <n v="104.98"/>
    <n v="236.6"/>
    <n v="0"/>
    <n v="473.2"/>
    <n v="263.24"/>
    <n v="55.63"/>
    <x v="3"/>
    <s v="Takeaway"/>
    <s v="Kabir"/>
    <n v="5"/>
    <s v="Completed"/>
  </r>
  <r>
    <x v="621"/>
    <d v="2025-07-03T00:00:00"/>
    <s v="08:30"/>
    <s v="Thursday"/>
    <x v="6"/>
    <s v="Q3"/>
    <s v="Monsoon"/>
    <s v="S12"/>
    <x v="2"/>
    <x v="2"/>
    <s v="East"/>
    <s v="C2628"/>
    <x v="0"/>
    <s v="Gold"/>
    <s v="P003"/>
    <x v="3"/>
    <x v="1"/>
    <s v="Small"/>
    <n v="2"/>
    <n v="65.7"/>
    <n v="12"/>
    <n v="22"/>
    <n v="99.7"/>
    <n v="219"/>
    <n v="0"/>
    <n v="438"/>
    <n v="238.6"/>
    <n v="54.47"/>
    <x v="0"/>
    <s v="Takeaway"/>
    <s v="Diya"/>
    <n v="5"/>
    <s v="Completed"/>
  </r>
  <r>
    <x v="622"/>
    <d v="2025-11-06T00:00:00"/>
    <s v="14:15"/>
    <s v="Thursday"/>
    <x v="1"/>
    <s v="Q4"/>
    <s v="Autumn"/>
    <s v="S01"/>
    <x v="0"/>
    <x v="0"/>
    <s v="North"/>
    <s v="C2629"/>
    <x v="0"/>
    <s v="Gold"/>
    <s v="P028"/>
    <x v="6"/>
    <x v="3"/>
    <s v="Small"/>
    <n v="2"/>
    <n v="74.7"/>
    <n v="12"/>
    <n v="22"/>
    <n v="108.7"/>
    <n v="249"/>
    <n v="0"/>
    <n v="498"/>
    <n v="280.60000000000002"/>
    <n v="56.35"/>
    <x v="3"/>
    <s v="Takeaway"/>
    <s v="Diya"/>
    <n v="4"/>
    <s v="Completed"/>
  </r>
  <r>
    <x v="623"/>
    <d v="2025-11-01T00:00:00"/>
    <s v="13:30"/>
    <s v="Saturday"/>
    <x v="1"/>
    <s v="Q4"/>
    <s v="Autumn"/>
    <s v="S01"/>
    <x v="0"/>
    <x v="0"/>
    <s v="North"/>
    <s v="C2630"/>
    <x v="0"/>
    <s v="Silver"/>
    <s v="P028"/>
    <x v="6"/>
    <x v="3"/>
    <s v="Small"/>
    <n v="1"/>
    <n v="74.7"/>
    <n v="12"/>
    <n v="22"/>
    <n v="108.7"/>
    <n v="249"/>
    <n v="10"/>
    <n v="224.1"/>
    <n v="115.4"/>
    <n v="51.49"/>
    <x v="2"/>
    <s v="Delivery"/>
    <s v="Kabir"/>
    <n v="4"/>
    <s v="Completed"/>
  </r>
  <r>
    <x v="624"/>
    <d v="2025-03-11T00:00:00"/>
    <s v="17:45"/>
    <s v="Tuesday"/>
    <x v="5"/>
    <s v="Q1"/>
    <s v="Autumn"/>
    <s v="S14"/>
    <x v="4"/>
    <x v="4"/>
    <s v="North"/>
    <s v="C2631"/>
    <x v="0"/>
    <s v="Silver"/>
    <s v="P020"/>
    <x v="9"/>
    <x v="4"/>
    <s v="Medium"/>
    <n v="2"/>
    <n v="57.24"/>
    <n v="12"/>
    <n v="22"/>
    <n v="91.240000000000009"/>
    <n v="190.8"/>
    <n v="0"/>
    <n v="381.6"/>
    <n v="199.12"/>
    <n v="52.18"/>
    <x v="3"/>
    <s v="Dine-In"/>
    <s v="Rohan"/>
    <n v="5"/>
    <s v="Completed"/>
  </r>
  <r>
    <x v="625"/>
    <d v="2025-07-30T00:00:00"/>
    <s v="09:45"/>
    <s v="Wednesday"/>
    <x v="6"/>
    <s v="Q3"/>
    <s v="Monsoon"/>
    <s v="S07"/>
    <x v="3"/>
    <x v="3"/>
    <s v="South"/>
    <s v="C2632"/>
    <x v="1"/>
    <s v="Silver"/>
    <s v="P002"/>
    <x v="2"/>
    <x v="1"/>
    <s v="Large"/>
    <n v="3"/>
    <n v="100.38"/>
    <n v="12"/>
    <n v="22"/>
    <n v="134.38"/>
    <n v="334.6"/>
    <n v="0"/>
    <n v="1003.8"/>
    <n v="600.66"/>
    <n v="59.84"/>
    <x v="1"/>
    <s v="Dine-In"/>
    <s v="Diya"/>
    <n v="5"/>
    <s v="Completed"/>
  </r>
  <r>
    <x v="626"/>
    <d v="2025-11-17T00:00:00"/>
    <s v="09:15"/>
    <s v="Monday"/>
    <x v="1"/>
    <s v="Q4"/>
    <s v="Autumn"/>
    <s v="S12"/>
    <x v="2"/>
    <x v="2"/>
    <s v="East"/>
    <s v="C2633"/>
    <x v="0"/>
    <s v="Silver"/>
    <s v="P003"/>
    <x v="3"/>
    <x v="1"/>
    <s v="Small"/>
    <n v="1"/>
    <n v="65.7"/>
    <n v="12"/>
    <n v="22"/>
    <n v="99.7"/>
    <n v="219"/>
    <n v="5"/>
    <n v="208.05"/>
    <n v="108.35"/>
    <n v="52.08"/>
    <x v="0"/>
    <s v="Takeaway"/>
    <s v="Rohan"/>
    <n v="5"/>
    <s v="Completed"/>
  </r>
  <r>
    <x v="627"/>
    <d v="2025-12-19T00:00:00"/>
    <s v="17:15"/>
    <s v="Friday"/>
    <x v="8"/>
    <s v="Q4"/>
    <s v="Winter"/>
    <s v="S14"/>
    <x v="4"/>
    <x v="4"/>
    <s v="North"/>
    <s v="C2634"/>
    <x v="2"/>
    <s v="Silver"/>
    <s v="P004"/>
    <x v="10"/>
    <x v="1"/>
    <s v="Small"/>
    <n v="3"/>
    <n v="50.7"/>
    <n v="12"/>
    <n v="22"/>
    <n v="84.7"/>
    <n v="169"/>
    <n v="0"/>
    <n v="507"/>
    <n v="252.9"/>
    <n v="49.88"/>
    <x v="1"/>
    <s v="Dine-In"/>
    <s v="Kabir"/>
    <n v="5"/>
    <s v="Completed"/>
  </r>
  <r>
    <x v="628"/>
    <d v="2025-07-28T00:00:00"/>
    <s v="18:30"/>
    <s v="Monday"/>
    <x v="6"/>
    <s v="Q3"/>
    <s v="Monsoon"/>
    <s v="S07"/>
    <x v="3"/>
    <x v="3"/>
    <s v="South"/>
    <s v="C2635"/>
    <x v="1"/>
    <s v="Gold"/>
    <s v="P019"/>
    <x v="7"/>
    <x v="4"/>
    <s v="Large"/>
    <n v="2"/>
    <n v="83.58"/>
    <n v="12"/>
    <n v="22"/>
    <n v="117.58"/>
    <n v="278.60000000000002"/>
    <n v="0"/>
    <n v="557.20000000000005"/>
    <n v="322.04000000000002"/>
    <n v="57.8"/>
    <x v="1"/>
    <s v="Takeaway"/>
    <s v="Kabir"/>
    <n v="5"/>
    <s v="Completed"/>
  </r>
  <r>
    <x v="629"/>
    <d v="2025-08-16T00:00:00"/>
    <s v="18:30"/>
    <s v="Saturday"/>
    <x v="4"/>
    <s v="Q3"/>
    <s v="Monsoon"/>
    <s v="S07"/>
    <x v="3"/>
    <x v="3"/>
    <s v="South"/>
    <s v="C2636"/>
    <x v="2"/>
    <s v="Platinum"/>
    <s v="P042"/>
    <x v="14"/>
    <x v="5"/>
    <s v="Medium"/>
    <n v="4"/>
    <n v="118.44"/>
    <n v="12"/>
    <n v="22"/>
    <n v="152.44"/>
    <n v="394.8"/>
    <n v="10"/>
    <n v="1421.28"/>
    <n v="811.52"/>
    <n v="57.1"/>
    <x v="1"/>
    <s v="Takeaway"/>
    <s v="Diya"/>
    <n v="5"/>
    <s v="Completed"/>
  </r>
  <r>
    <x v="630"/>
    <d v="2025-07-26T00:00:00"/>
    <s v="09:00"/>
    <s v="Saturday"/>
    <x v="6"/>
    <s v="Q3"/>
    <s v="Monsoon"/>
    <s v="S10"/>
    <x v="1"/>
    <x v="1"/>
    <s v="South"/>
    <s v="C2637"/>
    <x v="0"/>
    <s v="Gold"/>
    <s v="P014"/>
    <x v="4"/>
    <x v="2"/>
    <s v="Medium"/>
    <n v="3"/>
    <n v="53.64"/>
    <n v="12"/>
    <n v="22"/>
    <n v="87.64"/>
    <n v="178.8"/>
    <n v="15"/>
    <n v="455.94"/>
    <n v="193.02"/>
    <n v="42.33"/>
    <x v="2"/>
    <s v="Takeaway"/>
    <s v="Kabir"/>
    <n v="5"/>
    <s v="Completed"/>
  </r>
  <r>
    <x v="631"/>
    <d v="2025-06-03T00:00:00"/>
    <s v="17:30"/>
    <s v="Tuesday"/>
    <x v="10"/>
    <s v="Q2"/>
    <s v="Summer"/>
    <s v="S12"/>
    <x v="2"/>
    <x v="2"/>
    <s v="East"/>
    <s v="C2638"/>
    <x v="2"/>
    <s v="Platinum"/>
    <s v="P004"/>
    <x v="10"/>
    <x v="1"/>
    <s v="Medium"/>
    <n v="1"/>
    <n v="60.84"/>
    <n v="12"/>
    <n v="22"/>
    <n v="94.84"/>
    <n v="202.8"/>
    <n v="0"/>
    <n v="202.8"/>
    <n v="107.96"/>
    <n v="53.23"/>
    <x v="3"/>
    <s v="Dine-In"/>
    <s v="Rohan"/>
    <n v="5"/>
    <s v="Completed"/>
  </r>
  <r>
    <x v="632"/>
    <d v="2025-04-09T00:00:00"/>
    <s v="14:00"/>
    <s v="Wednesday"/>
    <x v="11"/>
    <s v="Q2"/>
    <s v="Summer"/>
    <s v="S04"/>
    <x v="5"/>
    <x v="5"/>
    <s v="West"/>
    <s v="C2640"/>
    <x v="2"/>
    <s v="Gold"/>
    <s v="P033"/>
    <x v="8"/>
    <x v="0"/>
    <s v="Large"/>
    <n v="3"/>
    <n v="104.58"/>
    <n v="12"/>
    <n v="22"/>
    <n v="138.58000000000001"/>
    <n v="348.6"/>
    <n v="0"/>
    <n v="1045.8"/>
    <n v="630.05999999999995"/>
    <n v="60.25"/>
    <x v="1"/>
    <s v="Dine-In"/>
    <s v="Rohan"/>
    <n v="5"/>
    <s v="Completed"/>
  </r>
  <r>
    <x v="633"/>
    <d v="2025-03-20T00:00:00"/>
    <s v="18:45"/>
    <s v="Thursday"/>
    <x v="5"/>
    <s v="Q1"/>
    <s v="Autumn"/>
    <s v="S07"/>
    <x v="3"/>
    <x v="3"/>
    <s v="South"/>
    <s v="C2641"/>
    <x v="1"/>
    <s v="Platinum"/>
    <s v="P003"/>
    <x v="3"/>
    <x v="1"/>
    <s v="Small"/>
    <n v="2"/>
    <n v="65.7"/>
    <n v="12"/>
    <n v="22"/>
    <n v="99.7"/>
    <n v="219"/>
    <n v="0"/>
    <n v="438"/>
    <n v="238.6"/>
    <n v="54.47"/>
    <x v="1"/>
    <s v="Dine-In"/>
    <s v="Meera"/>
    <n v="4"/>
    <s v="Completed"/>
  </r>
  <r>
    <x v="634"/>
    <d v="2025-01-24T00:00:00"/>
    <s v="18:00"/>
    <s v="Friday"/>
    <x v="9"/>
    <s v="Q1"/>
    <s v="Winter"/>
    <s v="S10"/>
    <x v="1"/>
    <x v="1"/>
    <s v="South"/>
    <s v="C2642"/>
    <x v="2"/>
    <s v="Platinum"/>
    <s v="P003"/>
    <x v="3"/>
    <x v="1"/>
    <s v="Large"/>
    <n v="2"/>
    <n v="91.98"/>
    <n v="12"/>
    <n v="22"/>
    <n v="125.98"/>
    <n v="306.60000000000002"/>
    <n v="0"/>
    <n v="613.20000000000005"/>
    <n v="361.24"/>
    <n v="58.91"/>
    <x v="1"/>
    <s v="Takeaway"/>
    <s v="Aarav"/>
    <n v="4"/>
    <s v="Completed"/>
  </r>
  <r>
    <x v="635"/>
    <d v="2025-09-15T00:00:00"/>
    <s v="14:45"/>
    <s v="Monday"/>
    <x v="2"/>
    <s v="Q3"/>
    <s v="Monsoon"/>
    <s v="S12"/>
    <x v="2"/>
    <x v="2"/>
    <s v="East"/>
    <s v="C2643"/>
    <x v="2"/>
    <s v="Platinum"/>
    <s v="P013"/>
    <x v="5"/>
    <x v="2"/>
    <s v="Large"/>
    <n v="2"/>
    <n v="54.18"/>
    <n v="12"/>
    <n v="22"/>
    <n v="88.18"/>
    <n v="180.6"/>
    <n v="0"/>
    <n v="361.2"/>
    <n v="184.84"/>
    <n v="51.17"/>
    <x v="1"/>
    <s v="Delivery"/>
    <s v="Aarav"/>
    <n v="3"/>
    <s v="Completed"/>
  </r>
  <r>
    <x v="636"/>
    <d v="2025-07-11T00:00:00"/>
    <s v="17:30"/>
    <s v="Friday"/>
    <x v="6"/>
    <s v="Q3"/>
    <s v="Monsoon"/>
    <s v="S07"/>
    <x v="3"/>
    <x v="3"/>
    <s v="South"/>
    <s v="C2644"/>
    <x v="1"/>
    <s v="Gold"/>
    <s v="P004"/>
    <x v="10"/>
    <x v="1"/>
    <s v="Small"/>
    <n v="1"/>
    <n v="50.7"/>
    <n v="12"/>
    <n v="22"/>
    <n v="84.7"/>
    <n v="169"/>
    <n v="0"/>
    <n v="169"/>
    <n v="84.3"/>
    <n v="49.88"/>
    <x v="2"/>
    <s v="Delivery"/>
    <s v="Aarav"/>
    <n v="4"/>
    <s v="Completed"/>
  </r>
  <r>
    <x v="637"/>
    <d v="2025-11-10T00:00:00"/>
    <s v="13:00"/>
    <s v="Monday"/>
    <x v="1"/>
    <s v="Q4"/>
    <s v="Autumn"/>
    <s v="S04"/>
    <x v="5"/>
    <x v="5"/>
    <s v="West"/>
    <s v="C2645"/>
    <x v="2"/>
    <s v="Silver"/>
    <s v="P028"/>
    <x v="6"/>
    <x v="3"/>
    <s v="Large"/>
    <n v="3"/>
    <n v="104.58"/>
    <n v="12"/>
    <n v="22"/>
    <n v="138.58000000000001"/>
    <n v="348.6"/>
    <n v="5"/>
    <n v="993.51"/>
    <n v="577.77"/>
    <n v="58.15"/>
    <x v="3"/>
    <s v="Takeaway"/>
    <s v="Aarav"/>
    <n v="5"/>
    <s v="Completed"/>
  </r>
  <r>
    <x v="638"/>
    <d v="2025-08-23T00:00:00"/>
    <s v="08:45"/>
    <s v="Saturday"/>
    <x v="4"/>
    <s v="Q3"/>
    <s v="Monsoon"/>
    <s v="S10"/>
    <x v="1"/>
    <x v="1"/>
    <s v="South"/>
    <s v="C2646"/>
    <x v="1"/>
    <s v="Gold"/>
    <s v="P001"/>
    <x v="1"/>
    <x v="1"/>
    <s v="Medium"/>
    <n v="1"/>
    <n v="53.64"/>
    <n v="12"/>
    <n v="22"/>
    <n v="87.64"/>
    <n v="178.8"/>
    <n v="15"/>
    <n v="151.97999999999999"/>
    <n v="64.34"/>
    <n v="42.33"/>
    <x v="2"/>
    <s v="Dine-In"/>
    <s v="Kabir"/>
    <n v="5"/>
    <s v="Completed"/>
  </r>
  <r>
    <x v="639"/>
    <d v="2025-11-28T00:00:00"/>
    <s v="14:45"/>
    <s v="Friday"/>
    <x v="1"/>
    <s v="Q4"/>
    <s v="Autumn"/>
    <s v="S01"/>
    <x v="0"/>
    <x v="0"/>
    <s v="North"/>
    <s v="C2647"/>
    <x v="0"/>
    <s v="Gold"/>
    <s v="P027"/>
    <x v="13"/>
    <x v="3"/>
    <s v="Small"/>
    <n v="3"/>
    <n v="68.7"/>
    <n v="12"/>
    <n v="22"/>
    <n v="102.7"/>
    <n v="229"/>
    <n v="5"/>
    <n v="652.65"/>
    <n v="344.55"/>
    <n v="52.79"/>
    <x v="1"/>
    <s v="Takeaway"/>
    <s v="Diya"/>
    <n v="4"/>
    <s v="Completed"/>
  </r>
  <r>
    <x v="640"/>
    <d v="2025-12-09T00:00:00"/>
    <s v="18:45"/>
    <s v="Tuesday"/>
    <x v="8"/>
    <s v="Q4"/>
    <s v="Winter"/>
    <s v="S10"/>
    <x v="1"/>
    <x v="1"/>
    <s v="South"/>
    <s v="C2648"/>
    <x v="1"/>
    <s v="Silver"/>
    <s v="P003"/>
    <x v="3"/>
    <x v="1"/>
    <s v="Large"/>
    <n v="1"/>
    <n v="91.98"/>
    <n v="12"/>
    <n v="22"/>
    <n v="125.98"/>
    <n v="306.60000000000002"/>
    <n v="0"/>
    <n v="306.60000000000002"/>
    <n v="180.62"/>
    <n v="58.91"/>
    <x v="0"/>
    <s v="Dine-In"/>
    <s v="Rohan"/>
    <n v="3"/>
    <s v="Completed"/>
  </r>
  <r>
    <x v="641"/>
    <d v="2025-09-02T00:00:00"/>
    <s v="09:15"/>
    <s v="Tuesday"/>
    <x v="2"/>
    <s v="Q3"/>
    <s v="Monsoon"/>
    <s v="S10"/>
    <x v="1"/>
    <x v="1"/>
    <s v="South"/>
    <s v="C2649"/>
    <x v="0"/>
    <s v="Gold"/>
    <s v="P013"/>
    <x v="5"/>
    <x v="2"/>
    <s v="Large"/>
    <n v="2"/>
    <n v="54.18"/>
    <n v="12"/>
    <n v="22"/>
    <n v="88.18"/>
    <n v="180.6"/>
    <n v="0"/>
    <n v="361.2"/>
    <n v="184.84"/>
    <n v="51.17"/>
    <x v="3"/>
    <s v="Takeaway"/>
    <s v="Kabir"/>
    <n v="5"/>
    <s v="Completed"/>
  </r>
  <r>
    <x v="642"/>
    <d v="2025-06-15T00:00:00"/>
    <s v="17:00"/>
    <s v="Sunday"/>
    <x v="10"/>
    <s v="Q2"/>
    <s v="Summer"/>
    <s v="S07"/>
    <x v="3"/>
    <x v="3"/>
    <s v="South"/>
    <s v="C2650"/>
    <x v="1"/>
    <s v="Platinum"/>
    <s v="P042"/>
    <x v="14"/>
    <x v="5"/>
    <s v="Small"/>
    <n v="1"/>
    <n v="98.7"/>
    <n v="12"/>
    <n v="22"/>
    <n v="132.69999999999999"/>
    <n v="329"/>
    <n v="15"/>
    <n v="279.64999999999998"/>
    <n v="146.94999999999999"/>
    <n v="52.55"/>
    <x v="0"/>
    <s v="Takeaway"/>
    <s v="Rohan"/>
    <n v="4"/>
    <s v="Completed"/>
  </r>
  <r>
    <x v="643"/>
    <d v="2025-01-10T00:00:00"/>
    <s v="13:00"/>
    <s v="Friday"/>
    <x v="9"/>
    <s v="Q1"/>
    <s v="Winter"/>
    <s v="S07"/>
    <x v="3"/>
    <x v="3"/>
    <s v="South"/>
    <s v="C2651"/>
    <x v="0"/>
    <s v="Platinum"/>
    <s v="P004"/>
    <x v="10"/>
    <x v="1"/>
    <s v="Small"/>
    <n v="1"/>
    <n v="50.7"/>
    <n v="12"/>
    <n v="22"/>
    <n v="84.7"/>
    <n v="169"/>
    <n v="0"/>
    <n v="169"/>
    <n v="84.3"/>
    <n v="49.88"/>
    <x v="3"/>
    <s v="Delivery"/>
    <s v="Rohan"/>
    <n v="4"/>
    <s v="Completed"/>
  </r>
  <r>
    <x v="644"/>
    <d v="2025-12-10T00:00:00"/>
    <s v="18:15"/>
    <s v="Wednesday"/>
    <x v="8"/>
    <s v="Q4"/>
    <s v="Winter"/>
    <s v="S14"/>
    <x v="4"/>
    <x v="4"/>
    <s v="North"/>
    <s v="C2652"/>
    <x v="2"/>
    <s v="Gold"/>
    <s v="P003"/>
    <x v="3"/>
    <x v="1"/>
    <s v="Large"/>
    <n v="2"/>
    <n v="91.98"/>
    <n v="12"/>
    <n v="22"/>
    <n v="125.98"/>
    <n v="306.60000000000002"/>
    <n v="10"/>
    <n v="551.88"/>
    <n v="299.92"/>
    <n v="54.35"/>
    <x v="2"/>
    <s v="Dine-In"/>
    <s v="Kabir"/>
    <n v="4"/>
    <s v="Completed"/>
  </r>
  <r>
    <x v="645"/>
    <d v="2025-03-17T00:00:00"/>
    <s v="13:30"/>
    <s v="Monday"/>
    <x v="5"/>
    <s v="Q1"/>
    <s v="Autumn"/>
    <s v="S10"/>
    <x v="1"/>
    <x v="1"/>
    <s v="South"/>
    <s v="C2653"/>
    <x v="1"/>
    <s v="Gold"/>
    <s v="P027"/>
    <x v="13"/>
    <x v="3"/>
    <s v="Medium"/>
    <n v="3"/>
    <n v="82.44"/>
    <n v="12"/>
    <n v="22"/>
    <n v="116.44"/>
    <n v="274.8"/>
    <n v="5"/>
    <n v="783.18"/>
    <n v="433.86"/>
    <n v="55.4"/>
    <x v="2"/>
    <s v="Dine-In"/>
    <s v="Meera"/>
    <n v="4"/>
    <s v="Completed"/>
  </r>
  <r>
    <x v="646"/>
    <d v="2025-01-07T00:00:00"/>
    <s v="13:45"/>
    <s v="Tuesday"/>
    <x v="9"/>
    <s v="Q1"/>
    <s v="Winter"/>
    <s v="S04"/>
    <x v="5"/>
    <x v="5"/>
    <s v="West"/>
    <s v="C2654"/>
    <x v="0"/>
    <s v="Gold"/>
    <s v="P002"/>
    <x v="2"/>
    <x v="1"/>
    <s v="Small"/>
    <n v="1"/>
    <n v="71.7"/>
    <n v="12"/>
    <n v="22"/>
    <n v="105.7"/>
    <n v="239"/>
    <n v="0"/>
    <n v="239"/>
    <n v="133.30000000000001"/>
    <n v="55.77"/>
    <x v="1"/>
    <s v="Dine-In"/>
    <s v="Kabir"/>
    <n v="5"/>
    <s v="Completed"/>
  </r>
  <r>
    <x v="647"/>
    <d v="2025-07-15T00:00:00"/>
    <s v="13:45"/>
    <s v="Tuesday"/>
    <x v="6"/>
    <s v="Q3"/>
    <s v="Monsoon"/>
    <s v="S12"/>
    <x v="2"/>
    <x v="2"/>
    <s v="East"/>
    <s v="C2655"/>
    <x v="2"/>
    <s v="Platinum"/>
    <s v="P027"/>
    <x v="13"/>
    <x v="3"/>
    <s v="Large"/>
    <n v="2"/>
    <n v="96.18"/>
    <n v="12"/>
    <n v="22"/>
    <n v="130.18"/>
    <n v="320.60000000000002"/>
    <n v="0"/>
    <n v="641.20000000000005"/>
    <n v="380.84"/>
    <n v="59.39"/>
    <x v="2"/>
    <s v="Dine-In"/>
    <s v="Aarav"/>
    <n v="5"/>
    <s v="Completed"/>
  </r>
  <r>
    <x v="648"/>
    <d v="2025-07-05T00:00:00"/>
    <s v="13:15"/>
    <s v="Saturday"/>
    <x v="6"/>
    <s v="Q3"/>
    <s v="Monsoon"/>
    <s v="S14"/>
    <x v="4"/>
    <x v="4"/>
    <s v="North"/>
    <s v="C2657"/>
    <x v="2"/>
    <s v="Platinum"/>
    <s v="P042"/>
    <x v="14"/>
    <x v="5"/>
    <s v="Small"/>
    <n v="4"/>
    <n v="98.7"/>
    <n v="12"/>
    <n v="22"/>
    <n v="132.69999999999999"/>
    <n v="329"/>
    <n v="15"/>
    <n v="1118.5999999999999"/>
    <n v="587.79999999999995"/>
    <n v="52.55"/>
    <x v="3"/>
    <s v="Takeaway"/>
    <s v="Aarav"/>
    <n v="4"/>
    <s v="Completed"/>
  </r>
  <r>
    <x v="649"/>
    <d v="2025-04-02T00:00:00"/>
    <s v="18:30"/>
    <s v="Wednesday"/>
    <x v="11"/>
    <s v="Q2"/>
    <s v="Summer"/>
    <s v="S01"/>
    <x v="0"/>
    <x v="0"/>
    <s v="North"/>
    <s v="C2658"/>
    <x v="0"/>
    <s v="Silver"/>
    <s v="P003"/>
    <x v="3"/>
    <x v="1"/>
    <s v="Small"/>
    <n v="2"/>
    <n v="65.7"/>
    <n v="12"/>
    <n v="22"/>
    <n v="99.7"/>
    <n v="219"/>
    <n v="10"/>
    <n v="394.2"/>
    <n v="194.8"/>
    <n v="49.42"/>
    <x v="3"/>
    <s v="Dine-In"/>
    <s v="Kabir"/>
    <n v="5"/>
    <s v="Completed"/>
  </r>
  <r>
    <x v="650"/>
    <d v="2025-10-02T00:00:00"/>
    <s v="09:00"/>
    <s v="Thursday"/>
    <x v="0"/>
    <s v="Q4"/>
    <s v="Autumn"/>
    <s v="S01"/>
    <x v="0"/>
    <x v="0"/>
    <s v="North"/>
    <s v="C2659"/>
    <x v="1"/>
    <s v="Silver"/>
    <s v="P002"/>
    <x v="2"/>
    <x v="1"/>
    <s v="Medium"/>
    <n v="1"/>
    <n v="86.04"/>
    <n v="12"/>
    <n v="22"/>
    <n v="120.04"/>
    <n v="286.8"/>
    <n v="0"/>
    <n v="286.8"/>
    <n v="166.76"/>
    <n v="58.15"/>
    <x v="2"/>
    <s v="Delivery"/>
    <s v="Kabir"/>
    <n v="4"/>
    <s v="Completed"/>
  </r>
  <r>
    <x v="651"/>
    <d v="2025-12-19T00:00:00"/>
    <s v="09:45"/>
    <s v="Friday"/>
    <x v="8"/>
    <s v="Q4"/>
    <s v="Winter"/>
    <s v="S04"/>
    <x v="5"/>
    <x v="5"/>
    <s v="West"/>
    <s v="C2660"/>
    <x v="2"/>
    <s v="Platinum"/>
    <s v="P014"/>
    <x v="4"/>
    <x v="2"/>
    <s v="Small"/>
    <n v="3"/>
    <n v="44.7"/>
    <n v="12"/>
    <n v="22"/>
    <n v="78.7"/>
    <n v="149"/>
    <n v="0"/>
    <n v="447"/>
    <n v="210.9"/>
    <n v="47.18"/>
    <x v="1"/>
    <s v="Takeaway"/>
    <s v="Aarav"/>
    <n v="4"/>
    <s v="Completed"/>
  </r>
  <r>
    <x v="652"/>
    <d v="2025-11-05T00:00:00"/>
    <s v="18:15"/>
    <s v="Wednesday"/>
    <x v="1"/>
    <s v="Q4"/>
    <s v="Autumn"/>
    <s v="S14"/>
    <x v="4"/>
    <x v="4"/>
    <s v="North"/>
    <s v="C2661"/>
    <x v="0"/>
    <s v="Silver"/>
    <s v="P020"/>
    <x v="9"/>
    <x v="4"/>
    <s v="Large"/>
    <n v="1"/>
    <n v="66.78"/>
    <n v="12"/>
    <n v="22"/>
    <n v="100.78"/>
    <n v="222.6"/>
    <n v="0"/>
    <n v="222.6"/>
    <n v="121.82"/>
    <n v="54.73"/>
    <x v="3"/>
    <s v="Delivery"/>
    <s v="Diya"/>
    <n v="5"/>
    <s v="Completed"/>
  </r>
  <r>
    <x v="653"/>
    <d v="2025-10-31T00:00:00"/>
    <s v="09:45"/>
    <s v="Friday"/>
    <x v="0"/>
    <s v="Q4"/>
    <s v="Autumn"/>
    <s v="S01"/>
    <x v="0"/>
    <x v="0"/>
    <s v="North"/>
    <s v="C2662"/>
    <x v="0"/>
    <s v="Platinum"/>
    <s v="P002"/>
    <x v="2"/>
    <x v="1"/>
    <s v="Large"/>
    <n v="1"/>
    <n v="100.38"/>
    <n v="12"/>
    <n v="22"/>
    <n v="134.38"/>
    <n v="334.6"/>
    <n v="0"/>
    <n v="334.6"/>
    <n v="200.22"/>
    <n v="59.84"/>
    <x v="2"/>
    <s v="Delivery"/>
    <s v="Meera"/>
    <n v="4"/>
    <s v="Completed"/>
  </r>
  <r>
    <x v="654"/>
    <d v="2025-06-30T00:00:00"/>
    <s v="13:00"/>
    <s v="Monday"/>
    <x v="10"/>
    <s v="Q2"/>
    <s v="Summer"/>
    <s v="S10"/>
    <x v="1"/>
    <x v="1"/>
    <s v="South"/>
    <s v="C2663"/>
    <x v="0"/>
    <s v="Silver"/>
    <s v="P033"/>
    <x v="8"/>
    <x v="0"/>
    <s v="Large"/>
    <n v="3"/>
    <n v="104.58"/>
    <n v="12"/>
    <n v="22"/>
    <n v="138.58000000000001"/>
    <n v="348.6"/>
    <n v="0"/>
    <n v="1045.8"/>
    <n v="630.05999999999995"/>
    <n v="60.25"/>
    <x v="3"/>
    <s v="Dine-In"/>
    <s v="Meera"/>
    <n v="5"/>
    <s v="Completed"/>
  </r>
  <r>
    <x v="655"/>
    <d v="2025-12-27T00:00:00"/>
    <s v="18:45"/>
    <s v="Saturday"/>
    <x v="8"/>
    <s v="Q4"/>
    <s v="Winter"/>
    <s v="S04"/>
    <x v="5"/>
    <x v="5"/>
    <s v="West"/>
    <s v="C2664"/>
    <x v="0"/>
    <s v="Platinum"/>
    <s v="P042"/>
    <x v="14"/>
    <x v="5"/>
    <s v="Medium"/>
    <n v="2"/>
    <n v="118.44"/>
    <n v="12"/>
    <n v="22"/>
    <n v="152.44"/>
    <n v="394.8"/>
    <n v="10"/>
    <n v="710.64"/>
    <n v="405.76"/>
    <n v="57.1"/>
    <x v="3"/>
    <s v="Dine-In"/>
    <s v="Diya"/>
    <n v="5"/>
    <s v="Completed"/>
  </r>
  <r>
    <x v="656"/>
    <d v="2025-01-26T00:00:00"/>
    <s v="08:15"/>
    <s v="Sunday"/>
    <x v="9"/>
    <s v="Q1"/>
    <s v="Winter"/>
    <s v="S04"/>
    <x v="5"/>
    <x v="5"/>
    <s v="West"/>
    <s v="C2665"/>
    <x v="1"/>
    <s v="Silver"/>
    <s v="P003"/>
    <x v="3"/>
    <x v="1"/>
    <s v="Small"/>
    <n v="2"/>
    <n v="65.7"/>
    <n v="12"/>
    <n v="22"/>
    <n v="99.7"/>
    <n v="219"/>
    <n v="10"/>
    <n v="394.2"/>
    <n v="194.8"/>
    <n v="49.42"/>
    <x v="0"/>
    <s v="Delivery"/>
    <s v="Meera"/>
    <n v="3"/>
    <s v="Completed"/>
  </r>
  <r>
    <x v="657"/>
    <d v="2025-01-18T00:00:00"/>
    <s v="18:45"/>
    <s v="Saturday"/>
    <x v="9"/>
    <s v="Q1"/>
    <s v="Winter"/>
    <s v="S07"/>
    <x v="3"/>
    <x v="3"/>
    <s v="South"/>
    <s v="C2666"/>
    <x v="0"/>
    <s v="Gold"/>
    <s v="P004"/>
    <x v="10"/>
    <x v="1"/>
    <s v="Medium"/>
    <n v="3"/>
    <n v="60.84"/>
    <n v="12"/>
    <n v="22"/>
    <n v="94.84"/>
    <n v="202.8"/>
    <n v="10"/>
    <n v="547.55999999999995"/>
    <n v="263.04000000000002"/>
    <n v="48.04"/>
    <x v="3"/>
    <s v="Delivery"/>
    <s v="Rohan"/>
    <n v="4"/>
    <s v="Completed"/>
  </r>
  <r>
    <x v="658"/>
    <d v="2025-04-18T00:00:00"/>
    <s v="08:45"/>
    <s v="Friday"/>
    <x v="11"/>
    <s v="Q2"/>
    <s v="Summer"/>
    <s v="S04"/>
    <x v="5"/>
    <x v="5"/>
    <s v="West"/>
    <s v="C2667"/>
    <x v="2"/>
    <s v="Gold"/>
    <s v="P013"/>
    <x v="5"/>
    <x v="2"/>
    <s v="Small"/>
    <n v="1"/>
    <n v="38.700000000000003"/>
    <n v="12"/>
    <n v="22"/>
    <n v="72.7"/>
    <n v="129"/>
    <n v="10"/>
    <n v="116.1"/>
    <n v="43.4"/>
    <n v="37.380000000000003"/>
    <x v="3"/>
    <s v="Takeaway"/>
    <s v="Kabir"/>
    <n v="5"/>
    <s v="Completed"/>
  </r>
  <r>
    <x v="659"/>
    <d v="2025-01-05T00:00:00"/>
    <s v="08:45"/>
    <s v="Sunday"/>
    <x v="9"/>
    <s v="Q1"/>
    <s v="Winter"/>
    <s v="S14"/>
    <x v="4"/>
    <x v="4"/>
    <s v="North"/>
    <s v="C2668"/>
    <x v="2"/>
    <s v="Silver"/>
    <s v="P002"/>
    <x v="2"/>
    <x v="1"/>
    <s v="Large"/>
    <n v="3"/>
    <n v="100.38"/>
    <n v="12"/>
    <n v="22"/>
    <n v="134.38"/>
    <n v="334.6"/>
    <n v="10"/>
    <n v="903.42"/>
    <n v="500.28"/>
    <n v="55.38"/>
    <x v="3"/>
    <s v="Delivery"/>
    <s v="Diya"/>
    <n v="4"/>
    <s v="Completed"/>
  </r>
  <r>
    <x v="660"/>
    <d v="2025-04-03T00:00:00"/>
    <s v="17:30"/>
    <s v="Thursday"/>
    <x v="11"/>
    <s v="Q2"/>
    <s v="Summer"/>
    <s v="S01"/>
    <x v="0"/>
    <x v="0"/>
    <s v="North"/>
    <s v="C2669"/>
    <x v="2"/>
    <s v="Gold"/>
    <s v="P004"/>
    <x v="10"/>
    <x v="1"/>
    <s v="Medium"/>
    <n v="1"/>
    <n v="60.84"/>
    <n v="12"/>
    <n v="22"/>
    <n v="94.84"/>
    <n v="202.8"/>
    <n v="10"/>
    <n v="182.52"/>
    <n v="87.68"/>
    <n v="48.04"/>
    <x v="0"/>
    <s v="Dine-In"/>
    <s v="Diya"/>
    <n v="5"/>
    <s v="Completed"/>
  </r>
  <r>
    <x v="661"/>
    <d v="2025-11-01T00:00:00"/>
    <s v="14:30"/>
    <s v="Saturday"/>
    <x v="1"/>
    <s v="Q4"/>
    <s v="Autumn"/>
    <s v="S07"/>
    <x v="3"/>
    <x v="3"/>
    <s v="South"/>
    <s v="C2670"/>
    <x v="2"/>
    <s v="Platinum"/>
    <s v="P034"/>
    <x v="0"/>
    <x v="0"/>
    <s v="Large"/>
    <n v="3"/>
    <n v="108.78"/>
    <n v="12"/>
    <n v="22"/>
    <n v="142.78"/>
    <n v="362.6"/>
    <n v="10"/>
    <n v="979.02"/>
    <n v="550.67999999999995"/>
    <n v="56.25"/>
    <x v="0"/>
    <s v="Dine-In"/>
    <s v="Kabir"/>
    <n v="5"/>
    <s v="Completed"/>
  </r>
  <r>
    <x v="662"/>
    <d v="2025-04-20T00:00:00"/>
    <s v="09:15"/>
    <s v="Sunday"/>
    <x v="11"/>
    <s v="Q2"/>
    <s v="Summer"/>
    <s v="S12"/>
    <x v="2"/>
    <x v="2"/>
    <s v="East"/>
    <s v="C2671"/>
    <x v="1"/>
    <s v="Gold"/>
    <s v="P004"/>
    <x v="10"/>
    <x v="1"/>
    <s v="Medium"/>
    <n v="1"/>
    <n v="60.84"/>
    <n v="12"/>
    <n v="22"/>
    <n v="94.84"/>
    <n v="202.8"/>
    <n v="10"/>
    <n v="182.52"/>
    <n v="87.68"/>
    <n v="48.04"/>
    <x v="2"/>
    <s v="Takeaway"/>
    <s v="Meera"/>
    <n v="5"/>
    <s v="Completed"/>
  </r>
  <r>
    <x v="663"/>
    <d v="2025-10-21T00:00:00"/>
    <s v="13:30"/>
    <s v="Tuesday"/>
    <x v="0"/>
    <s v="Q4"/>
    <s v="Autumn"/>
    <s v="S07"/>
    <x v="3"/>
    <x v="3"/>
    <s v="South"/>
    <s v="C2672"/>
    <x v="1"/>
    <s v="Gold"/>
    <s v="P036"/>
    <x v="11"/>
    <x v="0"/>
    <s v="Small"/>
    <n v="1"/>
    <n v="47.7"/>
    <n v="12"/>
    <n v="22"/>
    <n v="81.7"/>
    <n v="159"/>
    <n v="10"/>
    <n v="143.1"/>
    <n v="61.4"/>
    <n v="42.91"/>
    <x v="1"/>
    <s v="Dine-In"/>
    <s v="Diya"/>
    <n v="5"/>
    <s v="Completed"/>
  </r>
  <r>
    <x v="664"/>
    <d v="2025-07-03T00:00:00"/>
    <s v="13:15"/>
    <s v="Thursday"/>
    <x v="6"/>
    <s v="Q3"/>
    <s v="Monsoon"/>
    <s v="S12"/>
    <x v="2"/>
    <x v="2"/>
    <s v="East"/>
    <s v="C2673"/>
    <x v="1"/>
    <s v="Gold"/>
    <s v="P034"/>
    <x v="0"/>
    <x v="0"/>
    <s v="Medium"/>
    <n v="3"/>
    <n v="93.24"/>
    <n v="12"/>
    <n v="22"/>
    <n v="127.24"/>
    <n v="310.8"/>
    <n v="5"/>
    <n v="885.78"/>
    <n v="504.06"/>
    <n v="56.91"/>
    <x v="2"/>
    <s v="Delivery"/>
    <s v="Aarav"/>
    <n v="5"/>
    <s v="Completed"/>
  </r>
  <r>
    <x v="665"/>
    <d v="2025-08-18T00:00:00"/>
    <s v="13:00"/>
    <s v="Monday"/>
    <x v="4"/>
    <s v="Q3"/>
    <s v="Monsoon"/>
    <s v="S12"/>
    <x v="2"/>
    <x v="2"/>
    <s v="East"/>
    <s v="C2674"/>
    <x v="2"/>
    <s v="Gold"/>
    <s v="P001"/>
    <x v="1"/>
    <x v="1"/>
    <s v="Large"/>
    <n v="1"/>
    <n v="62.58"/>
    <n v="12"/>
    <n v="22"/>
    <n v="96.58"/>
    <n v="208.6"/>
    <n v="5"/>
    <n v="198.17"/>
    <n v="101.59"/>
    <n v="51.26"/>
    <x v="2"/>
    <s v="Takeaway"/>
    <s v="Kabir"/>
    <n v="5"/>
    <s v="Completed"/>
  </r>
  <r>
    <x v="666"/>
    <d v="2025-09-06T00:00:00"/>
    <s v="17:30"/>
    <s v="Saturday"/>
    <x v="2"/>
    <s v="Q3"/>
    <s v="Monsoon"/>
    <s v="S07"/>
    <x v="3"/>
    <x v="3"/>
    <s v="South"/>
    <s v="C2675"/>
    <x v="2"/>
    <s v="Silver"/>
    <s v="P003"/>
    <x v="3"/>
    <x v="1"/>
    <s v="Medium"/>
    <n v="3"/>
    <n v="78.84"/>
    <n v="12"/>
    <n v="22"/>
    <n v="112.84"/>
    <n v="262.8"/>
    <n v="10"/>
    <n v="709.56"/>
    <n v="371.04"/>
    <n v="52.29"/>
    <x v="0"/>
    <s v="Takeaway"/>
    <s v="Meera"/>
    <n v="5"/>
    <s v="Completed"/>
  </r>
  <r>
    <x v="667"/>
    <d v="2025-07-02T00:00:00"/>
    <s v="17:00"/>
    <s v="Wednesday"/>
    <x v="6"/>
    <s v="Q3"/>
    <s v="Monsoon"/>
    <s v="S01"/>
    <x v="0"/>
    <x v="0"/>
    <s v="North"/>
    <s v="C2676"/>
    <x v="1"/>
    <s v="Silver"/>
    <s v="P004"/>
    <x v="10"/>
    <x v="1"/>
    <s v="Small"/>
    <n v="2"/>
    <n v="50.7"/>
    <n v="12"/>
    <n v="22"/>
    <n v="84.7"/>
    <n v="169"/>
    <n v="0"/>
    <n v="338"/>
    <n v="168.6"/>
    <n v="49.88"/>
    <x v="3"/>
    <s v="Dine-In"/>
    <s v="Diya"/>
    <n v="4"/>
    <s v="Completed"/>
  </r>
  <r>
    <x v="668"/>
    <d v="2025-01-05T00:00:00"/>
    <s v="09:45"/>
    <s v="Sunday"/>
    <x v="9"/>
    <s v="Q1"/>
    <s v="Winter"/>
    <s v="S14"/>
    <x v="4"/>
    <x v="4"/>
    <s v="North"/>
    <s v="C2677"/>
    <x v="0"/>
    <s v="Silver"/>
    <s v="P002"/>
    <x v="2"/>
    <x v="1"/>
    <s v="Large"/>
    <n v="3"/>
    <n v="100.38"/>
    <n v="12"/>
    <n v="22"/>
    <n v="134.38"/>
    <n v="334.6"/>
    <n v="15"/>
    <n v="853.23"/>
    <n v="450.09"/>
    <n v="52.75"/>
    <x v="1"/>
    <s v="Delivery"/>
    <s v="Diya"/>
    <n v="5"/>
    <s v="Completed"/>
  </r>
  <r>
    <x v="669"/>
    <d v="2025-12-06T00:00:00"/>
    <s v="14:15"/>
    <s v="Saturday"/>
    <x v="8"/>
    <s v="Q4"/>
    <s v="Winter"/>
    <s v="S01"/>
    <x v="0"/>
    <x v="0"/>
    <s v="North"/>
    <s v="C2678"/>
    <x v="1"/>
    <s v="Gold"/>
    <s v="P004"/>
    <x v="10"/>
    <x v="1"/>
    <s v="Large"/>
    <n v="2"/>
    <n v="70.98"/>
    <n v="12"/>
    <n v="22"/>
    <n v="104.98"/>
    <n v="236.6"/>
    <n v="15"/>
    <n v="402.22"/>
    <n v="192.26"/>
    <n v="47.8"/>
    <x v="3"/>
    <s v="Dine-In"/>
    <s v="Diya"/>
    <n v="5"/>
    <s v="Completed"/>
  </r>
  <r>
    <x v="670"/>
    <d v="2025-02-17T00:00:00"/>
    <s v="08:30"/>
    <s v="Monday"/>
    <x v="3"/>
    <s v="Q1"/>
    <s v="Winter"/>
    <s v="S10"/>
    <x v="1"/>
    <x v="1"/>
    <s v="South"/>
    <s v="C2679"/>
    <x v="1"/>
    <s v="Silver"/>
    <s v="P013"/>
    <x v="5"/>
    <x v="2"/>
    <s v="Small"/>
    <n v="2"/>
    <n v="38.700000000000003"/>
    <n v="12"/>
    <n v="22"/>
    <n v="72.7"/>
    <n v="129"/>
    <n v="0"/>
    <n v="258"/>
    <n v="112.6"/>
    <n v="43.64"/>
    <x v="1"/>
    <s v="Takeaway"/>
    <s v="Kabir"/>
    <n v="4"/>
    <s v="Completed"/>
  </r>
  <r>
    <x v="671"/>
    <d v="2025-07-11T00:00:00"/>
    <s v="14:45"/>
    <s v="Friday"/>
    <x v="6"/>
    <s v="Q3"/>
    <s v="Monsoon"/>
    <s v="S12"/>
    <x v="2"/>
    <x v="2"/>
    <s v="East"/>
    <s v="C2680"/>
    <x v="2"/>
    <s v="Platinum"/>
    <s v="P033"/>
    <x v="8"/>
    <x v="0"/>
    <s v="Large"/>
    <n v="3"/>
    <n v="104.58"/>
    <n v="12"/>
    <n v="22"/>
    <n v="138.58000000000001"/>
    <n v="348.6"/>
    <n v="10"/>
    <n v="941.22"/>
    <n v="525.48"/>
    <n v="55.83"/>
    <x v="3"/>
    <s v="Takeaway"/>
    <s v="Rohan"/>
    <n v="5"/>
    <s v="Completed"/>
  </r>
  <r>
    <x v="672"/>
    <d v="2025-11-18T00:00:00"/>
    <s v="08:00"/>
    <s v="Tuesday"/>
    <x v="1"/>
    <s v="Q4"/>
    <s v="Autumn"/>
    <s v="S01"/>
    <x v="0"/>
    <x v="0"/>
    <s v="North"/>
    <s v="C2681"/>
    <x v="1"/>
    <s v="Gold"/>
    <s v="P004"/>
    <x v="10"/>
    <x v="1"/>
    <s v="Medium"/>
    <n v="3"/>
    <n v="60.84"/>
    <n v="12"/>
    <n v="22"/>
    <n v="94.84"/>
    <n v="202.8"/>
    <n v="5"/>
    <n v="577.98"/>
    <n v="293.45999999999998"/>
    <n v="50.77"/>
    <x v="2"/>
    <s v="Takeaway"/>
    <s v="Rohan"/>
    <n v="5"/>
    <s v="Completed"/>
  </r>
  <r>
    <x v="673"/>
    <d v="2025-07-23T00:00:00"/>
    <s v="18:00"/>
    <s v="Wednesday"/>
    <x v="6"/>
    <s v="Q3"/>
    <s v="Monsoon"/>
    <s v="S10"/>
    <x v="1"/>
    <x v="1"/>
    <s v="South"/>
    <s v="C2682"/>
    <x v="1"/>
    <s v="Silver"/>
    <s v="P001"/>
    <x v="1"/>
    <x v="1"/>
    <s v="Medium"/>
    <n v="1"/>
    <n v="53.64"/>
    <n v="12"/>
    <n v="22"/>
    <n v="87.64"/>
    <n v="178.8"/>
    <n v="10"/>
    <n v="160.91999999999999"/>
    <n v="73.28"/>
    <n v="45.54"/>
    <x v="1"/>
    <s v="Dine-In"/>
    <s v="Meera"/>
    <n v="5"/>
    <s v="Completed"/>
  </r>
  <r>
    <x v="674"/>
    <d v="2025-02-07T00:00:00"/>
    <s v="13:30"/>
    <s v="Friday"/>
    <x v="3"/>
    <s v="Q1"/>
    <s v="Winter"/>
    <s v="S14"/>
    <x v="4"/>
    <x v="4"/>
    <s v="North"/>
    <s v="C2683"/>
    <x v="1"/>
    <s v="Silver"/>
    <s v="P036"/>
    <x v="11"/>
    <x v="0"/>
    <s v="Small"/>
    <n v="3"/>
    <n v="47.7"/>
    <n v="12"/>
    <n v="22"/>
    <n v="81.7"/>
    <n v="159"/>
    <n v="0"/>
    <n v="477"/>
    <n v="231.9"/>
    <n v="48.62"/>
    <x v="2"/>
    <s v="Takeaway"/>
    <s v="Aarav"/>
    <n v="5"/>
    <s v="Completed"/>
  </r>
  <r>
    <x v="675"/>
    <d v="2025-08-23T00:00:00"/>
    <s v="17:45"/>
    <s v="Saturday"/>
    <x v="4"/>
    <s v="Q3"/>
    <s v="Monsoon"/>
    <s v="S12"/>
    <x v="2"/>
    <x v="2"/>
    <s v="East"/>
    <s v="C2684"/>
    <x v="1"/>
    <s v="Silver"/>
    <s v="P001"/>
    <x v="1"/>
    <x v="1"/>
    <s v="Medium"/>
    <n v="2"/>
    <n v="53.64"/>
    <n v="12"/>
    <n v="22"/>
    <n v="87.64"/>
    <n v="178.8"/>
    <n v="15"/>
    <n v="303.95999999999998"/>
    <n v="128.68"/>
    <n v="42.33"/>
    <x v="0"/>
    <s v="Dine-In"/>
    <s v="Kabir"/>
    <n v="4"/>
    <s v="Completed"/>
  </r>
  <r>
    <x v="676"/>
    <d v="2025-05-13T00:00:00"/>
    <s v="13:00"/>
    <s v="Tuesday"/>
    <x v="7"/>
    <s v="Q2"/>
    <s v="Summer"/>
    <s v="S14"/>
    <x v="4"/>
    <x v="4"/>
    <s v="North"/>
    <s v="C2685"/>
    <x v="1"/>
    <s v="Silver"/>
    <s v="P033"/>
    <x v="8"/>
    <x v="0"/>
    <s v="Small"/>
    <n v="3"/>
    <n v="74.7"/>
    <n v="12"/>
    <n v="22"/>
    <n v="108.7"/>
    <n v="249"/>
    <n v="5"/>
    <n v="709.65"/>
    <n v="383.55"/>
    <n v="54.05"/>
    <x v="1"/>
    <s v="Dine-In"/>
    <s v="Kabir"/>
    <n v="3"/>
    <s v="Completed"/>
  </r>
  <r>
    <x v="677"/>
    <d v="2025-12-05T00:00:00"/>
    <s v="08:30"/>
    <s v="Friday"/>
    <x v="8"/>
    <s v="Q4"/>
    <s v="Winter"/>
    <s v="S04"/>
    <x v="5"/>
    <x v="5"/>
    <s v="West"/>
    <s v="C2686"/>
    <x v="0"/>
    <s v="Gold"/>
    <s v="P003"/>
    <x v="3"/>
    <x v="1"/>
    <s v="Small"/>
    <n v="3"/>
    <n v="65.7"/>
    <n v="12"/>
    <n v="22"/>
    <n v="99.7"/>
    <n v="219"/>
    <n v="0"/>
    <n v="657"/>
    <n v="357.9"/>
    <n v="54.47"/>
    <x v="3"/>
    <s v="Takeaway"/>
    <s v="Diya"/>
    <n v="5"/>
    <s v="Completed"/>
  </r>
  <r>
    <x v="678"/>
    <d v="2025-08-03T00:00:00"/>
    <s v="08:00"/>
    <s v="Sunday"/>
    <x v="4"/>
    <s v="Q3"/>
    <s v="Monsoon"/>
    <s v="S10"/>
    <x v="1"/>
    <x v="1"/>
    <s v="South"/>
    <s v="C2687"/>
    <x v="1"/>
    <s v="Silver"/>
    <s v="P042"/>
    <x v="14"/>
    <x v="5"/>
    <s v="Large"/>
    <n v="3"/>
    <n v="138.18"/>
    <n v="12"/>
    <n v="22"/>
    <n v="172.18"/>
    <n v="460.6"/>
    <n v="10"/>
    <n v="1243.6199999999999"/>
    <n v="727.08"/>
    <n v="58.46"/>
    <x v="0"/>
    <s v="Dine-In"/>
    <s v="Diya"/>
    <n v="3"/>
    <s v="Completed"/>
  </r>
  <r>
    <x v="679"/>
    <d v="2025-02-25T00:00:00"/>
    <s v="18:00"/>
    <s v="Tuesday"/>
    <x v="3"/>
    <s v="Q1"/>
    <s v="Winter"/>
    <s v="S12"/>
    <x v="2"/>
    <x v="2"/>
    <s v="East"/>
    <s v="C2688"/>
    <x v="0"/>
    <s v="Platinum"/>
    <s v="P004"/>
    <x v="10"/>
    <x v="1"/>
    <s v="Large"/>
    <n v="1"/>
    <n v="70.98"/>
    <n v="12"/>
    <n v="22"/>
    <n v="104.98"/>
    <n v="236.6"/>
    <n v="10"/>
    <n v="212.94"/>
    <n v="107.96"/>
    <n v="50.7"/>
    <x v="1"/>
    <s v="Delivery"/>
    <s v="Kabir"/>
    <n v="5"/>
    <s v="Completed"/>
  </r>
  <r>
    <x v="680"/>
    <d v="2025-05-10T00:00:00"/>
    <s v="14:00"/>
    <s v="Saturday"/>
    <x v="7"/>
    <s v="Q2"/>
    <s v="Summer"/>
    <s v="S12"/>
    <x v="2"/>
    <x v="2"/>
    <s v="East"/>
    <s v="C2689"/>
    <x v="0"/>
    <s v="Gold"/>
    <s v="P028"/>
    <x v="6"/>
    <x v="3"/>
    <s v="Small"/>
    <n v="1"/>
    <n v="74.7"/>
    <n v="12"/>
    <n v="22"/>
    <n v="108.7"/>
    <n v="249"/>
    <n v="10"/>
    <n v="224.1"/>
    <n v="115.4"/>
    <n v="51.49"/>
    <x v="3"/>
    <s v="Delivery"/>
    <s v="Kabir"/>
    <n v="3"/>
    <s v="Completed"/>
  </r>
  <r>
    <x v="681"/>
    <d v="2025-05-18T00:00:00"/>
    <s v="13:30"/>
    <s v="Sunday"/>
    <x v="7"/>
    <s v="Q2"/>
    <s v="Summer"/>
    <s v="S10"/>
    <x v="1"/>
    <x v="1"/>
    <s v="South"/>
    <s v="C2690"/>
    <x v="2"/>
    <s v="Gold"/>
    <s v="P036"/>
    <x v="11"/>
    <x v="0"/>
    <s v="Small"/>
    <n v="3"/>
    <n v="47.7"/>
    <n v="12"/>
    <n v="22"/>
    <n v="81.7"/>
    <n v="159"/>
    <n v="10"/>
    <n v="429.3"/>
    <n v="184.2"/>
    <n v="42.91"/>
    <x v="3"/>
    <s v="Dine-In"/>
    <s v="Aarav"/>
    <n v="3"/>
    <s v="Completed"/>
  </r>
  <r>
    <x v="682"/>
    <d v="2025-06-06T00:00:00"/>
    <s v="09:45"/>
    <s v="Friday"/>
    <x v="10"/>
    <s v="Q2"/>
    <s v="Summer"/>
    <s v="S14"/>
    <x v="4"/>
    <x v="4"/>
    <s v="North"/>
    <s v="C2692"/>
    <x v="1"/>
    <s v="Gold"/>
    <s v="P004"/>
    <x v="10"/>
    <x v="1"/>
    <s v="Small"/>
    <n v="3"/>
    <n v="50.7"/>
    <n v="12"/>
    <n v="22"/>
    <n v="84.7"/>
    <n v="169"/>
    <n v="0"/>
    <n v="456.3"/>
    <n v="202.2"/>
    <n v="44.31"/>
    <x v="1"/>
    <s v="Takeaway"/>
    <s v="Meera"/>
    <n v="5"/>
    <s v="Completed"/>
  </r>
  <r>
    <x v="683"/>
    <d v="2025-08-29T00:00:00"/>
    <s v="09:30"/>
    <s v="Friday"/>
    <x v="4"/>
    <s v="Q3"/>
    <s v="Monsoon"/>
    <s v="S04"/>
    <x v="5"/>
    <x v="5"/>
    <s v="West"/>
    <s v="C2693"/>
    <x v="0"/>
    <s v="Platinum"/>
    <s v="P001"/>
    <x v="1"/>
    <x v="1"/>
    <s v="Large"/>
    <n v="1"/>
    <n v="62.58"/>
    <n v="12"/>
    <n v="22"/>
    <n v="96.58"/>
    <n v="208.6"/>
    <n v="0"/>
    <n v="208.6"/>
    <n v="112.02"/>
    <n v="53.7"/>
    <x v="1"/>
    <s v="Takeaway"/>
    <s v="Diya"/>
    <s v="Not Rated"/>
    <s v="Completed"/>
  </r>
  <r>
    <x v="684"/>
    <d v="2025-12-20T00:00:00"/>
    <s v="17:00"/>
    <s v="Saturday"/>
    <x v="8"/>
    <s v="Q4"/>
    <s v="Winter"/>
    <s v="S14"/>
    <x v="4"/>
    <x v="4"/>
    <s v="North"/>
    <s v="C2694"/>
    <x v="1"/>
    <s v="Platinum"/>
    <s v="P041"/>
    <x v="12"/>
    <x v="5"/>
    <s v="Large"/>
    <n v="1"/>
    <n v="125.58"/>
    <n v="12"/>
    <n v="22"/>
    <n v="159.58000000000001"/>
    <n v="418.6"/>
    <n v="15"/>
    <n v="355.81"/>
    <n v="196.23"/>
    <n v="55.15"/>
    <x v="0"/>
    <s v="Delivery"/>
    <s v="Aarav"/>
    <n v="4"/>
    <s v="Completed"/>
  </r>
  <r>
    <x v="685"/>
    <d v="2025-11-14T00:00:00"/>
    <s v="08:30"/>
    <s v="Friday"/>
    <x v="1"/>
    <s v="Q4"/>
    <s v="Autumn"/>
    <s v="S04"/>
    <x v="5"/>
    <x v="5"/>
    <s v="West"/>
    <s v="C2695"/>
    <x v="1"/>
    <s v="Platinum"/>
    <s v="P002"/>
    <x v="2"/>
    <x v="1"/>
    <s v="Small"/>
    <n v="1"/>
    <n v="71.7"/>
    <n v="12"/>
    <n v="22"/>
    <n v="105.7"/>
    <n v="239"/>
    <n v="5"/>
    <n v="227.05"/>
    <n v="121.35"/>
    <n v="53.45"/>
    <x v="3"/>
    <s v="Delivery"/>
    <s v="Kabir"/>
    <n v="5"/>
    <s v="Completed"/>
  </r>
  <r>
    <x v="686"/>
    <d v="2025-12-11T00:00:00"/>
    <s v="13:15"/>
    <s v="Thursday"/>
    <x v="8"/>
    <s v="Q4"/>
    <s v="Winter"/>
    <s v="S10"/>
    <x v="1"/>
    <x v="1"/>
    <s v="South"/>
    <s v="C2696"/>
    <x v="2"/>
    <s v="Silver"/>
    <s v="P003"/>
    <x v="3"/>
    <x v="1"/>
    <s v="Medium"/>
    <n v="3"/>
    <n v="78.84"/>
    <n v="12"/>
    <n v="22"/>
    <n v="112.84"/>
    <n v="262.8"/>
    <n v="5"/>
    <n v="748.98"/>
    <n v="410.46"/>
    <n v="54.8"/>
    <x v="1"/>
    <s v="Dine-In"/>
    <s v="Rohan"/>
    <n v="5"/>
    <s v="Completed"/>
  </r>
  <r>
    <x v="687"/>
    <d v="2025-05-21T00:00:00"/>
    <s v="17:15"/>
    <s v="Wednesday"/>
    <x v="7"/>
    <s v="Q2"/>
    <s v="Summer"/>
    <s v="S12"/>
    <x v="2"/>
    <x v="2"/>
    <s v="East"/>
    <s v="C2697"/>
    <x v="2"/>
    <s v="Gold"/>
    <s v="P019"/>
    <x v="7"/>
    <x v="4"/>
    <s v="Medium"/>
    <n v="1"/>
    <n v="71.64"/>
    <n v="12"/>
    <n v="22"/>
    <n v="105.64"/>
    <n v="238.8"/>
    <n v="0"/>
    <n v="238.8"/>
    <n v="133.16"/>
    <n v="55.76"/>
    <x v="3"/>
    <s v="Delivery"/>
    <s v="Aarav"/>
    <n v="5"/>
    <s v="Completed"/>
  </r>
  <r>
    <x v="688"/>
    <d v="2025-06-12T00:00:00"/>
    <s v="13:15"/>
    <s v="Thursday"/>
    <x v="10"/>
    <s v="Q2"/>
    <s v="Summer"/>
    <s v="S07"/>
    <x v="3"/>
    <x v="3"/>
    <s v="South"/>
    <s v="C2698"/>
    <x v="0"/>
    <s v="Platinum"/>
    <s v="P028"/>
    <x v="6"/>
    <x v="3"/>
    <s v="Small"/>
    <n v="1"/>
    <n v="74.7"/>
    <n v="12"/>
    <n v="22"/>
    <n v="108.7"/>
    <n v="249"/>
    <n v="5"/>
    <n v="236.55"/>
    <n v="127.85"/>
    <n v="54.05"/>
    <x v="3"/>
    <s v="Takeaway"/>
    <s v="Diya"/>
    <n v="5"/>
    <s v="Completed"/>
  </r>
  <r>
    <x v="689"/>
    <d v="2025-10-06T00:00:00"/>
    <s v="17:45"/>
    <s v="Monday"/>
    <x v="0"/>
    <s v="Q4"/>
    <s v="Autumn"/>
    <s v="S12"/>
    <x v="2"/>
    <x v="2"/>
    <s v="East"/>
    <s v="C2699"/>
    <x v="0"/>
    <s v="Gold"/>
    <s v="P003"/>
    <x v="3"/>
    <x v="1"/>
    <s v="Medium"/>
    <n v="3"/>
    <n v="78.84"/>
    <n v="12"/>
    <n v="22"/>
    <n v="112.84"/>
    <n v="262.8"/>
    <n v="0"/>
    <n v="788.4"/>
    <n v="449.88"/>
    <n v="57.06"/>
    <x v="2"/>
    <s v="Takeaway"/>
    <s v="Meera"/>
    <n v="5"/>
    <s v="Completed"/>
  </r>
  <r>
    <x v="690"/>
    <d v="2025-04-11T00:00:00"/>
    <s v="09:00"/>
    <s v="Friday"/>
    <x v="11"/>
    <s v="Q2"/>
    <s v="Summer"/>
    <s v="S07"/>
    <x v="3"/>
    <x v="3"/>
    <s v="South"/>
    <s v="C2700"/>
    <x v="1"/>
    <s v="Silver"/>
    <s v="P004"/>
    <x v="10"/>
    <x v="1"/>
    <s v="Large"/>
    <n v="1"/>
    <n v="70.98"/>
    <n v="12"/>
    <n v="22"/>
    <n v="104.98"/>
    <n v="236.6"/>
    <n v="5"/>
    <n v="224.77"/>
    <n v="119.79"/>
    <n v="53.29"/>
    <x v="3"/>
    <s v="Delivery"/>
    <s v="Diya"/>
    <n v="4"/>
    <s v="Completed"/>
  </r>
  <r>
    <x v="691"/>
    <d v="2025-06-05T00:00:00"/>
    <s v="14:00"/>
    <s v="Thursday"/>
    <x v="10"/>
    <s v="Q2"/>
    <s v="Summer"/>
    <s v="S14"/>
    <x v="4"/>
    <x v="4"/>
    <s v="North"/>
    <s v="C2701"/>
    <x v="0"/>
    <s v="Silver"/>
    <s v="P033"/>
    <x v="8"/>
    <x v="0"/>
    <s v="Large"/>
    <n v="1"/>
    <n v="104.58"/>
    <n v="12"/>
    <n v="22"/>
    <n v="138.58000000000001"/>
    <n v="348.6"/>
    <n v="0"/>
    <n v="348.6"/>
    <n v="210.02"/>
    <n v="60.25"/>
    <x v="0"/>
    <s v="Dine-In"/>
    <s v="Diya"/>
    <n v="5"/>
    <s v="Completed"/>
  </r>
  <r>
    <x v="692"/>
    <d v="2025-05-26T00:00:00"/>
    <s v="09:45"/>
    <s v="Monday"/>
    <x v="7"/>
    <s v="Q2"/>
    <s v="Summer"/>
    <s v="S01"/>
    <x v="0"/>
    <x v="0"/>
    <s v="North"/>
    <s v="C2702"/>
    <x v="1"/>
    <s v="Gold"/>
    <s v="P002"/>
    <x v="2"/>
    <x v="1"/>
    <s v="Medium"/>
    <n v="1"/>
    <n v="86.04"/>
    <n v="12"/>
    <n v="22"/>
    <n v="120.04"/>
    <n v="286.8"/>
    <n v="10"/>
    <n v="258.12"/>
    <n v="138.08000000000001"/>
    <n v="53.49"/>
    <x v="1"/>
    <s v="Dine-In"/>
    <s v="Rohan"/>
    <n v="5"/>
    <s v="Completed"/>
  </r>
  <r>
    <x v="693"/>
    <d v="2025-08-21T00:00:00"/>
    <s v="18:15"/>
    <s v="Thursday"/>
    <x v="4"/>
    <s v="Q3"/>
    <s v="Monsoon"/>
    <s v="S07"/>
    <x v="3"/>
    <x v="3"/>
    <s v="South"/>
    <s v="C2703"/>
    <x v="2"/>
    <s v="Platinum"/>
    <s v="P004"/>
    <x v="10"/>
    <x v="1"/>
    <s v="Large"/>
    <n v="1"/>
    <n v="70.98"/>
    <n v="12"/>
    <n v="22"/>
    <n v="104.98"/>
    <n v="236.6"/>
    <n v="0"/>
    <n v="236.6"/>
    <n v="131.62"/>
    <n v="55.63"/>
    <x v="3"/>
    <s v="Delivery"/>
    <s v="Kabir"/>
    <n v="3"/>
    <s v="Completed"/>
  </r>
  <r>
    <x v="694"/>
    <d v="2025-09-30T00:00:00"/>
    <s v="13:30"/>
    <s v="Tuesday"/>
    <x v="2"/>
    <s v="Q3"/>
    <s v="Monsoon"/>
    <s v="S04"/>
    <x v="5"/>
    <x v="5"/>
    <s v="West"/>
    <s v="C2704"/>
    <x v="2"/>
    <s v="Silver"/>
    <s v="P034"/>
    <x v="0"/>
    <x v="0"/>
    <s v="Large"/>
    <n v="1"/>
    <n v="108.78"/>
    <n v="12"/>
    <n v="22"/>
    <n v="142.78"/>
    <n v="362.6"/>
    <n v="5"/>
    <n v="344.47"/>
    <n v="201.69"/>
    <n v="58.55"/>
    <x v="3"/>
    <s v="Dine-In"/>
    <s v="Diya"/>
    <n v="4"/>
    <s v="Completed"/>
  </r>
  <r>
    <x v="695"/>
    <d v="2025-11-15T00:00:00"/>
    <s v="18:00"/>
    <s v="Saturday"/>
    <x v="1"/>
    <s v="Q4"/>
    <s v="Autumn"/>
    <s v="S01"/>
    <x v="0"/>
    <x v="0"/>
    <s v="North"/>
    <s v="C2705"/>
    <x v="1"/>
    <s v="Platinum"/>
    <s v="P042"/>
    <x v="14"/>
    <x v="5"/>
    <s v="Large"/>
    <n v="3"/>
    <n v="138.18"/>
    <n v="12"/>
    <n v="22"/>
    <n v="172.18"/>
    <n v="460.6"/>
    <n v="10"/>
    <n v="1243.6199999999999"/>
    <n v="727.08"/>
    <n v="58.46"/>
    <x v="0"/>
    <s v="Delivery"/>
    <s v="Diya"/>
    <n v="5"/>
    <s v="Completed"/>
  </r>
  <r>
    <x v="696"/>
    <d v="2025-04-07T00:00:00"/>
    <s v="08:15"/>
    <s v="Monday"/>
    <x v="11"/>
    <s v="Q2"/>
    <s v="Summer"/>
    <s v="S12"/>
    <x v="2"/>
    <x v="2"/>
    <s v="East"/>
    <s v="C2706"/>
    <x v="0"/>
    <s v="Silver"/>
    <s v="P003"/>
    <x v="3"/>
    <x v="1"/>
    <s v="Medium"/>
    <n v="2"/>
    <n v="78.84"/>
    <n v="12"/>
    <n v="22"/>
    <n v="112.84"/>
    <n v="262.8"/>
    <n v="5"/>
    <n v="499.32"/>
    <n v="273.64"/>
    <n v="54.8"/>
    <x v="3"/>
    <s v="Takeaway"/>
    <s v="Meera"/>
    <n v="5"/>
    <s v="Completed"/>
  </r>
  <r>
    <x v="697"/>
    <d v="2025-12-18T00:00:00"/>
    <s v="18:30"/>
    <s v="Thursday"/>
    <x v="8"/>
    <s v="Q4"/>
    <s v="Winter"/>
    <s v="S10"/>
    <x v="1"/>
    <x v="1"/>
    <s v="South"/>
    <s v="C2707"/>
    <x v="1"/>
    <s v="Platinum"/>
    <s v="P004"/>
    <x v="10"/>
    <x v="1"/>
    <s v="Large"/>
    <n v="1"/>
    <n v="70.98"/>
    <n v="12"/>
    <n v="22"/>
    <n v="104.98"/>
    <n v="236.6"/>
    <n v="0"/>
    <n v="236.6"/>
    <n v="131.62"/>
    <n v="55.63"/>
    <x v="1"/>
    <s v="Delivery"/>
    <s v="Rohan"/>
    <n v="5"/>
    <s v="Completed"/>
  </r>
  <r>
    <x v="698"/>
    <d v="2025-01-15T00:00:00"/>
    <s v="13:00"/>
    <s v="Wednesday"/>
    <x v="9"/>
    <s v="Q1"/>
    <s v="Winter"/>
    <s v="S12"/>
    <x v="2"/>
    <x v="2"/>
    <s v="East"/>
    <s v="C2708"/>
    <x v="0"/>
    <s v="Gold"/>
    <s v="P033"/>
    <x v="8"/>
    <x v="0"/>
    <s v="Small"/>
    <n v="1"/>
    <n v="74.7"/>
    <n v="12"/>
    <n v="22"/>
    <n v="108.7"/>
    <n v="249"/>
    <n v="5"/>
    <n v="236.55"/>
    <n v="127.85"/>
    <n v="54.05"/>
    <x v="0"/>
    <s v="Delivery"/>
    <s v="Meera"/>
    <n v="5"/>
    <s v="Completed"/>
  </r>
  <r>
    <x v="699"/>
    <d v="2025-07-11T00:00:00"/>
    <s v="09:45"/>
    <s v="Friday"/>
    <x v="6"/>
    <s v="Q3"/>
    <s v="Monsoon"/>
    <s v="S07"/>
    <x v="3"/>
    <x v="3"/>
    <s v="South"/>
    <s v="C2709"/>
    <x v="1"/>
    <s v="Gold"/>
    <s v="P013"/>
    <x v="5"/>
    <x v="2"/>
    <s v="Medium"/>
    <n v="3"/>
    <n v="46.44"/>
    <n v="12"/>
    <n v="22"/>
    <n v="80.44"/>
    <n v="154.80000000000001"/>
    <n v="0"/>
    <n v="464.4"/>
    <n v="223.08"/>
    <n v="48.04"/>
    <x v="0"/>
    <s v="Delivery"/>
    <s v="Diya"/>
    <n v="3"/>
    <s v="Completed"/>
  </r>
  <r>
    <x v="700"/>
    <d v="2025-12-31T00:00:00"/>
    <s v="18:45"/>
    <s v="Wednesday"/>
    <x v="8"/>
    <s v="Q4"/>
    <s v="Winter"/>
    <s v="S10"/>
    <x v="1"/>
    <x v="1"/>
    <s v="South"/>
    <s v="C2710"/>
    <x v="2"/>
    <s v="Platinum"/>
    <s v="P002"/>
    <x v="2"/>
    <x v="1"/>
    <s v="Large"/>
    <n v="3"/>
    <n v="100.38"/>
    <n v="12"/>
    <n v="22"/>
    <n v="134.38"/>
    <n v="334.6"/>
    <n v="5"/>
    <n v="953.61"/>
    <n v="550.47"/>
    <n v="57.72"/>
    <x v="3"/>
    <s v="Delivery"/>
    <s v="Kabir"/>
    <n v="4"/>
    <s v="Completed"/>
  </r>
  <r>
    <x v="701"/>
    <d v="2025-04-14T00:00:00"/>
    <s v="18:45"/>
    <s v="Monday"/>
    <x v="11"/>
    <s v="Q2"/>
    <s v="Summer"/>
    <s v="S12"/>
    <x v="2"/>
    <x v="2"/>
    <s v="East"/>
    <s v="C2711"/>
    <x v="2"/>
    <s v="Platinum"/>
    <s v="P001"/>
    <x v="1"/>
    <x v="1"/>
    <s v="Small"/>
    <n v="1"/>
    <n v="44.7"/>
    <n v="12"/>
    <n v="22"/>
    <n v="78.7"/>
    <n v="149"/>
    <n v="10"/>
    <n v="134.1"/>
    <n v="55.4"/>
    <n v="41.31"/>
    <x v="3"/>
    <s v="Dine-In"/>
    <s v="Meera"/>
    <n v="4"/>
    <s v="Completed"/>
  </r>
  <r>
    <x v="702"/>
    <d v="2025-01-26T00:00:00"/>
    <s v="08:45"/>
    <s v="Sunday"/>
    <x v="9"/>
    <s v="Q1"/>
    <s v="Winter"/>
    <s v="S01"/>
    <x v="0"/>
    <x v="0"/>
    <s v="North"/>
    <s v="C2712"/>
    <x v="2"/>
    <s v="Silver"/>
    <s v="P002"/>
    <x v="2"/>
    <x v="1"/>
    <s v="Medium"/>
    <n v="2"/>
    <n v="86.04"/>
    <n v="12"/>
    <n v="22"/>
    <n v="120.04"/>
    <n v="286.8"/>
    <n v="10"/>
    <n v="516.24"/>
    <n v="276.16000000000003"/>
    <n v="53.49"/>
    <x v="0"/>
    <s v="Delivery"/>
    <s v="Kabir"/>
    <n v="4"/>
    <s v="Completed"/>
  </r>
  <r>
    <x v="703"/>
    <d v="2025-06-02T00:00:00"/>
    <s v="13:00"/>
    <s v="Monday"/>
    <x v="10"/>
    <s v="Q2"/>
    <s v="Summer"/>
    <s v="S04"/>
    <x v="5"/>
    <x v="5"/>
    <s v="West"/>
    <s v="C2713"/>
    <x v="1"/>
    <s v="Platinum"/>
    <s v="P027"/>
    <x v="13"/>
    <x v="3"/>
    <s v="Small"/>
    <n v="3"/>
    <n v="68.7"/>
    <n v="12"/>
    <n v="22"/>
    <n v="102.7"/>
    <n v="229"/>
    <n v="0"/>
    <n v="687"/>
    <n v="378.9"/>
    <n v="55.15"/>
    <x v="1"/>
    <s v="Takeaway"/>
    <s v="Kabir"/>
    <n v="5"/>
    <s v="Completed"/>
  </r>
  <r>
    <x v="704"/>
    <d v="2025-05-03T00:00:00"/>
    <s v="18:30"/>
    <s v="Saturday"/>
    <x v="7"/>
    <s v="Q2"/>
    <s v="Summer"/>
    <s v="S07"/>
    <x v="3"/>
    <x v="3"/>
    <s v="South"/>
    <s v="C2714"/>
    <x v="1"/>
    <s v="Platinum"/>
    <s v="P036"/>
    <x v="11"/>
    <x v="0"/>
    <s v="Large"/>
    <n v="1"/>
    <n v="66.78"/>
    <n v="12"/>
    <n v="22"/>
    <n v="100.78"/>
    <n v="222.6"/>
    <n v="15"/>
    <n v="189.21"/>
    <n v="88.43"/>
    <n v="46.74"/>
    <x v="3"/>
    <s v="Dine-In"/>
    <s v="Meera"/>
    <n v="5"/>
    <s v="Completed"/>
  </r>
  <r>
    <x v="705"/>
    <d v="2025-05-03T00:00:00"/>
    <s v="14:45"/>
    <s v="Saturday"/>
    <x v="7"/>
    <s v="Q2"/>
    <s v="Summer"/>
    <s v="S14"/>
    <x v="4"/>
    <x v="4"/>
    <s v="North"/>
    <s v="C2715"/>
    <x v="0"/>
    <s v="Silver"/>
    <s v="P003"/>
    <x v="3"/>
    <x v="1"/>
    <s v="Small"/>
    <n v="1"/>
    <n v="65.7"/>
    <n v="12"/>
    <n v="22"/>
    <n v="99.7"/>
    <n v="219"/>
    <n v="10"/>
    <n v="197.1"/>
    <n v="97.4"/>
    <n v="49.42"/>
    <x v="2"/>
    <s v="Takeaway"/>
    <s v="Meera"/>
    <n v="4"/>
    <s v="Completed"/>
  </r>
  <r>
    <x v="706"/>
    <d v="2025-08-17T00:00:00"/>
    <s v="09:45"/>
    <s v="Sunday"/>
    <x v="4"/>
    <s v="Q3"/>
    <s v="Monsoon"/>
    <s v="S04"/>
    <x v="5"/>
    <x v="5"/>
    <s v="West"/>
    <s v="C2716"/>
    <x v="0"/>
    <s v="Platinum"/>
    <s v="P002"/>
    <x v="2"/>
    <x v="1"/>
    <s v="Large"/>
    <n v="2"/>
    <n v="100.38"/>
    <n v="12"/>
    <n v="22"/>
    <n v="134.38"/>
    <n v="334.6"/>
    <n v="10"/>
    <n v="602.28"/>
    <n v="333.52"/>
    <n v="55.38"/>
    <x v="1"/>
    <s v="Takeaway"/>
    <s v="Diya"/>
    <n v="4"/>
    <s v="Completed"/>
  </r>
  <r>
    <x v="707"/>
    <d v="2025-05-04T00:00:00"/>
    <s v="17:45"/>
    <s v="Sunday"/>
    <x v="7"/>
    <s v="Q2"/>
    <s v="Summer"/>
    <s v="S07"/>
    <x v="3"/>
    <x v="3"/>
    <s v="South"/>
    <s v="C2717"/>
    <x v="2"/>
    <s v="Gold"/>
    <s v="P002"/>
    <x v="2"/>
    <x v="1"/>
    <s v="Small"/>
    <n v="3"/>
    <n v="71.7"/>
    <n v="12"/>
    <n v="22"/>
    <n v="105.7"/>
    <n v="239"/>
    <n v="10"/>
    <n v="645.29999999999995"/>
    <n v="328.2"/>
    <n v="50.86"/>
    <x v="2"/>
    <s v="Dine-In"/>
    <s v="Rohan"/>
    <n v="5"/>
    <s v="Completed"/>
  </r>
  <r>
    <x v="708"/>
    <d v="2025-02-07T00:00:00"/>
    <s v="18:45"/>
    <s v="Friday"/>
    <x v="3"/>
    <s v="Q1"/>
    <s v="Winter"/>
    <s v="S10"/>
    <x v="1"/>
    <x v="1"/>
    <s v="South"/>
    <s v="C2718"/>
    <x v="0"/>
    <s v="Platinum"/>
    <s v="P003"/>
    <x v="3"/>
    <x v="1"/>
    <s v="Large"/>
    <n v="1"/>
    <n v="91.98"/>
    <n v="12"/>
    <n v="22"/>
    <n v="125.98"/>
    <n v="306.60000000000002"/>
    <n v="5"/>
    <n v="291.27"/>
    <n v="165.29"/>
    <n v="56.75"/>
    <x v="3"/>
    <s v="Dine-In"/>
    <s v="Meera"/>
    <n v="4"/>
    <s v="Completed"/>
  </r>
  <r>
    <x v="709"/>
    <d v="2025-05-01T00:00:00"/>
    <s v="13:30"/>
    <s v="Thursday"/>
    <x v="7"/>
    <s v="Q2"/>
    <s v="Summer"/>
    <s v="S07"/>
    <x v="3"/>
    <x v="3"/>
    <s v="South"/>
    <s v="C2719"/>
    <x v="0"/>
    <s v="Gold"/>
    <s v="P036"/>
    <x v="11"/>
    <x v="0"/>
    <s v="Large"/>
    <n v="1"/>
    <n v="66.78"/>
    <n v="12"/>
    <n v="22"/>
    <n v="100.78"/>
    <n v="222.6"/>
    <n v="0"/>
    <n v="222.6"/>
    <n v="121.82"/>
    <n v="54.73"/>
    <x v="2"/>
    <s v="Dine-In"/>
    <s v="Meera"/>
    <n v="5"/>
    <s v="Completed"/>
  </r>
  <r>
    <x v="710"/>
    <d v="2025-04-02T00:00:00"/>
    <s v="18:30"/>
    <s v="Wednesday"/>
    <x v="11"/>
    <s v="Q2"/>
    <s v="Summer"/>
    <s v="S01"/>
    <x v="0"/>
    <x v="0"/>
    <s v="North"/>
    <s v="C2720"/>
    <x v="0"/>
    <s v="Silver"/>
    <s v="P034"/>
    <x v="0"/>
    <x v="0"/>
    <s v="Large"/>
    <n v="3"/>
    <n v="108.78"/>
    <n v="12"/>
    <n v="22"/>
    <n v="142.78"/>
    <n v="362.6"/>
    <n v="5"/>
    <n v="1033.4100000000001"/>
    <n v="605.07000000000005"/>
    <n v="58.55"/>
    <x v="3"/>
    <s v="Dine-In"/>
    <s v="Rohan"/>
    <n v="5"/>
    <s v="Completed"/>
  </r>
  <r>
    <x v="711"/>
    <d v="2025-10-03T00:00:00"/>
    <s v="09:00"/>
    <s v="Friday"/>
    <x v="0"/>
    <s v="Q4"/>
    <s v="Autumn"/>
    <s v="S10"/>
    <x v="1"/>
    <x v="1"/>
    <s v="South"/>
    <s v="C2721"/>
    <x v="2"/>
    <s v="Gold"/>
    <s v="P003"/>
    <x v="3"/>
    <x v="1"/>
    <s v="Large"/>
    <n v="1"/>
    <n v="91.98"/>
    <n v="12"/>
    <n v="22"/>
    <n v="125.98"/>
    <n v="306.60000000000002"/>
    <n v="0"/>
    <n v="306.60000000000002"/>
    <n v="180.62"/>
    <n v="58.91"/>
    <x v="1"/>
    <s v="Delivery"/>
    <s v="Diya"/>
    <n v="4"/>
    <s v="Completed"/>
  </r>
  <r>
    <x v="712"/>
    <d v="2025-09-11T00:00:00"/>
    <s v="08:00"/>
    <s v="Thursday"/>
    <x v="2"/>
    <s v="Q3"/>
    <s v="Monsoon"/>
    <s v="S14"/>
    <x v="4"/>
    <x v="4"/>
    <s v="North"/>
    <s v="C2722"/>
    <x v="1"/>
    <s v="Platinum"/>
    <s v="P001"/>
    <x v="1"/>
    <x v="1"/>
    <s v="Large"/>
    <n v="1"/>
    <n v="62.58"/>
    <n v="12"/>
    <n v="22"/>
    <n v="96.58"/>
    <n v="208.6"/>
    <n v="10"/>
    <n v="187.74"/>
    <n v="91.16"/>
    <n v="48.56"/>
    <x v="4"/>
    <s v="Takeaway"/>
    <s v="Kabir"/>
    <n v="5"/>
    <s v="Completed"/>
  </r>
  <r>
    <x v="713"/>
    <d v="2025-11-21T00:00:00"/>
    <s v="17:45"/>
    <s v="Friday"/>
    <x v="1"/>
    <s v="Q4"/>
    <s v="Autumn"/>
    <s v="S07"/>
    <x v="3"/>
    <x v="3"/>
    <s v="South"/>
    <s v="C2723"/>
    <x v="0"/>
    <s v="Silver"/>
    <s v="P003"/>
    <x v="3"/>
    <x v="1"/>
    <s v="Large"/>
    <n v="2"/>
    <n v="91.98"/>
    <n v="12"/>
    <n v="22"/>
    <n v="125.98"/>
    <n v="306.60000000000002"/>
    <n v="5"/>
    <n v="582.54"/>
    <n v="330.58"/>
    <n v="56.75"/>
    <x v="3"/>
    <s v="Delivery"/>
    <s v="Kabir"/>
    <n v="4"/>
    <s v="Completed"/>
  </r>
  <r>
    <x v="714"/>
    <d v="2025-05-19T00:00:00"/>
    <s v="17:45"/>
    <s v="Monday"/>
    <x v="7"/>
    <s v="Q2"/>
    <s v="Summer"/>
    <s v="S04"/>
    <x v="5"/>
    <x v="5"/>
    <s v="West"/>
    <s v="C2724"/>
    <x v="1"/>
    <s v="Platinum"/>
    <s v="P004"/>
    <x v="10"/>
    <x v="1"/>
    <s v="Large"/>
    <n v="2"/>
    <n v="70.98"/>
    <n v="12"/>
    <n v="22"/>
    <n v="104.98"/>
    <n v="236.6"/>
    <n v="5"/>
    <n v="449.54"/>
    <n v="239.58"/>
    <n v="53.29"/>
    <x v="1"/>
    <s v="Delivery"/>
    <s v="Kabir"/>
    <n v="5"/>
    <s v="Completed"/>
  </r>
  <r>
    <x v="715"/>
    <d v="2025-06-24T00:00:00"/>
    <s v="09:30"/>
    <s v="Tuesday"/>
    <x v="10"/>
    <s v="Q2"/>
    <s v="Summer"/>
    <s v="S14"/>
    <x v="4"/>
    <x v="4"/>
    <s v="North"/>
    <s v="C2725"/>
    <x v="2"/>
    <s v="Gold"/>
    <s v="P033"/>
    <x v="8"/>
    <x v="0"/>
    <s v="Large"/>
    <n v="1"/>
    <n v="104.58"/>
    <n v="12"/>
    <n v="22"/>
    <n v="138.58000000000001"/>
    <n v="348.6"/>
    <n v="10"/>
    <n v="313.74"/>
    <n v="175.16"/>
    <n v="55.83"/>
    <x v="0"/>
    <s v="Takeaway"/>
    <s v="Diya"/>
    <n v="4"/>
    <s v="Completed"/>
  </r>
  <r>
    <x v="716"/>
    <d v="2025-06-18T00:00:00"/>
    <s v="13:45"/>
    <s v="Wednesday"/>
    <x v="10"/>
    <s v="Q2"/>
    <s v="Summer"/>
    <s v="S07"/>
    <x v="3"/>
    <x v="3"/>
    <s v="South"/>
    <s v="C2726"/>
    <x v="2"/>
    <s v="Platinum"/>
    <s v="P036"/>
    <x v="11"/>
    <x v="0"/>
    <s v="Large"/>
    <n v="3"/>
    <n v="66.78"/>
    <n v="12"/>
    <n v="22"/>
    <n v="100.78"/>
    <n v="222.6"/>
    <n v="0"/>
    <n v="667.8"/>
    <n v="365.46"/>
    <n v="54.73"/>
    <x v="2"/>
    <s v="Dine-In"/>
    <s v="Meera"/>
    <n v="5"/>
    <s v="Completed"/>
  </r>
  <r>
    <x v="717"/>
    <d v="2025-10-20T00:00:00"/>
    <s v="18:15"/>
    <s v="Monday"/>
    <x v="0"/>
    <s v="Q4"/>
    <s v="Autumn"/>
    <s v="S01"/>
    <x v="0"/>
    <x v="0"/>
    <s v="North"/>
    <s v="C2727"/>
    <x v="1"/>
    <s v="Silver"/>
    <s v="P003"/>
    <x v="3"/>
    <x v="1"/>
    <s v="Medium"/>
    <n v="2"/>
    <n v="78.84"/>
    <n v="12"/>
    <n v="22"/>
    <n v="112.84"/>
    <n v="262.8"/>
    <n v="10"/>
    <n v="473.04"/>
    <n v="247.36"/>
    <n v="52.29"/>
    <x v="1"/>
    <s v="Dine-In"/>
    <s v="Diya"/>
    <n v="4"/>
    <s v="Completed"/>
  </r>
  <r>
    <x v="718"/>
    <d v="2025-02-03T00:00:00"/>
    <s v="08:45"/>
    <s v="Monday"/>
    <x v="3"/>
    <s v="Q1"/>
    <s v="Winter"/>
    <s v="S14"/>
    <x v="4"/>
    <x v="4"/>
    <s v="North"/>
    <s v="C2728"/>
    <x v="0"/>
    <s v="Silver"/>
    <s v="P003"/>
    <x v="3"/>
    <x v="1"/>
    <s v="Large"/>
    <n v="1"/>
    <n v="91.98"/>
    <n v="12"/>
    <n v="22"/>
    <n v="125.98"/>
    <n v="306.60000000000002"/>
    <n v="0"/>
    <n v="306.60000000000002"/>
    <n v="180.62"/>
    <n v="58.91"/>
    <x v="3"/>
    <s v="Delivery"/>
    <s v="Aarav"/>
    <s v="Not Rated"/>
    <s v="Completed"/>
  </r>
  <r>
    <x v="719"/>
    <d v="2025-08-12T00:00:00"/>
    <s v="18:15"/>
    <s v="Tuesday"/>
    <x v="4"/>
    <s v="Q3"/>
    <s v="Monsoon"/>
    <s v="S10"/>
    <x v="1"/>
    <x v="1"/>
    <s v="South"/>
    <s v="C2729"/>
    <x v="1"/>
    <s v="Gold"/>
    <s v="P003"/>
    <x v="3"/>
    <x v="1"/>
    <s v="Large"/>
    <n v="1"/>
    <n v="91.98"/>
    <n v="12"/>
    <n v="22"/>
    <n v="125.98"/>
    <n v="306.60000000000002"/>
    <n v="5"/>
    <n v="291.27"/>
    <n v="165.29"/>
    <n v="56.75"/>
    <x v="2"/>
    <s v="Delivery"/>
    <s v="Rohan"/>
    <n v="5"/>
    <s v="Completed"/>
  </r>
  <r>
    <x v="720"/>
    <d v="2025-06-02T00:00:00"/>
    <s v="17:45"/>
    <s v="Monday"/>
    <x v="10"/>
    <s v="Q2"/>
    <s v="Summer"/>
    <s v="S07"/>
    <x v="3"/>
    <x v="3"/>
    <s v="South"/>
    <s v="C2730"/>
    <x v="1"/>
    <s v="Platinum"/>
    <s v="P020"/>
    <x v="9"/>
    <x v="4"/>
    <s v="Medium"/>
    <n v="3"/>
    <n v="57.24"/>
    <n v="12"/>
    <n v="22"/>
    <n v="91.240000000000009"/>
    <n v="190.8"/>
    <n v="5"/>
    <n v="543.78"/>
    <n v="270.06"/>
    <n v="49.66"/>
    <x v="0"/>
    <s v="Dine-In"/>
    <s v="Rohan"/>
    <n v="3"/>
    <s v="Completed"/>
  </r>
  <r>
    <x v="721"/>
    <d v="2025-07-27T00:00:00"/>
    <s v="14:30"/>
    <s v="Sunday"/>
    <x v="6"/>
    <s v="Q3"/>
    <s v="Monsoon"/>
    <s v="S14"/>
    <x v="4"/>
    <x v="4"/>
    <s v="North"/>
    <s v="C2731"/>
    <x v="0"/>
    <s v="Gold"/>
    <s v="P036"/>
    <x v="11"/>
    <x v="0"/>
    <s v="Large"/>
    <n v="2"/>
    <n v="66.78"/>
    <n v="12"/>
    <n v="22"/>
    <n v="100.78"/>
    <n v="222.6"/>
    <n v="10"/>
    <n v="400.68"/>
    <n v="199.12"/>
    <n v="49.7"/>
    <x v="2"/>
    <s v="Dine-In"/>
    <s v="Aarav"/>
    <n v="5"/>
    <s v="Completed"/>
  </r>
  <r>
    <x v="722"/>
    <d v="2025-03-12T00:00:00"/>
    <s v="09:45"/>
    <s v="Wednesday"/>
    <x v="5"/>
    <s v="Q1"/>
    <s v="Autumn"/>
    <s v="S04"/>
    <x v="5"/>
    <x v="5"/>
    <s v="West"/>
    <s v="C2732"/>
    <x v="1"/>
    <s v="Silver"/>
    <s v="P003"/>
    <x v="3"/>
    <x v="1"/>
    <s v="Medium"/>
    <n v="2"/>
    <n v="78.84"/>
    <n v="12"/>
    <n v="22"/>
    <n v="112.84"/>
    <n v="262.8"/>
    <n v="0"/>
    <n v="525.6"/>
    <n v="299.92"/>
    <n v="57.06"/>
    <x v="0"/>
    <s v="Takeaway"/>
    <s v="Rohan"/>
    <n v="3"/>
    <s v="Completed"/>
  </r>
  <r>
    <x v="723"/>
    <d v="2025-11-08T00:00:00"/>
    <s v="09:00"/>
    <s v="Saturday"/>
    <x v="1"/>
    <s v="Q4"/>
    <s v="Autumn"/>
    <s v="S01"/>
    <x v="0"/>
    <x v="0"/>
    <s v="North"/>
    <s v="C2733"/>
    <x v="0"/>
    <s v="Gold"/>
    <s v="P014"/>
    <x v="4"/>
    <x v="2"/>
    <s v="Medium"/>
    <n v="2"/>
    <n v="53.64"/>
    <n v="12"/>
    <n v="22"/>
    <n v="87.64"/>
    <n v="178.8"/>
    <n v="10"/>
    <n v="321.83999999999997"/>
    <n v="146.56"/>
    <n v="45.54"/>
    <x v="2"/>
    <s v="Takeaway"/>
    <s v="Rohan"/>
    <n v="5"/>
    <s v="Completed"/>
  </r>
  <r>
    <x v="724"/>
    <d v="2025-07-12T00:00:00"/>
    <s v="18:30"/>
    <s v="Saturday"/>
    <x v="6"/>
    <s v="Q3"/>
    <s v="Monsoon"/>
    <s v="S01"/>
    <x v="0"/>
    <x v="0"/>
    <s v="North"/>
    <s v="C2734"/>
    <x v="1"/>
    <s v="Gold"/>
    <s v="P013"/>
    <x v="5"/>
    <x v="2"/>
    <s v="Medium"/>
    <n v="3"/>
    <n v="46.44"/>
    <n v="12"/>
    <n v="22"/>
    <n v="80.44"/>
    <n v="154.80000000000001"/>
    <n v="15"/>
    <n v="394.74"/>
    <n v="153.41999999999999"/>
    <n v="38.869999999999997"/>
    <x v="2"/>
    <s v="Takeaway"/>
    <s v="Kabir"/>
    <n v="5"/>
    <s v="Completed"/>
  </r>
  <r>
    <x v="725"/>
    <d v="2025-12-28T00:00:00"/>
    <s v="18:00"/>
    <s v="Sunday"/>
    <x v="8"/>
    <s v="Q4"/>
    <s v="Winter"/>
    <s v="S12"/>
    <x v="2"/>
    <x v="2"/>
    <s v="East"/>
    <s v="C2735"/>
    <x v="1"/>
    <s v="Silver"/>
    <s v="P001"/>
    <x v="1"/>
    <x v="1"/>
    <s v="Small"/>
    <n v="3"/>
    <n v="44.7"/>
    <n v="12"/>
    <n v="22"/>
    <n v="78.7"/>
    <n v="149"/>
    <n v="15"/>
    <n v="379.95"/>
    <n v="143.85"/>
    <n v="37.86"/>
    <x v="2"/>
    <s v="Dine-In"/>
    <s v="Diya"/>
    <n v="4"/>
    <s v="Completed"/>
  </r>
  <r>
    <x v="726"/>
    <d v="2025-02-18T00:00:00"/>
    <s v="17:30"/>
    <s v="Tuesday"/>
    <x v="3"/>
    <s v="Q1"/>
    <s v="Winter"/>
    <s v="S14"/>
    <x v="4"/>
    <x v="4"/>
    <s v="North"/>
    <s v="C2736"/>
    <x v="0"/>
    <s v="Silver"/>
    <s v="P002"/>
    <x v="2"/>
    <x v="1"/>
    <s v="Small"/>
    <n v="3"/>
    <n v="71.7"/>
    <n v="12"/>
    <n v="22"/>
    <n v="105.7"/>
    <n v="239"/>
    <n v="0"/>
    <n v="717"/>
    <n v="399.9"/>
    <n v="55.77"/>
    <x v="1"/>
    <s v="Dine-In"/>
    <s v="Aarav"/>
    <n v="5"/>
    <s v="Completed"/>
  </r>
  <r>
    <x v="727"/>
    <d v="2025-06-20T00:00:00"/>
    <s v="13:00"/>
    <s v="Friday"/>
    <x v="10"/>
    <s v="Q2"/>
    <s v="Summer"/>
    <s v="S07"/>
    <x v="3"/>
    <x v="3"/>
    <s v="South"/>
    <s v="C2737"/>
    <x v="2"/>
    <s v="Silver"/>
    <s v="P004"/>
    <x v="10"/>
    <x v="1"/>
    <s v="Large"/>
    <n v="2"/>
    <n v="70.98"/>
    <n v="12"/>
    <n v="22"/>
    <n v="104.98"/>
    <n v="236.6"/>
    <n v="10"/>
    <n v="425.88"/>
    <n v="215.92"/>
    <n v="50.7"/>
    <x v="2"/>
    <s v="Delivery"/>
    <s v="Rohan"/>
    <n v="4"/>
    <s v="Completed"/>
  </r>
  <r>
    <x v="728"/>
    <d v="2025-08-28T00:00:00"/>
    <s v="18:15"/>
    <s v="Thursday"/>
    <x v="4"/>
    <s v="Q3"/>
    <s v="Monsoon"/>
    <s v="S07"/>
    <x v="3"/>
    <x v="3"/>
    <s v="South"/>
    <s v="C2738"/>
    <x v="1"/>
    <s v="Silver"/>
    <s v="P014"/>
    <x v="4"/>
    <x v="2"/>
    <s v="Large"/>
    <n v="3"/>
    <n v="62.58"/>
    <n v="12"/>
    <n v="22"/>
    <n v="96.58"/>
    <n v="208.6"/>
    <n v="0"/>
    <n v="625.79999999999995"/>
    <n v="336.06"/>
    <n v="53.7"/>
    <x v="2"/>
    <s v="Delivery"/>
    <s v="Rohan"/>
    <n v="5"/>
    <s v="Completed"/>
  </r>
  <r>
    <x v="729"/>
    <d v="2025-11-03T00:00:00"/>
    <s v="18:00"/>
    <s v="Monday"/>
    <x v="1"/>
    <s v="Q4"/>
    <s v="Autumn"/>
    <s v="S07"/>
    <x v="3"/>
    <x v="3"/>
    <s v="South"/>
    <s v="C2739"/>
    <x v="2"/>
    <s v="Platinum"/>
    <s v="P003"/>
    <x v="3"/>
    <x v="1"/>
    <s v="Small"/>
    <n v="1"/>
    <n v="65.7"/>
    <n v="12"/>
    <n v="22"/>
    <n v="99.7"/>
    <n v="219"/>
    <n v="0"/>
    <n v="219"/>
    <n v="119.3"/>
    <n v="54.47"/>
    <x v="0"/>
    <s v="Dine-In"/>
    <s v="Kabir"/>
    <n v="5"/>
    <s v="Completed"/>
  </r>
  <r>
    <x v="730"/>
    <d v="2025-03-18T00:00:00"/>
    <s v="09:00"/>
    <s v="Tuesday"/>
    <x v="5"/>
    <s v="Q1"/>
    <s v="Autumn"/>
    <s v="S12"/>
    <x v="2"/>
    <x v="2"/>
    <s v="East"/>
    <s v="C2740"/>
    <x v="2"/>
    <s v="Silver"/>
    <s v="P002"/>
    <x v="2"/>
    <x v="1"/>
    <s v="Medium"/>
    <n v="1"/>
    <n v="86.04"/>
    <n v="12"/>
    <n v="22"/>
    <n v="120.04"/>
    <n v="286.8"/>
    <n v="0"/>
    <n v="286.8"/>
    <n v="166.76"/>
    <n v="58.15"/>
    <x v="0"/>
    <s v="Takeaway"/>
    <s v="Rohan"/>
    <n v="5"/>
    <s v="Completed"/>
  </r>
  <r>
    <x v="731"/>
    <d v="2025-05-25T00:00:00"/>
    <s v="17:45"/>
    <s v="Sunday"/>
    <x v="7"/>
    <s v="Q2"/>
    <s v="Summer"/>
    <s v="S04"/>
    <x v="5"/>
    <x v="5"/>
    <s v="West"/>
    <s v="C2741"/>
    <x v="2"/>
    <s v="Platinum"/>
    <s v="P019"/>
    <x v="7"/>
    <x v="4"/>
    <s v="Medium"/>
    <n v="3"/>
    <n v="71.64"/>
    <n v="12"/>
    <n v="22"/>
    <n v="105.64"/>
    <n v="238.8"/>
    <n v="10"/>
    <n v="644.76"/>
    <n v="327.84"/>
    <n v="50.85"/>
    <x v="3"/>
    <s v="Dine-In"/>
    <s v="Meera"/>
    <n v="5"/>
    <s v="Completed"/>
  </r>
  <r>
    <x v="732"/>
    <d v="2025-03-29T00:00:00"/>
    <s v="17:00"/>
    <s v="Saturday"/>
    <x v="5"/>
    <s v="Q1"/>
    <s v="Autumn"/>
    <s v="S01"/>
    <x v="0"/>
    <x v="0"/>
    <s v="North"/>
    <s v="C2742"/>
    <x v="0"/>
    <s v="Platinum"/>
    <s v="P042"/>
    <x v="14"/>
    <x v="5"/>
    <s v="Small"/>
    <n v="3"/>
    <n v="98.7"/>
    <n v="12"/>
    <n v="22"/>
    <n v="132.69999999999999"/>
    <n v="329"/>
    <n v="15"/>
    <n v="838.95"/>
    <n v="440.85"/>
    <n v="52.55"/>
    <x v="3"/>
    <s v="Dine-In"/>
    <s v="Meera"/>
    <n v="4"/>
    <s v="Completed"/>
  </r>
  <r>
    <x v="733"/>
    <d v="2025-11-29T00:00:00"/>
    <s v="18:30"/>
    <s v="Saturday"/>
    <x v="1"/>
    <s v="Q4"/>
    <s v="Autumn"/>
    <s v="S07"/>
    <x v="3"/>
    <x v="3"/>
    <s v="South"/>
    <s v="C2743"/>
    <x v="2"/>
    <s v="Gold"/>
    <s v="P003"/>
    <x v="3"/>
    <x v="1"/>
    <s v="Large"/>
    <n v="2"/>
    <n v="91.98"/>
    <n v="12"/>
    <n v="22"/>
    <n v="125.98"/>
    <n v="306.60000000000002"/>
    <n v="10"/>
    <n v="551.88"/>
    <n v="299.92"/>
    <n v="54.35"/>
    <x v="1"/>
    <s v="Dine-In"/>
    <s v="Rohan"/>
    <n v="5"/>
    <s v="Completed"/>
  </r>
  <r>
    <x v="734"/>
    <d v="2025-10-19T00:00:00"/>
    <s v="13:00"/>
    <s v="Sunday"/>
    <x v="0"/>
    <s v="Q4"/>
    <s v="Autumn"/>
    <s v="S12"/>
    <x v="2"/>
    <x v="2"/>
    <s v="East"/>
    <s v="C2744"/>
    <x v="1"/>
    <s v="Platinum"/>
    <s v="P041"/>
    <x v="12"/>
    <x v="5"/>
    <s v="Large"/>
    <n v="1"/>
    <n v="125.58"/>
    <n v="12"/>
    <n v="22"/>
    <n v="159.58000000000001"/>
    <n v="418.6"/>
    <n v="15"/>
    <n v="355.81"/>
    <n v="196.23"/>
    <n v="55.15"/>
    <x v="3"/>
    <s v="Dine-In"/>
    <s v="Kabir"/>
    <n v="5"/>
    <s v="Completed"/>
  </r>
  <r>
    <x v="735"/>
    <d v="2025-02-04T00:00:00"/>
    <s v="08:45"/>
    <s v="Tuesday"/>
    <x v="3"/>
    <s v="Q1"/>
    <s v="Winter"/>
    <s v="S10"/>
    <x v="1"/>
    <x v="1"/>
    <s v="South"/>
    <s v="C2745"/>
    <x v="0"/>
    <s v="Platinum"/>
    <s v="P001"/>
    <x v="1"/>
    <x v="1"/>
    <s v="Small"/>
    <n v="2"/>
    <n v="44.7"/>
    <n v="12"/>
    <n v="22"/>
    <n v="78.7"/>
    <n v="149"/>
    <n v="0"/>
    <n v="298"/>
    <n v="140.6"/>
    <n v="47.18"/>
    <x v="2"/>
    <s v="Takeaway"/>
    <s v="Diya"/>
    <n v="4"/>
    <s v="Completed"/>
  </r>
  <r>
    <x v="736"/>
    <d v="2025-08-29T00:00:00"/>
    <s v="09:15"/>
    <s v="Friday"/>
    <x v="4"/>
    <s v="Q3"/>
    <s v="Monsoon"/>
    <s v="S12"/>
    <x v="2"/>
    <x v="2"/>
    <s v="East"/>
    <s v="C2746"/>
    <x v="2"/>
    <s v="Silver"/>
    <s v="P004"/>
    <x v="10"/>
    <x v="1"/>
    <s v="Large"/>
    <n v="3"/>
    <n v="70.98"/>
    <n v="12"/>
    <n v="22"/>
    <n v="104.98"/>
    <n v="236.6"/>
    <n v="0"/>
    <n v="709.8"/>
    <n v="394.86"/>
    <n v="55.63"/>
    <x v="3"/>
    <s v="Takeaway"/>
    <s v="Aarav"/>
    <n v="5"/>
    <s v="Completed"/>
  </r>
  <r>
    <x v="737"/>
    <d v="2025-06-27T00:00:00"/>
    <s v="14:30"/>
    <s v="Friday"/>
    <x v="10"/>
    <s v="Q2"/>
    <s v="Summer"/>
    <s v="S01"/>
    <x v="0"/>
    <x v="0"/>
    <s v="North"/>
    <s v="C2747"/>
    <x v="1"/>
    <s v="Gold"/>
    <s v="P033"/>
    <x v="8"/>
    <x v="0"/>
    <s v="Medium"/>
    <n v="2"/>
    <n v="89.64"/>
    <n v="12"/>
    <n v="22"/>
    <n v="123.64"/>
    <n v="298.8"/>
    <n v="5"/>
    <n v="567.72"/>
    <n v="320.44"/>
    <n v="56.44"/>
    <x v="1"/>
    <s v="Delivery"/>
    <s v="Kabir"/>
    <n v="4"/>
    <s v="Completed"/>
  </r>
  <r>
    <x v="738"/>
    <d v="2025-10-22T00:00:00"/>
    <s v="17:15"/>
    <s v="Wednesday"/>
    <x v="0"/>
    <s v="Q4"/>
    <s v="Autumn"/>
    <s v="S07"/>
    <x v="3"/>
    <x v="3"/>
    <s v="South"/>
    <s v="C2748"/>
    <x v="2"/>
    <s v="Silver"/>
    <s v="P020"/>
    <x v="9"/>
    <x v="4"/>
    <s v="Small"/>
    <n v="1"/>
    <n v="47.7"/>
    <n v="12"/>
    <n v="22"/>
    <n v="81.7"/>
    <n v="159"/>
    <n v="0"/>
    <n v="159"/>
    <n v="77.3"/>
    <n v="48.62"/>
    <x v="3"/>
    <s v="Delivery"/>
    <s v="Meera"/>
    <n v="3"/>
    <s v="Completed"/>
  </r>
  <r>
    <x v="739"/>
    <d v="2025-09-09T00:00:00"/>
    <s v="14:15"/>
    <s v="Tuesday"/>
    <x v="2"/>
    <s v="Q3"/>
    <s v="Monsoon"/>
    <s v="S07"/>
    <x v="3"/>
    <x v="3"/>
    <s v="South"/>
    <s v="C2749"/>
    <x v="0"/>
    <s v="Silver"/>
    <s v="P027"/>
    <x v="13"/>
    <x v="3"/>
    <s v="Medium"/>
    <n v="3"/>
    <n v="82.44"/>
    <n v="12"/>
    <n v="22"/>
    <n v="116.44"/>
    <n v="274.8"/>
    <n v="10"/>
    <n v="741.96"/>
    <n v="392.64"/>
    <n v="52.92"/>
    <x v="4"/>
    <s v="Dine-In"/>
    <s v="Kabir"/>
    <n v="3"/>
    <s v="Completed"/>
  </r>
  <r>
    <x v="740"/>
    <d v="2025-10-13T00:00:00"/>
    <s v="14:00"/>
    <s v="Monday"/>
    <x v="0"/>
    <s v="Q4"/>
    <s v="Autumn"/>
    <s v="S07"/>
    <x v="3"/>
    <x v="3"/>
    <s v="South"/>
    <s v="C2750"/>
    <x v="1"/>
    <s v="Silver"/>
    <s v="P033"/>
    <x v="8"/>
    <x v="0"/>
    <s v="Small"/>
    <n v="1"/>
    <n v="74.7"/>
    <n v="12"/>
    <n v="22"/>
    <n v="108.7"/>
    <n v="249"/>
    <n v="5"/>
    <n v="236.55"/>
    <n v="127.85"/>
    <n v="54.05"/>
    <x v="0"/>
    <s v="Dine-In"/>
    <s v="Kabir"/>
    <n v="5"/>
    <s v="Completed"/>
  </r>
  <r>
    <x v="741"/>
    <d v="2025-09-26T00:00:00"/>
    <s v="13:00"/>
    <s v="Friday"/>
    <x v="2"/>
    <s v="Q3"/>
    <s v="Monsoon"/>
    <s v="S04"/>
    <x v="5"/>
    <x v="5"/>
    <s v="West"/>
    <s v="C2752"/>
    <x v="0"/>
    <s v="Silver"/>
    <s v="P033"/>
    <x v="8"/>
    <x v="0"/>
    <s v="Medium"/>
    <n v="2"/>
    <n v="89.64"/>
    <n v="12"/>
    <n v="22"/>
    <n v="123.64"/>
    <n v="298.8"/>
    <n v="10"/>
    <n v="537.84"/>
    <n v="290.56"/>
    <n v="54.02"/>
    <x v="0"/>
    <s v="Takeaway"/>
    <s v="Kabir"/>
    <n v="4"/>
    <s v="Completed"/>
  </r>
  <r>
    <x v="742"/>
    <d v="2025-04-12T00:00:00"/>
    <s v="13:45"/>
    <s v="Saturday"/>
    <x v="11"/>
    <s v="Q2"/>
    <s v="Summer"/>
    <s v="S04"/>
    <x v="5"/>
    <x v="5"/>
    <s v="West"/>
    <s v="C2753"/>
    <x v="1"/>
    <s v="Gold"/>
    <s v="P027"/>
    <x v="13"/>
    <x v="3"/>
    <s v="Medium"/>
    <n v="3"/>
    <n v="82.44"/>
    <n v="12"/>
    <n v="22"/>
    <n v="116.44"/>
    <n v="274.8"/>
    <n v="15"/>
    <n v="700.74"/>
    <n v="351.42"/>
    <n v="50.15"/>
    <x v="2"/>
    <s v="Delivery"/>
    <s v="Rohan"/>
    <n v="4"/>
    <s v="Completed"/>
  </r>
  <r>
    <x v="743"/>
    <d v="2025-04-28T00:00:00"/>
    <s v="17:00"/>
    <s v="Monday"/>
    <x v="11"/>
    <s v="Q2"/>
    <s v="Summer"/>
    <s v="S10"/>
    <x v="1"/>
    <x v="1"/>
    <s v="South"/>
    <s v="C2754"/>
    <x v="2"/>
    <s v="Gold"/>
    <s v="P003"/>
    <x v="3"/>
    <x v="1"/>
    <s v="Medium"/>
    <n v="1"/>
    <n v="78.84"/>
    <n v="12"/>
    <n v="22"/>
    <n v="112.84"/>
    <n v="262.8"/>
    <n v="5"/>
    <n v="249.66"/>
    <n v="136.82"/>
    <n v="54.8"/>
    <x v="3"/>
    <s v="Delivery"/>
    <s v="Meera"/>
    <n v="3"/>
    <s v="Completed"/>
  </r>
  <r>
    <x v="744"/>
    <d v="2025-01-23T00:00:00"/>
    <s v="18:15"/>
    <s v="Thursday"/>
    <x v="9"/>
    <s v="Q1"/>
    <s v="Winter"/>
    <s v="S12"/>
    <x v="2"/>
    <x v="2"/>
    <s v="East"/>
    <s v="C2755"/>
    <x v="0"/>
    <s v="Platinum"/>
    <s v="P001"/>
    <x v="1"/>
    <x v="1"/>
    <s v="Small"/>
    <n v="2"/>
    <n v="44.7"/>
    <n v="12"/>
    <n v="22"/>
    <n v="78.7"/>
    <n v="149"/>
    <n v="0"/>
    <n v="298"/>
    <n v="140.6"/>
    <n v="47.18"/>
    <x v="2"/>
    <s v="Dine-In"/>
    <s v="Aarav"/>
    <n v="5"/>
    <s v="Completed"/>
  </r>
  <r>
    <x v="745"/>
    <d v="2025-03-17T00:00:00"/>
    <s v="14:45"/>
    <s v="Monday"/>
    <x v="5"/>
    <s v="Q1"/>
    <s v="Autumn"/>
    <s v="S10"/>
    <x v="1"/>
    <x v="1"/>
    <s v="South"/>
    <s v="C2756"/>
    <x v="2"/>
    <s v="Gold"/>
    <s v="P036"/>
    <x v="11"/>
    <x v="0"/>
    <s v="Medium"/>
    <n v="1"/>
    <n v="57.24"/>
    <n v="12"/>
    <n v="22"/>
    <n v="91.240000000000009"/>
    <n v="190.8"/>
    <n v="10"/>
    <n v="171.72"/>
    <n v="80.48"/>
    <n v="46.87"/>
    <x v="1"/>
    <s v="Delivery"/>
    <s v="Aarav"/>
    <n v="5"/>
    <s v="Completed"/>
  </r>
  <r>
    <x v="746"/>
    <d v="2025-10-18T00:00:00"/>
    <s v="14:30"/>
    <s v="Saturday"/>
    <x v="0"/>
    <s v="Q4"/>
    <s v="Autumn"/>
    <s v="S01"/>
    <x v="0"/>
    <x v="0"/>
    <s v="North"/>
    <s v="C2757"/>
    <x v="2"/>
    <s v="Silver"/>
    <s v="P036"/>
    <x v="11"/>
    <x v="0"/>
    <s v="Large"/>
    <n v="3"/>
    <n v="66.78"/>
    <n v="12"/>
    <n v="22"/>
    <n v="100.78"/>
    <n v="222.6"/>
    <n v="15"/>
    <n v="567.63"/>
    <n v="265.29000000000002"/>
    <n v="46.74"/>
    <x v="0"/>
    <s v="Takeaway"/>
    <s v="Diya"/>
    <n v="5"/>
    <s v="Completed"/>
  </r>
  <r>
    <x v="747"/>
    <d v="2025-08-25T00:00:00"/>
    <s v="13:45"/>
    <s v="Monday"/>
    <x v="4"/>
    <s v="Q3"/>
    <s v="Monsoon"/>
    <s v="S12"/>
    <x v="2"/>
    <x v="2"/>
    <s v="East"/>
    <s v="C2758"/>
    <x v="0"/>
    <s v="Silver"/>
    <s v="P036"/>
    <x v="11"/>
    <x v="0"/>
    <s v="Medium"/>
    <n v="2"/>
    <n v="57.24"/>
    <n v="12"/>
    <n v="22"/>
    <n v="91.240000000000009"/>
    <n v="190.8"/>
    <n v="5"/>
    <n v="362.52"/>
    <n v="180.04"/>
    <n v="49.66"/>
    <x v="2"/>
    <s v="Dine-In"/>
    <s v="Rohan"/>
    <n v="3"/>
    <s v="Completed"/>
  </r>
  <r>
    <x v="748"/>
    <d v="2025-01-19T00:00:00"/>
    <s v="14:00"/>
    <s v="Sunday"/>
    <x v="9"/>
    <s v="Q1"/>
    <s v="Winter"/>
    <s v="S12"/>
    <x v="2"/>
    <x v="2"/>
    <s v="East"/>
    <s v="C2759"/>
    <x v="2"/>
    <s v="Gold"/>
    <s v="P036"/>
    <x v="11"/>
    <x v="0"/>
    <s v="Medium"/>
    <n v="4"/>
    <n v="57.24"/>
    <n v="12"/>
    <n v="22"/>
    <n v="91.240000000000009"/>
    <n v="190.8"/>
    <n v="15"/>
    <n v="648.72"/>
    <n v="283.76"/>
    <n v="43.74"/>
    <x v="1"/>
    <s v="Delivery"/>
    <s v="Aarav"/>
    <n v="5"/>
    <s v="Completed"/>
  </r>
  <r>
    <x v="749"/>
    <d v="2025-12-04T00:00:00"/>
    <s v="18:30"/>
    <s v="Thursday"/>
    <x v="8"/>
    <s v="Q4"/>
    <s v="Winter"/>
    <s v="S01"/>
    <x v="0"/>
    <x v="0"/>
    <s v="North"/>
    <s v="C2760"/>
    <x v="1"/>
    <s v="Gold"/>
    <s v="P001"/>
    <x v="1"/>
    <x v="1"/>
    <s v="Small"/>
    <n v="3"/>
    <n v="44.7"/>
    <n v="12"/>
    <n v="22"/>
    <n v="78.7"/>
    <n v="149"/>
    <n v="0"/>
    <n v="447"/>
    <n v="210.9"/>
    <n v="47.18"/>
    <x v="1"/>
    <s v="Dine-In"/>
    <s v="Aarav"/>
    <n v="5"/>
    <s v="Completed"/>
  </r>
  <r>
    <x v="750"/>
    <d v="2025-01-13T00:00:00"/>
    <s v="14:45"/>
    <s v="Monday"/>
    <x v="9"/>
    <s v="Q1"/>
    <s v="Winter"/>
    <s v="S07"/>
    <x v="3"/>
    <x v="3"/>
    <s v="South"/>
    <s v="C2761"/>
    <x v="0"/>
    <s v="Silver"/>
    <s v="P003"/>
    <x v="3"/>
    <x v="1"/>
    <s v="Large"/>
    <n v="1"/>
    <n v="91.98"/>
    <n v="12"/>
    <n v="22"/>
    <n v="125.98"/>
    <n v="306.60000000000002"/>
    <n v="0"/>
    <n v="306.60000000000002"/>
    <n v="180.62"/>
    <n v="58.91"/>
    <x v="2"/>
    <s v="Dine-In"/>
    <s v="Rohan"/>
    <n v="4"/>
    <s v="Completed"/>
  </r>
  <r>
    <x v="751"/>
    <d v="2025-01-25T00:00:00"/>
    <s v="09:15"/>
    <s v="Saturday"/>
    <x v="9"/>
    <s v="Q1"/>
    <s v="Winter"/>
    <s v="S04"/>
    <x v="5"/>
    <x v="5"/>
    <s v="West"/>
    <s v="C2762"/>
    <x v="1"/>
    <s v="Silver"/>
    <s v="P042"/>
    <x v="14"/>
    <x v="5"/>
    <s v="Large"/>
    <n v="2"/>
    <n v="138.18"/>
    <n v="12"/>
    <n v="22"/>
    <n v="172.18"/>
    <n v="460.6"/>
    <n v="15"/>
    <n v="783.02"/>
    <n v="438.66"/>
    <n v="56.02"/>
    <x v="3"/>
    <s v="Takeaway"/>
    <s v="Aarav"/>
    <n v="4"/>
    <s v="Completed"/>
  </r>
  <r>
    <x v="752"/>
    <d v="2025-03-24T00:00:00"/>
    <s v="08:00"/>
    <s v="Monday"/>
    <x v="5"/>
    <s v="Q1"/>
    <s v="Autumn"/>
    <s v="S07"/>
    <x v="3"/>
    <x v="3"/>
    <s v="South"/>
    <s v="C2763"/>
    <x v="0"/>
    <s v="Platinum"/>
    <s v="P003"/>
    <x v="3"/>
    <x v="1"/>
    <s v="Small"/>
    <n v="2"/>
    <n v="65.7"/>
    <n v="12"/>
    <n v="22"/>
    <n v="99.7"/>
    <n v="219"/>
    <n v="0"/>
    <n v="438"/>
    <n v="238.6"/>
    <n v="54.47"/>
    <x v="2"/>
    <s v="Takeaway"/>
    <s v="Meera"/>
    <n v="4"/>
    <s v="Completed"/>
  </r>
  <r>
    <x v="753"/>
    <d v="2025-12-22T00:00:00"/>
    <s v="17:30"/>
    <s v="Monday"/>
    <x v="8"/>
    <s v="Q4"/>
    <s v="Winter"/>
    <s v="S10"/>
    <x v="1"/>
    <x v="1"/>
    <s v="South"/>
    <s v="C2764"/>
    <x v="2"/>
    <s v="Gold"/>
    <s v="P020"/>
    <x v="9"/>
    <x v="4"/>
    <s v="Small"/>
    <n v="2"/>
    <n v="47.7"/>
    <n v="12"/>
    <n v="22"/>
    <n v="81.7"/>
    <n v="159"/>
    <n v="0"/>
    <n v="318"/>
    <n v="154.6"/>
    <n v="48.62"/>
    <x v="3"/>
    <s v="Takeaway"/>
    <s v="Aarav"/>
    <n v="4"/>
    <s v="Completed"/>
  </r>
  <r>
    <x v="754"/>
    <d v="2025-10-25T00:00:00"/>
    <s v="18:30"/>
    <s v="Saturday"/>
    <x v="0"/>
    <s v="Q4"/>
    <s v="Autumn"/>
    <s v="S12"/>
    <x v="2"/>
    <x v="2"/>
    <s v="East"/>
    <s v="C2765"/>
    <x v="2"/>
    <s v="Platinum"/>
    <s v="P019"/>
    <x v="7"/>
    <x v="4"/>
    <s v="Medium"/>
    <n v="3"/>
    <n v="71.64"/>
    <n v="12"/>
    <n v="22"/>
    <n v="105.64"/>
    <n v="238.8"/>
    <n v="10"/>
    <n v="644.76"/>
    <n v="327.84"/>
    <n v="50.85"/>
    <x v="0"/>
    <s v="Dine-In"/>
    <s v="Diya"/>
    <n v="4"/>
    <s v="Completed"/>
  </r>
  <r>
    <x v="755"/>
    <d v="2025-07-23T00:00:00"/>
    <s v="14:30"/>
    <s v="Wednesday"/>
    <x v="6"/>
    <s v="Q3"/>
    <s v="Monsoon"/>
    <s v="S04"/>
    <x v="5"/>
    <x v="5"/>
    <s v="West"/>
    <s v="C2766"/>
    <x v="2"/>
    <s v="Gold"/>
    <s v="P033"/>
    <x v="8"/>
    <x v="0"/>
    <s v="Small"/>
    <n v="3"/>
    <n v="74.7"/>
    <n v="12"/>
    <n v="22"/>
    <n v="108.7"/>
    <n v="249"/>
    <n v="0"/>
    <n v="747"/>
    <n v="420.9"/>
    <n v="56.35"/>
    <x v="2"/>
    <s v="Takeaway"/>
    <s v="Meera"/>
    <n v="4"/>
    <s v="Completed"/>
  </r>
  <r>
    <x v="756"/>
    <d v="2025-07-18T00:00:00"/>
    <s v="09:00"/>
    <s v="Friday"/>
    <x v="6"/>
    <s v="Q3"/>
    <s v="Monsoon"/>
    <s v="S01"/>
    <x v="0"/>
    <x v="0"/>
    <s v="North"/>
    <s v="C2767"/>
    <x v="0"/>
    <s v="Silver"/>
    <s v="P001"/>
    <x v="1"/>
    <x v="1"/>
    <s v="Medium"/>
    <n v="3"/>
    <n v="53.64"/>
    <n v="12"/>
    <n v="22"/>
    <n v="87.64"/>
    <n v="178.8"/>
    <n v="5"/>
    <n v="509.58"/>
    <n v="246.66"/>
    <n v="48.4"/>
    <x v="3"/>
    <s v="Dine-In"/>
    <s v="Aarav"/>
    <n v="5"/>
    <s v="Completed"/>
  </r>
  <r>
    <x v="757"/>
    <d v="2025-11-20T00:00:00"/>
    <s v="18:15"/>
    <s v="Thursday"/>
    <x v="1"/>
    <s v="Q4"/>
    <s v="Autumn"/>
    <s v="S14"/>
    <x v="4"/>
    <x v="4"/>
    <s v="North"/>
    <s v="C2768"/>
    <x v="1"/>
    <s v="Gold"/>
    <s v="P019"/>
    <x v="7"/>
    <x v="4"/>
    <s v="Small"/>
    <n v="3"/>
    <n v="59.7"/>
    <n v="12"/>
    <n v="22"/>
    <n v="93.7"/>
    <n v="199"/>
    <n v="5"/>
    <n v="567.15"/>
    <n v="286.05"/>
    <n v="50.44"/>
    <x v="1"/>
    <s v="Dine-In"/>
    <s v="Meera"/>
    <n v="3"/>
    <s v="Completed"/>
  </r>
  <r>
    <x v="758"/>
    <d v="2025-11-20T00:00:00"/>
    <s v="13:45"/>
    <s v="Thursday"/>
    <x v="1"/>
    <s v="Q4"/>
    <s v="Autumn"/>
    <s v="S04"/>
    <x v="5"/>
    <x v="5"/>
    <s v="West"/>
    <s v="C2769"/>
    <x v="0"/>
    <s v="Platinum"/>
    <s v="P034"/>
    <x v="0"/>
    <x v="0"/>
    <s v="Small"/>
    <n v="1"/>
    <n v="77.7"/>
    <n v="12"/>
    <n v="22"/>
    <n v="111.7"/>
    <n v="259"/>
    <n v="5"/>
    <n v="246.05"/>
    <n v="134.35"/>
    <n v="54.6"/>
    <x v="3"/>
    <s v="Takeaway"/>
    <s v="Meera"/>
    <n v="4"/>
    <s v="Completed"/>
  </r>
  <r>
    <x v="759"/>
    <d v="2025-08-12T00:00:00"/>
    <s v="08:45"/>
    <s v="Tuesday"/>
    <x v="4"/>
    <s v="Q3"/>
    <s v="Monsoon"/>
    <s v="S14"/>
    <x v="4"/>
    <x v="4"/>
    <s v="North"/>
    <s v="C2770"/>
    <x v="2"/>
    <s v="Silver"/>
    <s v="P004"/>
    <x v="10"/>
    <x v="1"/>
    <s v="Small"/>
    <n v="1"/>
    <n v="50.7"/>
    <n v="12"/>
    <n v="22"/>
    <n v="84.7"/>
    <n v="169"/>
    <n v="10"/>
    <n v="152.1"/>
    <n v="67.400000000000006"/>
    <n v="44.31"/>
    <x v="0"/>
    <s v="Takeaway"/>
    <s v="Rohan"/>
    <n v="3"/>
    <s v="Completed"/>
  </r>
  <r>
    <x v="760"/>
    <d v="2025-06-26T00:00:00"/>
    <s v="08:15"/>
    <s v="Thursday"/>
    <x v="10"/>
    <s v="Q2"/>
    <s v="Summer"/>
    <s v="S01"/>
    <x v="0"/>
    <x v="0"/>
    <s v="North"/>
    <s v="C2771"/>
    <x v="2"/>
    <s v="Platinum"/>
    <s v="P034"/>
    <x v="0"/>
    <x v="0"/>
    <s v="Large"/>
    <n v="3"/>
    <n v="108.78"/>
    <n v="12"/>
    <n v="22"/>
    <n v="142.78"/>
    <n v="362.6"/>
    <n v="0"/>
    <n v="1087.8"/>
    <n v="659.46"/>
    <n v="60.62"/>
    <x v="0"/>
    <s v="Takeaway"/>
    <s v="Diya"/>
    <n v="3"/>
    <s v="Completed"/>
  </r>
  <r>
    <x v="761"/>
    <d v="2025-12-25T00:00:00"/>
    <s v="08:45"/>
    <s v="Thursday"/>
    <x v="8"/>
    <s v="Q4"/>
    <s v="Winter"/>
    <s v="S12"/>
    <x v="2"/>
    <x v="2"/>
    <s v="East"/>
    <s v="C2772"/>
    <x v="2"/>
    <s v="Gold"/>
    <s v="P001"/>
    <x v="1"/>
    <x v="1"/>
    <s v="Large"/>
    <n v="3"/>
    <n v="62.58"/>
    <n v="12"/>
    <n v="22"/>
    <n v="96.58"/>
    <n v="208.6"/>
    <n v="55"/>
    <n v="625.79999999999995"/>
    <n v="336.06"/>
    <n v="53.7"/>
    <x v="3"/>
    <s v="Takeaway"/>
    <s v="Diya"/>
    <n v="5"/>
    <s v="Completed"/>
  </r>
  <r>
    <x v="762"/>
    <d v="2025-01-03T00:00:00"/>
    <s v="09:15"/>
    <s v="Friday"/>
    <x v="9"/>
    <s v="Q1"/>
    <s v="Winter"/>
    <s v="S12"/>
    <x v="2"/>
    <x v="2"/>
    <s v="East"/>
    <s v="C2773"/>
    <x v="2"/>
    <s v="Gold"/>
    <s v="P002"/>
    <x v="2"/>
    <x v="1"/>
    <s v="Medium"/>
    <n v="3"/>
    <n v="86.04"/>
    <n v="12"/>
    <n v="22"/>
    <n v="120.04"/>
    <n v="286.8"/>
    <n v="0"/>
    <n v="860.4"/>
    <n v="500.28"/>
    <n v="58.15"/>
    <x v="3"/>
    <s v="Takeaway"/>
    <s v="Rohan"/>
    <n v="5"/>
    <s v="Completed"/>
  </r>
  <r>
    <x v="763"/>
    <d v="2025-03-15T00:00:00"/>
    <s v="09:45"/>
    <s v="Saturday"/>
    <x v="5"/>
    <s v="Q1"/>
    <s v="Autumn"/>
    <s v="S14"/>
    <x v="4"/>
    <x v="4"/>
    <s v="North"/>
    <s v="C2774"/>
    <x v="0"/>
    <s v="Gold"/>
    <s v="P002"/>
    <x v="2"/>
    <x v="1"/>
    <s v="Large"/>
    <n v="3"/>
    <n v="100.38"/>
    <n v="12"/>
    <n v="22"/>
    <n v="134.38"/>
    <n v="334.6"/>
    <n v="15"/>
    <n v="853.23"/>
    <n v="450.09"/>
    <n v="52.75"/>
    <x v="3"/>
    <s v="Delivery"/>
    <s v="Aarav"/>
    <n v="5"/>
    <s v="Completed"/>
  </r>
  <r>
    <x v="764"/>
    <d v="2025-12-06T00:00:00"/>
    <s v="13:00"/>
    <s v="Saturday"/>
    <x v="8"/>
    <s v="Q4"/>
    <s v="Winter"/>
    <s v="S14"/>
    <x v="4"/>
    <x v="4"/>
    <s v="North"/>
    <s v="C2775"/>
    <x v="2"/>
    <s v="Gold"/>
    <s v="P034"/>
    <x v="0"/>
    <x v="0"/>
    <s v="Large"/>
    <n v="2"/>
    <n v="108.78"/>
    <n v="12"/>
    <n v="22"/>
    <n v="142.78"/>
    <n v="362.6"/>
    <n v="15"/>
    <n v="616.41999999999996"/>
    <n v="330.86"/>
    <n v="53.67"/>
    <x v="1"/>
    <s v="Dine-In"/>
    <s v="Diya"/>
    <n v="3"/>
    <s v="Completed"/>
  </r>
  <r>
    <x v="765"/>
    <d v="2025-06-19T00:00:00"/>
    <s v="18:00"/>
    <s v="Thursday"/>
    <x v="10"/>
    <s v="Q2"/>
    <s v="Summer"/>
    <s v="S14"/>
    <x v="4"/>
    <x v="4"/>
    <s v="North"/>
    <s v="C2776"/>
    <x v="1"/>
    <s v="Platinum"/>
    <s v="P019"/>
    <x v="7"/>
    <x v="4"/>
    <s v="Medium"/>
    <n v="1"/>
    <n v="71.64"/>
    <n v="12"/>
    <n v="22"/>
    <n v="105.64"/>
    <n v="238.8"/>
    <n v="0"/>
    <n v="238.8"/>
    <n v="133.16"/>
    <n v="55.76"/>
    <x v="4"/>
    <s v="Takeaway"/>
    <s v="Rohan"/>
    <n v="5"/>
    <s v="Completed"/>
  </r>
  <r>
    <x v="766"/>
    <d v="2025-07-27T00:00:00"/>
    <s v="08:45"/>
    <s v="Sunday"/>
    <x v="6"/>
    <s v="Q3"/>
    <s v="Monsoon"/>
    <s v="S14"/>
    <x v="4"/>
    <x v="4"/>
    <s v="North"/>
    <s v="C2777"/>
    <x v="2"/>
    <s v="Platinum"/>
    <s v="P042"/>
    <x v="14"/>
    <x v="5"/>
    <s v="Large"/>
    <n v="2"/>
    <n v="138.18"/>
    <n v="12"/>
    <n v="22"/>
    <n v="172.18"/>
    <n v="460.6"/>
    <n v="15"/>
    <n v="783.02"/>
    <n v="438.66"/>
    <n v="56.02"/>
    <x v="1"/>
    <s v="Takeaway"/>
    <s v="Kabir"/>
    <n v="4"/>
    <s v="Completed"/>
  </r>
  <r>
    <x v="767"/>
    <d v="2025-10-19T00:00:00"/>
    <s v="08:30"/>
    <s v="Sunday"/>
    <x v="0"/>
    <s v="Q4"/>
    <s v="Autumn"/>
    <s v="S12"/>
    <x v="2"/>
    <x v="2"/>
    <s v="East"/>
    <s v="C2778"/>
    <x v="0"/>
    <s v="Silver"/>
    <s v="P041"/>
    <x v="12"/>
    <x v="5"/>
    <s v="Large"/>
    <n v="2"/>
    <n v="125.58"/>
    <n v="12"/>
    <n v="22"/>
    <n v="159.58000000000001"/>
    <n v="418.6"/>
    <n v="15"/>
    <n v="711.62"/>
    <n v="392.46"/>
    <n v="55.15"/>
    <x v="2"/>
    <s v="Takeaway"/>
    <s v="Aarav"/>
    <n v="4"/>
    <s v="Completed"/>
  </r>
  <r>
    <x v="768"/>
    <d v="2025-06-02T00:00:00"/>
    <s v="08:45"/>
    <s v="Monday"/>
    <x v="10"/>
    <s v="Q2"/>
    <s v="Summer"/>
    <s v="S04"/>
    <x v="5"/>
    <x v="5"/>
    <s v="West"/>
    <s v="C2779"/>
    <x v="1"/>
    <s v="Platinum"/>
    <s v="P002"/>
    <x v="2"/>
    <x v="1"/>
    <s v="Small"/>
    <n v="2"/>
    <n v="71.7"/>
    <n v="12"/>
    <n v="22"/>
    <n v="105.7"/>
    <n v="239"/>
    <n v="5"/>
    <n v="454.1"/>
    <n v="242.7"/>
    <n v="53.45"/>
    <x v="0"/>
    <s v="Takeaway"/>
    <s v="Aarav"/>
    <n v="4"/>
    <s v="Completed"/>
  </r>
  <r>
    <x v="769"/>
    <d v="2025-11-20T00:00:00"/>
    <s v="18:00"/>
    <s v="Thursday"/>
    <x v="1"/>
    <s v="Q4"/>
    <s v="Autumn"/>
    <s v="S04"/>
    <x v="5"/>
    <x v="5"/>
    <s v="West"/>
    <s v="C2780"/>
    <x v="0"/>
    <s v="Platinum"/>
    <s v="P019"/>
    <x v="7"/>
    <x v="4"/>
    <s v="Large"/>
    <n v="1"/>
    <n v="83.58"/>
    <n v="12"/>
    <n v="22"/>
    <n v="117.58"/>
    <n v="278.60000000000002"/>
    <n v="10"/>
    <n v="250.74"/>
    <n v="133.16"/>
    <n v="53.11"/>
    <x v="1"/>
    <s v="Delivery"/>
    <s v="Rohan"/>
    <n v="5"/>
    <s v="Completed"/>
  </r>
  <r>
    <x v="770"/>
    <d v="2025-02-08T00:00:00"/>
    <s v="17:45"/>
    <s v="Saturday"/>
    <x v="3"/>
    <s v="Q1"/>
    <s v="Winter"/>
    <s v="S01"/>
    <x v="0"/>
    <x v="0"/>
    <s v="North"/>
    <s v="C2781"/>
    <x v="1"/>
    <s v="Gold"/>
    <s v="P041"/>
    <x v="12"/>
    <x v="5"/>
    <s v="Small"/>
    <n v="3"/>
    <n v="89.7"/>
    <n v="12"/>
    <n v="22"/>
    <n v="123.7"/>
    <n v="299"/>
    <n v="15"/>
    <n v="762.45"/>
    <n v="391.35"/>
    <n v="51.33"/>
    <x v="2"/>
    <s v="Dine-In"/>
    <s v="Rohan"/>
    <n v="4"/>
    <s v="Completed"/>
  </r>
  <r>
    <x v="771"/>
    <d v="2025-12-08T00:00:00"/>
    <s v="17:45"/>
    <s v="Monday"/>
    <x v="8"/>
    <s v="Q4"/>
    <s v="Winter"/>
    <s v="S12"/>
    <x v="2"/>
    <x v="2"/>
    <s v="East"/>
    <s v="C2782"/>
    <x v="1"/>
    <s v="Gold"/>
    <s v="P004"/>
    <x v="10"/>
    <x v="1"/>
    <s v="Medium"/>
    <n v="1"/>
    <n v="60.84"/>
    <n v="12"/>
    <n v="22"/>
    <n v="94.84"/>
    <n v="202.8"/>
    <n v="0"/>
    <n v="202.8"/>
    <n v="107.96"/>
    <n v="53.23"/>
    <x v="2"/>
    <s v="Dine-In"/>
    <s v="Aarav"/>
    <n v="5"/>
    <s v="Completed"/>
  </r>
  <r>
    <x v="772"/>
    <d v="2025-11-17T00:00:00"/>
    <s v="13:45"/>
    <s v="Monday"/>
    <x v="1"/>
    <s v="Q4"/>
    <s v="Autumn"/>
    <s v="S01"/>
    <x v="0"/>
    <x v="0"/>
    <s v="North"/>
    <s v="C2783"/>
    <x v="0"/>
    <s v="Silver"/>
    <s v="P034"/>
    <x v="0"/>
    <x v="0"/>
    <s v="Medium"/>
    <n v="2"/>
    <n v="93.24"/>
    <n v="12"/>
    <n v="22"/>
    <n v="127.24"/>
    <n v="310.8"/>
    <n v="10"/>
    <n v="559.44000000000005"/>
    <n v="304.95999999999998"/>
    <n v="54.51"/>
    <x v="0"/>
    <s v="Dine-In"/>
    <s v="Meera"/>
    <n v="4"/>
    <s v="Completed"/>
  </r>
  <r>
    <x v="773"/>
    <d v="2025-05-07T00:00:00"/>
    <s v="18:00"/>
    <s v="Wednesday"/>
    <x v="7"/>
    <s v="Q2"/>
    <s v="Summer"/>
    <s v="S04"/>
    <x v="5"/>
    <x v="5"/>
    <s v="West"/>
    <s v="C2784"/>
    <x v="1"/>
    <s v="Platinum"/>
    <s v="P019"/>
    <x v="7"/>
    <x v="4"/>
    <s v="Small"/>
    <n v="3"/>
    <n v="59.7"/>
    <n v="12"/>
    <n v="22"/>
    <n v="93.7"/>
    <n v="199"/>
    <n v="5"/>
    <n v="567.15"/>
    <n v="286.05"/>
    <n v="50.44"/>
    <x v="2"/>
    <s v="Dine-In"/>
    <s v="Diya"/>
    <n v="4"/>
    <s v="Completed"/>
  </r>
  <r>
    <x v="774"/>
    <d v="2025-01-14T00:00:00"/>
    <s v="08:00"/>
    <s v="Tuesday"/>
    <x v="9"/>
    <s v="Q1"/>
    <s v="Winter"/>
    <s v="S07"/>
    <x v="3"/>
    <x v="3"/>
    <s v="South"/>
    <s v="C2785"/>
    <x v="1"/>
    <s v="Platinum"/>
    <s v="P004"/>
    <x v="10"/>
    <x v="1"/>
    <s v="Small"/>
    <n v="1"/>
    <n v="50.7"/>
    <n v="12"/>
    <n v="22"/>
    <n v="84.7"/>
    <n v="169"/>
    <n v="5"/>
    <n v="160.55000000000001"/>
    <n v="75.849999999999994"/>
    <n v="47.24"/>
    <x v="2"/>
    <s v="Takeaway"/>
    <s v="Meera"/>
    <n v="5"/>
    <s v="Completed"/>
  </r>
  <r>
    <x v="775"/>
    <d v="2025-01-30T00:00:00"/>
    <s v="13:45"/>
    <s v="Thursday"/>
    <x v="9"/>
    <s v="Q1"/>
    <s v="Winter"/>
    <s v="S10"/>
    <x v="1"/>
    <x v="1"/>
    <s v="South"/>
    <s v="C2786"/>
    <x v="1"/>
    <s v="Platinum"/>
    <s v="P033"/>
    <x v="8"/>
    <x v="0"/>
    <s v="Medium"/>
    <n v="1"/>
    <n v="89.64"/>
    <n v="12"/>
    <n v="22"/>
    <n v="123.64"/>
    <n v="298.8"/>
    <n v="5"/>
    <n v="283.86"/>
    <n v="160.22"/>
    <n v="56.44"/>
    <x v="2"/>
    <s v="Takeaway"/>
    <s v="Aarav"/>
    <n v="3"/>
    <s v="Completed"/>
  </r>
  <r>
    <x v="776"/>
    <d v="2025-10-19T00:00:00"/>
    <s v="13:00"/>
    <s v="Sunday"/>
    <x v="0"/>
    <s v="Q4"/>
    <s v="Autumn"/>
    <s v="S14"/>
    <x v="4"/>
    <x v="4"/>
    <s v="North"/>
    <s v="C2787"/>
    <x v="2"/>
    <s v="Silver"/>
    <s v="P036"/>
    <x v="11"/>
    <x v="0"/>
    <s v="Large"/>
    <n v="4"/>
    <n v="66.78"/>
    <n v="12"/>
    <n v="22"/>
    <n v="100.78"/>
    <n v="222.6"/>
    <n v="10"/>
    <n v="801.36"/>
    <n v="398.24"/>
    <n v="49.7"/>
    <x v="0"/>
    <s v="Dine-In"/>
    <s v="Meera"/>
    <n v="5"/>
    <s v="Completed"/>
  </r>
  <r>
    <x v="777"/>
    <d v="2025-03-16T00:00:00"/>
    <s v="14:30"/>
    <s v="Sunday"/>
    <x v="5"/>
    <s v="Q1"/>
    <s v="Autumn"/>
    <s v="S07"/>
    <x v="3"/>
    <x v="3"/>
    <s v="South"/>
    <s v="C2788"/>
    <x v="1"/>
    <s v="Silver"/>
    <s v="P028"/>
    <x v="6"/>
    <x v="3"/>
    <s v="Large"/>
    <n v="3"/>
    <n v="104.58"/>
    <n v="12"/>
    <n v="22"/>
    <n v="138.58000000000001"/>
    <n v="348.6"/>
    <n v="15"/>
    <n v="888.93"/>
    <n v="473.19"/>
    <n v="53.23"/>
    <x v="3"/>
    <s v="Dine-In"/>
    <s v="Meera"/>
    <n v="5"/>
    <s v="Completed"/>
  </r>
  <r>
    <x v="778"/>
    <d v="2025-05-27T00:00:00"/>
    <s v="09:15"/>
    <s v="Tuesday"/>
    <x v="7"/>
    <s v="Q2"/>
    <s v="Summer"/>
    <s v="S01"/>
    <x v="0"/>
    <x v="0"/>
    <s v="North"/>
    <s v="C2789"/>
    <x v="2"/>
    <s v="Silver"/>
    <s v="P003"/>
    <x v="3"/>
    <x v="1"/>
    <s v="Large"/>
    <n v="3"/>
    <n v="91.98"/>
    <n v="12"/>
    <n v="22"/>
    <n v="125.98"/>
    <n v="306.60000000000002"/>
    <n v="0"/>
    <n v="919.8"/>
    <n v="541.86"/>
    <n v="58.91"/>
    <x v="3"/>
    <s v="Takeaway"/>
    <s v="Diya"/>
    <n v="5"/>
    <s v="Completed"/>
  </r>
  <r>
    <x v="779"/>
    <d v="2025-07-07T00:00:00"/>
    <s v="17:30"/>
    <s v="Monday"/>
    <x v="6"/>
    <s v="Q3"/>
    <s v="Monsoon"/>
    <s v="S01"/>
    <x v="0"/>
    <x v="0"/>
    <s v="North"/>
    <s v="C2790"/>
    <x v="1"/>
    <s v="Gold"/>
    <s v="P020"/>
    <x v="9"/>
    <x v="4"/>
    <s v="Large"/>
    <n v="3"/>
    <n v="66.78"/>
    <n v="12"/>
    <n v="22"/>
    <n v="100.78"/>
    <n v="222.6"/>
    <n v="10"/>
    <n v="601.02"/>
    <n v="298.68"/>
    <n v="49.7"/>
    <x v="3"/>
    <s v="Delivery"/>
    <s v="Diya"/>
    <n v="5"/>
    <s v="Completed"/>
  </r>
  <r>
    <x v="780"/>
    <d v="2025-05-08T00:00:00"/>
    <s v="17:45"/>
    <s v="Thursday"/>
    <x v="7"/>
    <s v="Q2"/>
    <s v="Summer"/>
    <s v="S01"/>
    <x v="0"/>
    <x v="0"/>
    <s v="North"/>
    <s v="C2791"/>
    <x v="2"/>
    <s v="Platinum"/>
    <s v="P001"/>
    <x v="1"/>
    <x v="1"/>
    <s v="Large"/>
    <n v="2"/>
    <n v="62.58"/>
    <n v="12"/>
    <n v="22"/>
    <n v="96.58"/>
    <n v="208.6"/>
    <n v="5"/>
    <n v="396.34"/>
    <n v="203.18"/>
    <n v="51.26"/>
    <x v="2"/>
    <s v="Dine-In"/>
    <s v="Diya"/>
    <n v="5"/>
    <s v="Completed"/>
  </r>
  <r>
    <x v="781"/>
    <d v="2025-02-01T00:00:00"/>
    <s v="17:15"/>
    <s v="Saturday"/>
    <x v="3"/>
    <s v="Q1"/>
    <s v="Winter"/>
    <s v="S04"/>
    <x v="5"/>
    <x v="5"/>
    <s v="West"/>
    <s v="C2792"/>
    <x v="0"/>
    <s v="Gold"/>
    <s v="P019"/>
    <x v="7"/>
    <x v="4"/>
    <s v="Large"/>
    <n v="2"/>
    <n v="83.58"/>
    <n v="12"/>
    <n v="22"/>
    <n v="117.58"/>
    <n v="278.60000000000002"/>
    <n v="15"/>
    <n v="473.62"/>
    <n v="238.46"/>
    <n v="50.35"/>
    <x v="3"/>
    <s v="Takeaway"/>
    <s v="Meera"/>
    <n v="4"/>
    <s v="Completed"/>
  </r>
  <r>
    <x v="782"/>
    <d v="2025-11-12T00:00:00"/>
    <s v="09:15"/>
    <s v="Wednesday"/>
    <x v="1"/>
    <s v="Q4"/>
    <s v="Autumn"/>
    <s v="S07"/>
    <x v="3"/>
    <x v="3"/>
    <s v="South"/>
    <s v="C2793"/>
    <x v="2"/>
    <s v="Silver"/>
    <s v="P004"/>
    <x v="10"/>
    <x v="1"/>
    <s v="Small"/>
    <n v="2"/>
    <n v="50.7"/>
    <n v="12"/>
    <n v="22"/>
    <n v="84.7"/>
    <n v="169"/>
    <n v="0"/>
    <n v="338"/>
    <n v="168.6"/>
    <n v="49.88"/>
    <x v="2"/>
    <s v="Takeaway"/>
    <s v="Aarav"/>
    <n v="4"/>
    <s v="Completed"/>
  </r>
  <r>
    <x v="783"/>
    <d v="2025-09-05T00:00:00"/>
    <s v="09:00"/>
    <s v="Friday"/>
    <x v="2"/>
    <s v="Q3"/>
    <s v="Monsoon"/>
    <s v="S07"/>
    <x v="3"/>
    <x v="3"/>
    <s v="South"/>
    <s v="C2794"/>
    <x v="1"/>
    <s v="Silver"/>
    <s v="P002"/>
    <x v="2"/>
    <x v="1"/>
    <s v="Small"/>
    <n v="1"/>
    <n v="71.7"/>
    <n v="12"/>
    <n v="22"/>
    <n v="105.7"/>
    <n v="239"/>
    <n v="0"/>
    <n v="239"/>
    <n v="133.30000000000001"/>
    <n v="55.77"/>
    <x v="1"/>
    <s v="Dine-In"/>
    <s v="Kabir"/>
    <n v="5"/>
    <s v="Completed"/>
  </r>
  <r>
    <x v="784"/>
    <d v="2025-11-07T00:00:00"/>
    <s v="13:45"/>
    <s v="Friday"/>
    <x v="1"/>
    <s v="Q4"/>
    <s v="Autumn"/>
    <s v="S14"/>
    <x v="4"/>
    <x v="4"/>
    <s v="North"/>
    <s v="C2795"/>
    <x v="2"/>
    <s v="Silver"/>
    <s v="P033"/>
    <x v="8"/>
    <x v="0"/>
    <s v="Medium"/>
    <n v="2"/>
    <n v="89.64"/>
    <n v="12"/>
    <n v="22"/>
    <n v="123.64"/>
    <n v="298.8"/>
    <n v="0"/>
    <n v="597.6"/>
    <n v="350.32"/>
    <n v="58.62"/>
    <x v="2"/>
    <s v="Dine-In"/>
    <s v="Aarav"/>
    <n v="4"/>
    <s v="Completed"/>
  </r>
  <r>
    <x v="785"/>
    <d v="2025-01-15T00:00:00"/>
    <s v="08:00"/>
    <s v="Wednesday"/>
    <x v="9"/>
    <s v="Q1"/>
    <s v="Winter"/>
    <s v="S10"/>
    <x v="1"/>
    <x v="1"/>
    <s v="South"/>
    <s v="C2796"/>
    <x v="2"/>
    <s v="Platinum"/>
    <s v="P013"/>
    <x v="5"/>
    <x v="2"/>
    <s v="Small"/>
    <n v="2"/>
    <n v="38.700000000000003"/>
    <n v="12"/>
    <n v="22"/>
    <n v="72.7"/>
    <n v="129"/>
    <n v="10"/>
    <n v="232.2"/>
    <n v="86.8"/>
    <n v="37.380000000000003"/>
    <x v="1"/>
    <s v="Takeaway"/>
    <s v="Meera"/>
    <n v="5"/>
    <s v="Completed"/>
  </r>
  <r>
    <x v="786"/>
    <d v="2025-07-19T00:00:00"/>
    <s v="18:00"/>
    <s v="Saturday"/>
    <x v="6"/>
    <s v="Q3"/>
    <s v="Monsoon"/>
    <s v="S04"/>
    <x v="5"/>
    <x v="5"/>
    <s v="West"/>
    <s v="C2797"/>
    <x v="1"/>
    <s v="Gold"/>
    <s v="P004"/>
    <x v="10"/>
    <x v="1"/>
    <s v="Medium"/>
    <n v="2"/>
    <n v="60.84"/>
    <n v="12"/>
    <n v="22"/>
    <n v="94.84"/>
    <n v="202.8"/>
    <n v="15"/>
    <n v="344.76"/>
    <n v="155.08000000000001"/>
    <n v="44.98"/>
    <x v="1"/>
    <s v="Takeaway"/>
    <s v="Diya"/>
    <n v="5"/>
    <s v="Completed"/>
  </r>
  <r>
    <x v="787"/>
    <d v="2025-06-06T00:00:00"/>
    <s v="09:15"/>
    <s v="Friday"/>
    <x v="10"/>
    <s v="Q2"/>
    <s v="Summer"/>
    <s v="S10"/>
    <x v="1"/>
    <x v="1"/>
    <s v="South"/>
    <s v="C2798"/>
    <x v="2"/>
    <s v="Silver"/>
    <s v="P004"/>
    <x v="10"/>
    <x v="1"/>
    <s v="Small"/>
    <n v="2"/>
    <n v="50.7"/>
    <n v="12"/>
    <n v="22"/>
    <n v="84.7"/>
    <n v="169"/>
    <n v="0"/>
    <n v="338"/>
    <n v="168.6"/>
    <n v="49.88"/>
    <x v="3"/>
    <s v="Takeaway"/>
    <s v="Aarav"/>
    <s v="Not Rated"/>
    <s v="Completed"/>
  </r>
  <r>
    <x v="788"/>
    <d v="2025-10-22T00:00:00"/>
    <s v="08:15"/>
    <s v="Wednesday"/>
    <x v="0"/>
    <s v="Q4"/>
    <s v="Autumn"/>
    <s v="S12"/>
    <x v="2"/>
    <x v="2"/>
    <s v="East"/>
    <s v="C2799"/>
    <x v="0"/>
    <s v="Silver"/>
    <s v="P003"/>
    <x v="3"/>
    <x v="1"/>
    <s v="Small"/>
    <n v="2"/>
    <n v="65.7"/>
    <n v="12"/>
    <n v="22"/>
    <n v="99.7"/>
    <n v="219"/>
    <n v="0"/>
    <n v="438"/>
    <n v="238.6"/>
    <n v="54.47"/>
    <x v="2"/>
    <s v="Takeaway"/>
    <s v="Rohan"/>
    <n v="5"/>
    <s v="Completed"/>
  </r>
  <r>
    <x v="789"/>
    <d v="2025-12-02T00:00:00"/>
    <s v="08:00"/>
    <s v="Tuesday"/>
    <x v="8"/>
    <s v="Q4"/>
    <s v="Winter"/>
    <s v="S01"/>
    <x v="0"/>
    <x v="0"/>
    <s v="North"/>
    <s v="C2800"/>
    <x v="0"/>
    <s v="Silver"/>
    <s v="P001"/>
    <x v="1"/>
    <x v="1"/>
    <s v="Medium"/>
    <n v="2"/>
    <n v="53.64"/>
    <n v="12"/>
    <n v="22"/>
    <n v="87.64"/>
    <n v="178.8"/>
    <n v="0"/>
    <n v="357.6"/>
    <n v="182.32"/>
    <n v="50.98"/>
    <x v="3"/>
    <s v="Dine-In"/>
    <s v="Rohan"/>
    <n v="5"/>
    <s v="Completed"/>
  </r>
  <r>
    <x v="790"/>
    <d v="2025-07-13T00:00:00"/>
    <s v="09:30"/>
    <s v="Sunday"/>
    <x v="6"/>
    <s v="Q3"/>
    <s v="Monsoon"/>
    <s v="S10"/>
    <x v="1"/>
    <x v="1"/>
    <s v="South"/>
    <s v="C2801"/>
    <x v="2"/>
    <s v="Platinum"/>
    <s v="P013"/>
    <x v="5"/>
    <x v="2"/>
    <s v="Large"/>
    <n v="2"/>
    <n v="54.18"/>
    <n v="12"/>
    <n v="22"/>
    <n v="88.18"/>
    <n v="180.6"/>
    <n v="15"/>
    <n v="307.02"/>
    <n v="130.66"/>
    <n v="42.56"/>
    <x v="1"/>
    <s v="Takeaway"/>
    <s v="Aarav"/>
    <n v="5"/>
    <s v="Completed"/>
  </r>
  <r>
    <x v="791"/>
    <d v="2025-09-19T00:00:00"/>
    <s v="17:00"/>
    <s v="Friday"/>
    <x v="2"/>
    <s v="Q3"/>
    <s v="Monsoon"/>
    <s v="S10"/>
    <x v="1"/>
    <x v="1"/>
    <s v="South"/>
    <s v="C2802"/>
    <x v="2"/>
    <s v="Gold"/>
    <s v="P002"/>
    <x v="2"/>
    <x v="1"/>
    <s v="Large"/>
    <n v="3"/>
    <n v="100.38"/>
    <n v="12"/>
    <n v="22"/>
    <n v="134.38"/>
    <n v="334.6"/>
    <n v="0"/>
    <n v="1003.8"/>
    <n v="600.66"/>
    <n v="59.84"/>
    <x v="0"/>
    <s v="Dine-In"/>
    <s v="Aarav"/>
    <n v="5"/>
    <s v="Completed"/>
  </r>
  <r>
    <x v="792"/>
    <d v="2025-03-14T00:00:00"/>
    <s v="08:00"/>
    <s v="Friday"/>
    <x v="5"/>
    <s v="Q1"/>
    <s v="Autumn"/>
    <s v="S12"/>
    <x v="2"/>
    <x v="2"/>
    <s v="East"/>
    <s v="C2803"/>
    <x v="0"/>
    <s v="Silver"/>
    <s v="P013"/>
    <x v="5"/>
    <x v="2"/>
    <s v="Large"/>
    <n v="2"/>
    <n v="54.18"/>
    <n v="12"/>
    <n v="22"/>
    <n v="88.18"/>
    <n v="180.6"/>
    <n v="5"/>
    <n v="343.14"/>
    <n v="166.78"/>
    <n v="48.6"/>
    <x v="0"/>
    <s v="Delivery"/>
    <s v="Kabir"/>
    <n v="5"/>
    <s v="Completed"/>
  </r>
  <r>
    <x v="793"/>
    <d v="2025-10-09T00:00:00"/>
    <s v="08:15"/>
    <s v="Thursday"/>
    <x v="0"/>
    <s v="Q4"/>
    <s v="Autumn"/>
    <s v="S10"/>
    <x v="1"/>
    <x v="1"/>
    <s v="South"/>
    <s v="C2804"/>
    <x v="0"/>
    <s v="Platinum"/>
    <s v="P001"/>
    <x v="1"/>
    <x v="1"/>
    <s v="Small"/>
    <n v="2"/>
    <n v="44.7"/>
    <n v="12"/>
    <n v="22"/>
    <n v="78.7"/>
    <n v="149"/>
    <n v="0"/>
    <n v="298"/>
    <n v="140.6"/>
    <n v="47.18"/>
    <x v="2"/>
    <s v="Delivery"/>
    <s v="Aarav"/>
    <n v="4"/>
    <s v="Completed"/>
  </r>
  <r>
    <x v="794"/>
    <d v="2025-03-21T00:00:00"/>
    <s v="14:30"/>
    <s v="Friday"/>
    <x v="5"/>
    <s v="Q1"/>
    <s v="Autumn"/>
    <s v="S12"/>
    <x v="2"/>
    <x v="2"/>
    <s v="East"/>
    <s v="C2805"/>
    <x v="2"/>
    <s v="Silver"/>
    <s v="P036"/>
    <x v="11"/>
    <x v="0"/>
    <s v="Medium"/>
    <n v="3"/>
    <n v="57.24"/>
    <n v="12"/>
    <n v="22"/>
    <n v="91.240000000000009"/>
    <n v="190.8"/>
    <n v="5"/>
    <n v="543.78"/>
    <n v="270.06"/>
    <n v="49.66"/>
    <x v="2"/>
    <s v="Takeaway"/>
    <s v="Diya"/>
    <n v="5"/>
    <s v="Completed"/>
  </r>
  <r>
    <x v="795"/>
    <d v="2025-09-06T00:00:00"/>
    <s v="13:00"/>
    <s v="Saturday"/>
    <x v="2"/>
    <s v="Q3"/>
    <s v="Monsoon"/>
    <s v="S01"/>
    <x v="0"/>
    <x v="0"/>
    <s v="North"/>
    <s v="C2806"/>
    <x v="0"/>
    <s v="Silver"/>
    <s v="P003"/>
    <x v="3"/>
    <x v="1"/>
    <s v="Large"/>
    <n v="2"/>
    <n v="91.98"/>
    <n v="12"/>
    <n v="22"/>
    <n v="125.98"/>
    <n v="306.60000000000002"/>
    <n v="15"/>
    <n v="521.22"/>
    <n v="269.26"/>
    <n v="51.66"/>
    <x v="3"/>
    <s v="Dine-In"/>
    <s v="Rohan"/>
    <n v="5"/>
    <s v="Completed"/>
  </r>
  <r>
    <x v="796"/>
    <d v="2025-11-03T00:00:00"/>
    <s v="18:45"/>
    <s v="Monday"/>
    <x v="1"/>
    <s v="Q4"/>
    <s v="Autumn"/>
    <s v="S12"/>
    <x v="2"/>
    <x v="2"/>
    <s v="East"/>
    <s v="C2807"/>
    <x v="0"/>
    <s v="Silver"/>
    <s v="P002"/>
    <x v="2"/>
    <x v="1"/>
    <s v="Large"/>
    <n v="1"/>
    <n v="100.38"/>
    <n v="12"/>
    <n v="22"/>
    <n v="134.38"/>
    <n v="334.6"/>
    <n v="0"/>
    <n v="334.6"/>
    <n v="200.22"/>
    <n v="59.84"/>
    <x v="1"/>
    <s v="Takeaway"/>
    <s v="Diya"/>
    <n v="5"/>
    <s v="Completed"/>
  </r>
  <r>
    <x v="797"/>
    <d v="2025-07-22T00:00:00"/>
    <s v="13:30"/>
    <s v="Tuesday"/>
    <x v="6"/>
    <s v="Q3"/>
    <s v="Monsoon"/>
    <s v="S04"/>
    <x v="5"/>
    <x v="5"/>
    <s v="West"/>
    <s v="C2808"/>
    <x v="2"/>
    <s v="Silver"/>
    <s v="P027"/>
    <x v="13"/>
    <x v="3"/>
    <s v="Small"/>
    <n v="1"/>
    <n v="68.7"/>
    <n v="12"/>
    <n v="22"/>
    <n v="102.7"/>
    <n v="229"/>
    <n v="0"/>
    <n v="229"/>
    <n v="126.3"/>
    <n v="55.15"/>
    <x v="1"/>
    <s v="Dine-In"/>
    <s v="Diya"/>
    <n v="5"/>
    <s v="Completed"/>
  </r>
  <r>
    <x v="798"/>
    <d v="2025-10-09T00:00:00"/>
    <s v="09:45"/>
    <s v="Thursday"/>
    <x v="0"/>
    <s v="Q4"/>
    <s v="Autumn"/>
    <s v="S01"/>
    <x v="0"/>
    <x v="0"/>
    <s v="North"/>
    <s v="C2809"/>
    <x v="1"/>
    <s v="Silver"/>
    <s v="P004"/>
    <x v="10"/>
    <x v="1"/>
    <s v="Small"/>
    <n v="2"/>
    <n v="50.7"/>
    <n v="12"/>
    <n v="22"/>
    <n v="84.7"/>
    <n v="169"/>
    <n v="0"/>
    <n v="338"/>
    <n v="168.6"/>
    <n v="49.88"/>
    <x v="1"/>
    <s v="Dine-In"/>
    <s v="Meera"/>
    <n v="5"/>
    <s v="Completed"/>
  </r>
  <r>
    <x v="799"/>
    <d v="2025-12-23T00:00:00"/>
    <s v="17:45"/>
    <s v="Tuesday"/>
    <x v="8"/>
    <s v="Q4"/>
    <s v="Winter"/>
    <s v="S10"/>
    <x v="1"/>
    <x v="1"/>
    <s v="South"/>
    <s v="C2810"/>
    <x v="0"/>
    <s v="Platinum"/>
    <s v="P001"/>
    <x v="1"/>
    <x v="1"/>
    <s v="Medium"/>
    <n v="3"/>
    <n v="53.64"/>
    <n v="12"/>
    <n v="22"/>
    <n v="87.64"/>
    <n v="178.8"/>
    <n v="0"/>
    <n v="536.4"/>
    <n v="273.48"/>
    <n v="50.98"/>
    <x v="2"/>
    <s v="Delivery"/>
    <s v="Diya"/>
    <n v="3"/>
    <s v="Completed"/>
  </r>
  <r>
    <x v="800"/>
    <d v="2025-02-12T00:00:00"/>
    <s v="17:15"/>
    <s v="Wednesday"/>
    <x v="3"/>
    <s v="Q1"/>
    <s v="Winter"/>
    <s v="S01"/>
    <x v="0"/>
    <x v="0"/>
    <s v="North"/>
    <s v="C2811"/>
    <x v="1"/>
    <s v="Gold"/>
    <s v="P001"/>
    <x v="1"/>
    <x v="1"/>
    <s v="Large"/>
    <n v="1"/>
    <n v="62.58"/>
    <n v="12"/>
    <n v="22"/>
    <n v="96.58"/>
    <n v="208.6"/>
    <n v="0"/>
    <n v="208.6"/>
    <n v="112.02"/>
    <n v="53.7"/>
    <x v="2"/>
    <s v="Takeaway"/>
    <s v="Kabir"/>
    <n v="5"/>
    <s v="Completed"/>
  </r>
  <r>
    <x v="801"/>
    <d v="2025-05-15T00:00:00"/>
    <s v="09:30"/>
    <s v="Thursday"/>
    <x v="7"/>
    <s v="Q2"/>
    <s v="Summer"/>
    <s v="S01"/>
    <x v="0"/>
    <x v="0"/>
    <s v="North"/>
    <s v="C2812"/>
    <x v="1"/>
    <s v="Platinum"/>
    <s v="P034"/>
    <x v="0"/>
    <x v="0"/>
    <s v="Medium"/>
    <n v="1"/>
    <n v="93.24"/>
    <n v="12"/>
    <n v="22"/>
    <n v="127.24"/>
    <n v="310.8"/>
    <n v="10"/>
    <n v="279.72000000000003"/>
    <n v="152.47999999999999"/>
    <n v="54.51"/>
    <x v="1"/>
    <s v="Dine-In"/>
    <s v="Rohan"/>
    <n v="5"/>
    <s v="Completed"/>
  </r>
  <r>
    <x v="802"/>
    <d v="2025-07-19T00:00:00"/>
    <s v="09:30"/>
    <s v="Saturday"/>
    <x v="6"/>
    <s v="Q3"/>
    <s v="Monsoon"/>
    <s v="S01"/>
    <x v="0"/>
    <x v="0"/>
    <s v="North"/>
    <s v="C2813"/>
    <x v="0"/>
    <s v="Silver"/>
    <s v="P013"/>
    <x v="5"/>
    <x v="2"/>
    <s v="Large"/>
    <n v="1"/>
    <n v="54.18"/>
    <n v="12"/>
    <n v="22"/>
    <n v="88.18"/>
    <n v="180.6"/>
    <n v="10"/>
    <n v="162.54"/>
    <n v="74.36"/>
    <n v="45.75"/>
    <x v="1"/>
    <s v="Dine-In"/>
    <s v="Aarav"/>
    <n v="5"/>
    <s v="Completed"/>
  </r>
  <r>
    <x v="803"/>
    <d v="2025-01-03T00:00:00"/>
    <s v="09:45"/>
    <s v="Friday"/>
    <x v="9"/>
    <s v="Q1"/>
    <s v="Winter"/>
    <s v="S07"/>
    <x v="3"/>
    <x v="3"/>
    <s v="South"/>
    <s v="C2814"/>
    <x v="1"/>
    <s v="Silver"/>
    <s v="P001"/>
    <x v="1"/>
    <x v="1"/>
    <s v="Large"/>
    <n v="3"/>
    <n v="62.58"/>
    <n v="12"/>
    <n v="22"/>
    <n v="96.58"/>
    <n v="208.6"/>
    <n v="5"/>
    <n v="594.51"/>
    <n v="304.77"/>
    <n v="51.26"/>
    <x v="2"/>
    <s v="Takeaway"/>
    <s v="Diya"/>
    <n v="4"/>
    <s v="Completed"/>
  </r>
  <r>
    <x v="804"/>
    <d v="2025-10-21T00:00:00"/>
    <s v="18:30"/>
    <s v="Tuesday"/>
    <x v="0"/>
    <s v="Q4"/>
    <s v="Autumn"/>
    <s v="S10"/>
    <x v="1"/>
    <x v="1"/>
    <s v="South"/>
    <s v="C2815"/>
    <x v="1"/>
    <s v="Gold"/>
    <s v="P020"/>
    <x v="9"/>
    <x v="4"/>
    <s v="Medium"/>
    <n v="2"/>
    <n v="57.24"/>
    <n v="12"/>
    <n v="22"/>
    <n v="91.240000000000009"/>
    <n v="190.8"/>
    <n v="5"/>
    <n v="362.52"/>
    <n v="180.04"/>
    <n v="49.66"/>
    <x v="2"/>
    <s v="Takeaway"/>
    <s v="Rohan"/>
    <n v="4"/>
    <s v="Completed"/>
  </r>
  <r>
    <x v="805"/>
    <d v="2025-03-17T00:00:00"/>
    <s v="18:00"/>
    <s v="Monday"/>
    <x v="5"/>
    <s v="Q1"/>
    <s v="Autumn"/>
    <s v="S10"/>
    <x v="1"/>
    <x v="1"/>
    <s v="South"/>
    <s v="C2816"/>
    <x v="1"/>
    <s v="Silver"/>
    <s v="P003"/>
    <x v="3"/>
    <x v="1"/>
    <s v="Large"/>
    <n v="1"/>
    <n v="91.98"/>
    <n v="12"/>
    <n v="22"/>
    <n v="125.98"/>
    <n v="306.60000000000002"/>
    <n v="0"/>
    <n v="306.60000000000002"/>
    <n v="180.62"/>
    <n v="58.91"/>
    <x v="1"/>
    <s v="Dine-In"/>
    <s v="Rohan"/>
    <n v="4"/>
    <s v="Completed"/>
  </r>
  <r>
    <x v="806"/>
    <d v="2025-08-08T00:00:00"/>
    <s v="13:00"/>
    <s v="Friday"/>
    <x v="4"/>
    <s v="Q3"/>
    <s v="Monsoon"/>
    <s v="S04"/>
    <x v="5"/>
    <x v="5"/>
    <s v="West"/>
    <s v="C2818"/>
    <x v="1"/>
    <s v="Platinum"/>
    <s v="P013"/>
    <x v="5"/>
    <x v="2"/>
    <s v="Large"/>
    <n v="3"/>
    <n v="54.18"/>
    <n v="12"/>
    <n v="22"/>
    <n v="88.18"/>
    <n v="180.6"/>
    <n v="5"/>
    <n v="514.71"/>
    <n v="250.17"/>
    <n v="48.6"/>
    <x v="2"/>
    <s v="Dine-In"/>
    <s v="Diya"/>
    <n v="4"/>
    <s v="Completed"/>
  </r>
  <r>
    <x v="807"/>
    <d v="2025-04-30T00:00:00"/>
    <s v="08:00"/>
    <s v="Wednesday"/>
    <x v="11"/>
    <s v="Q2"/>
    <s v="Summer"/>
    <s v="S10"/>
    <x v="1"/>
    <x v="1"/>
    <s v="South"/>
    <s v="C2819"/>
    <x v="0"/>
    <s v="Gold"/>
    <s v="P034"/>
    <x v="0"/>
    <x v="0"/>
    <s v="Small"/>
    <n v="1"/>
    <n v="77.7"/>
    <n v="12"/>
    <n v="22"/>
    <n v="111.7"/>
    <n v="259"/>
    <n v="0"/>
    <n v="259"/>
    <n v="147.30000000000001"/>
    <n v="56.87"/>
    <x v="2"/>
    <s v="Takeaway"/>
    <s v="Kabir"/>
    <n v="4"/>
    <s v="Completed"/>
  </r>
  <r>
    <x v="808"/>
    <d v="2025-11-18T00:00:00"/>
    <s v="14:00"/>
    <s v="Tuesday"/>
    <x v="1"/>
    <s v="Q4"/>
    <s v="Autumn"/>
    <s v="S07"/>
    <x v="3"/>
    <x v="3"/>
    <s v="South"/>
    <s v="C2820"/>
    <x v="2"/>
    <s v="Silver"/>
    <s v="P027"/>
    <x v="13"/>
    <x v="3"/>
    <s v="Small"/>
    <n v="1"/>
    <n v="68.7"/>
    <n v="12"/>
    <n v="22"/>
    <n v="102.7"/>
    <n v="229"/>
    <n v="0"/>
    <n v="229"/>
    <n v="126.3"/>
    <n v="55.15"/>
    <x v="2"/>
    <s v="Dine-In"/>
    <s v="Aarav"/>
    <n v="5"/>
    <s v="Completed"/>
  </r>
  <r>
    <x v="809"/>
    <d v="2025-05-02T00:00:00"/>
    <s v="08:30"/>
    <s v="Friday"/>
    <x v="7"/>
    <s v="Q2"/>
    <s v="Summer"/>
    <s v="S12"/>
    <x v="2"/>
    <x v="2"/>
    <s v="East"/>
    <s v="C2821"/>
    <x v="2"/>
    <s v="Silver"/>
    <s v="P033"/>
    <x v="8"/>
    <x v="0"/>
    <s v="Large"/>
    <n v="3"/>
    <n v="104.58"/>
    <n v="12"/>
    <n v="22"/>
    <n v="138.58000000000001"/>
    <n v="348.6"/>
    <n v="5"/>
    <n v="993.51"/>
    <n v="577.77"/>
    <n v="58.15"/>
    <x v="2"/>
    <s v="Delivery"/>
    <s v="Diya"/>
    <n v="3"/>
    <s v="Completed"/>
  </r>
  <r>
    <x v="810"/>
    <d v="2025-12-27T00:00:00"/>
    <s v="17:45"/>
    <s v="Saturday"/>
    <x v="8"/>
    <s v="Q4"/>
    <s v="Winter"/>
    <s v="S12"/>
    <x v="2"/>
    <x v="2"/>
    <s v="East"/>
    <s v="C2822"/>
    <x v="1"/>
    <s v="Gold"/>
    <s v="P041"/>
    <x v="12"/>
    <x v="5"/>
    <s v="Small"/>
    <n v="3"/>
    <n v="89.7"/>
    <n v="12"/>
    <n v="22"/>
    <n v="123.7"/>
    <n v="299"/>
    <n v="15"/>
    <n v="762.45"/>
    <n v="391.35"/>
    <n v="51.33"/>
    <x v="0"/>
    <s v="Dine-In"/>
    <s v="Rohan"/>
    <n v="4"/>
    <s v="Completed"/>
  </r>
  <r>
    <x v="811"/>
    <d v="2025-07-28T00:00:00"/>
    <s v="14:00"/>
    <s v="Monday"/>
    <x v="6"/>
    <s v="Q3"/>
    <s v="Monsoon"/>
    <s v="S14"/>
    <x v="4"/>
    <x v="4"/>
    <s v="North"/>
    <s v="C2823"/>
    <x v="2"/>
    <s v="Gold"/>
    <s v="P034"/>
    <x v="0"/>
    <x v="0"/>
    <s v="Small"/>
    <n v="1"/>
    <n v="77.7"/>
    <n v="12"/>
    <n v="22"/>
    <n v="111.7"/>
    <n v="259"/>
    <n v="0"/>
    <n v="259"/>
    <n v="147.30000000000001"/>
    <n v="56.87"/>
    <x v="1"/>
    <s v="Takeaway"/>
    <s v="Rohan"/>
    <n v="5"/>
    <s v="Completed"/>
  </r>
  <r>
    <x v="812"/>
    <d v="2025-09-13T00:00:00"/>
    <s v="17:30"/>
    <s v="Saturday"/>
    <x v="2"/>
    <s v="Q3"/>
    <s v="Monsoon"/>
    <s v="S14"/>
    <x v="4"/>
    <x v="4"/>
    <s v="North"/>
    <s v="C2824"/>
    <x v="0"/>
    <s v="Gold"/>
    <s v="P004"/>
    <x v="10"/>
    <x v="1"/>
    <s v="Small"/>
    <n v="1"/>
    <n v="50.7"/>
    <n v="12"/>
    <n v="22"/>
    <n v="84.7"/>
    <n v="169"/>
    <n v="15"/>
    <n v="143.65"/>
    <n v="58.95"/>
    <n v="41.04"/>
    <x v="4"/>
    <s v="Dine-In"/>
    <s v="Diya"/>
    <n v="5"/>
    <s v="Completed"/>
  </r>
  <r>
    <x v="813"/>
    <d v="2025-06-03T00:00:00"/>
    <s v="09:30"/>
    <s v="Tuesday"/>
    <x v="10"/>
    <s v="Q2"/>
    <s v="Summer"/>
    <s v="S10"/>
    <x v="1"/>
    <x v="1"/>
    <s v="South"/>
    <s v="C2825"/>
    <x v="0"/>
    <s v="Platinum"/>
    <s v="P036"/>
    <x v="11"/>
    <x v="0"/>
    <s v="Large"/>
    <n v="3"/>
    <n v="66.78"/>
    <n v="12"/>
    <n v="22"/>
    <n v="100.78"/>
    <n v="222.6"/>
    <n v="0"/>
    <n v="667.8"/>
    <n v="365.46"/>
    <n v="54.73"/>
    <x v="4"/>
    <s v="Takeaway"/>
    <s v="Kabir"/>
    <n v="5"/>
    <s v="Completed"/>
  </r>
  <r>
    <x v="814"/>
    <d v="2025-08-20T00:00:00"/>
    <s v="08:45"/>
    <s v="Wednesday"/>
    <x v="4"/>
    <s v="Q3"/>
    <s v="Monsoon"/>
    <s v="S07"/>
    <x v="3"/>
    <x v="3"/>
    <s v="South"/>
    <s v="C2826"/>
    <x v="1"/>
    <s v="Silver"/>
    <s v="P013"/>
    <x v="5"/>
    <x v="2"/>
    <s v="Medium"/>
    <n v="3"/>
    <n v="46.44"/>
    <n v="12"/>
    <n v="22"/>
    <n v="80.44"/>
    <n v="154.80000000000001"/>
    <n v="0"/>
    <n v="464.4"/>
    <n v="223.08"/>
    <n v="48.04"/>
    <x v="2"/>
    <s v="Takeaway"/>
    <s v="Kabir"/>
    <n v="5"/>
    <s v="Completed"/>
  </r>
  <r>
    <x v="815"/>
    <d v="2025-08-07T00:00:00"/>
    <s v="13:15"/>
    <s v="Thursday"/>
    <x v="4"/>
    <s v="Q3"/>
    <s v="Monsoon"/>
    <s v="S10"/>
    <x v="1"/>
    <x v="1"/>
    <s v="South"/>
    <s v="C2827"/>
    <x v="0"/>
    <s v="Gold"/>
    <s v="P014"/>
    <x v="4"/>
    <x v="2"/>
    <s v="Large"/>
    <n v="1"/>
    <n v="62.58"/>
    <n v="12"/>
    <n v="22"/>
    <n v="96.58"/>
    <n v="208.6"/>
    <n v="0"/>
    <n v="208.6"/>
    <n v="112.02"/>
    <n v="53.7"/>
    <x v="0"/>
    <s v="Delivery"/>
    <s v="Kabir"/>
    <n v="5"/>
    <s v="Completed"/>
  </r>
  <r>
    <x v="816"/>
    <d v="2025-06-19T00:00:00"/>
    <s v="08:45"/>
    <s v="Thursday"/>
    <x v="10"/>
    <s v="Q2"/>
    <s v="Summer"/>
    <s v="S07"/>
    <x v="3"/>
    <x v="3"/>
    <s v="South"/>
    <s v="C2828"/>
    <x v="1"/>
    <s v="Silver"/>
    <s v="P002"/>
    <x v="2"/>
    <x v="1"/>
    <s v="Medium"/>
    <n v="2"/>
    <n v="86.04"/>
    <n v="12"/>
    <n v="22"/>
    <n v="120.04"/>
    <n v="286.8"/>
    <n v="10"/>
    <n v="516.24"/>
    <n v="276.16000000000003"/>
    <n v="53.49"/>
    <x v="0"/>
    <s v="Takeaway"/>
    <s v="Aarav"/>
    <n v="5"/>
    <s v="Completed"/>
  </r>
  <r>
    <x v="817"/>
    <d v="2025-05-13T00:00:00"/>
    <s v="17:00"/>
    <s v="Tuesday"/>
    <x v="7"/>
    <s v="Q2"/>
    <s v="Summer"/>
    <s v="S14"/>
    <x v="4"/>
    <x v="4"/>
    <s v="North"/>
    <s v="C2829"/>
    <x v="0"/>
    <s v="Silver"/>
    <s v="P036"/>
    <x v="11"/>
    <x v="0"/>
    <s v="Large"/>
    <n v="3"/>
    <n v="66.78"/>
    <n v="12"/>
    <n v="22"/>
    <n v="100.78"/>
    <n v="222.6"/>
    <n v="10"/>
    <n v="601.02"/>
    <n v="298.68"/>
    <n v="49.7"/>
    <x v="2"/>
    <s v="Dine-In"/>
    <s v="Aarav"/>
    <n v="4"/>
    <s v="Completed"/>
  </r>
  <r>
    <x v="818"/>
    <d v="2025-03-09T00:00:00"/>
    <s v="14:45"/>
    <s v="Sunday"/>
    <x v="5"/>
    <s v="Q1"/>
    <s v="Autumn"/>
    <s v="S04"/>
    <x v="5"/>
    <x v="5"/>
    <s v="West"/>
    <s v="C2830"/>
    <x v="1"/>
    <s v="Platinum"/>
    <s v="P003"/>
    <x v="3"/>
    <x v="1"/>
    <s v="Large"/>
    <n v="3"/>
    <n v="91.98"/>
    <n v="12"/>
    <n v="22"/>
    <n v="125.98"/>
    <n v="306.60000000000002"/>
    <n v="10"/>
    <n v="827.82"/>
    <n v="449.88"/>
    <n v="54.35"/>
    <x v="0"/>
    <s v="Dine-In"/>
    <s v="Diya"/>
    <n v="4"/>
    <s v="Completed"/>
  </r>
  <r>
    <x v="819"/>
    <d v="2025-07-19T00:00:00"/>
    <s v="17:00"/>
    <s v="Saturday"/>
    <x v="6"/>
    <s v="Q3"/>
    <s v="Monsoon"/>
    <s v="S04"/>
    <x v="5"/>
    <x v="5"/>
    <s v="West"/>
    <s v="C2831"/>
    <x v="0"/>
    <s v="Gold"/>
    <s v="P042"/>
    <x v="14"/>
    <x v="5"/>
    <s v="Medium"/>
    <n v="2"/>
    <n v="118.44"/>
    <n v="12"/>
    <n v="22"/>
    <n v="152.44"/>
    <n v="394.8"/>
    <n v="15"/>
    <n v="671.16"/>
    <n v="366.28"/>
    <n v="54.57"/>
    <x v="3"/>
    <s v="Dine-In"/>
    <s v="Rohan"/>
    <n v="5"/>
    <s v="Completed"/>
  </r>
  <r>
    <x v="820"/>
    <d v="2025-02-05T00:00:00"/>
    <s v="09:15"/>
    <s v="Wednesday"/>
    <x v="3"/>
    <s v="Q1"/>
    <s v="Winter"/>
    <s v="S10"/>
    <x v="1"/>
    <x v="1"/>
    <s v="South"/>
    <s v="C2832"/>
    <x v="2"/>
    <s v="Gold"/>
    <s v="P002"/>
    <x v="2"/>
    <x v="1"/>
    <s v="Medium"/>
    <n v="2"/>
    <n v="86.04"/>
    <n v="12"/>
    <n v="22"/>
    <n v="120.04"/>
    <n v="286.8"/>
    <n v="5"/>
    <n v="544.91999999999996"/>
    <n v="304.83999999999997"/>
    <n v="55.94"/>
    <x v="3"/>
    <s v="Takeaway"/>
    <s v="Kabir"/>
    <n v="5"/>
    <s v="Completed"/>
  </r>
  <r>
    <x v="821"/>
    <d v="2025-03-10T00:00:00"/>
    <s v="13:00"/>
    <s v="Monday"/>
    <x v="5"/>
    <s v="Q1"/>
    <s v="Autumn"/>
    <s v="S12"/>
    <x v="2"/>
    <x v="2"/>
    <s v="East"/>
    <s v="C2833"/>
    <x v="2"/>
    <s v="Platinum"/>
    <s v="P027"/>
    <x v="13"/>
    <x v="3"/>
    <s v="Large"/>
    <n v="3"/>
    <n v="96.18"/>
    <n v="12"/>
    <n v="22"/>
    <n v="130.18"/>
    <n v="320.60000000000002"/>
    <n v="5"/>
    <n v="913.71"/>
    <n v="523.16999999999996"/>
    <n v="57.26"/>
    <x v="1"/>
    <s v="Takeaway"/>
    <s v="Diya"/>
    <n v="4"/>
    <s v="Completed"/>
  </r>
  <r>
    <x v="822"/>
    <d v="2025-04-18T00:00:00"/>
    <s v="17:15"/>
    <s v="Friday"/>
    <x v="11"/>
    <s v="Q2"/>
    <s v="Summer"/>
    <s v="S10"/>
    <x v="1"/>
    <x v="1"/>
    <s v="South"/>
    <s v="C2834"/>
    <x v="2"/>
    <s v="Platinum"/>
    <s v="P001"/>
    <x v="1"/>
    <x v="1"/>
    <s v="Medium"/>
    <n v="3"/>
    <n v="53.64"/>
    <n v="12"/>
    <n v="22"/>
    <n v="87.64"/>
    <n v="178.8"/>
    <n v="5"/>
    <n v="509.58"/>
    <n v="246.66"/>
    <n v="48.4"/>
    <x v="3"/>
    <s v="Dine-In"/>
    <s v="Aarav"/>
    <n v="4"/>
    <s v="Completed"/>
  </r>
  <r>
    <x v="823"/>
    <d v="2025-09-07T00:00:00"/>
    <s v="09:15"/>
    <s v="Sunday"/>
    <x v="2"/>
    <s v="Q3"/>
    <s v="Monsoon"/>
    <s v="S14"/>
    <x v="4"/>
    <x v="4"/>
    <s v="North"/>
    <s v="C2835"/>
    <x v="0"/>
    <s v="Gold"/>
    <s v="P003"/>
    <x v="3"/>
    <x v="1"/>
    <s v="Medium"/>
    <n v="3"/>
    <n v="78.84"/>
    <n v="12"/>
    <n v="22"/>
    <n v="112.84"/>
    <n v="262.8"/>
    <n v="10"/>
    <n v="709.56"/>
    <n v="371.04"/>
    <n v="52.29"/>
    <x v="1"/>
    <s v="Dine-In"/>
    <s v="Diya"/>
    <n v="5"/>
    <s v="Completed"/>
  </r>
  <r>
    <x v="824"/>
    <d v="2025-01-07T00:00:00"/>
    <s v="08:45"/>
    <s v="Tuesday"/>
    <x v="9"/>
    <s v="Q1"/>
    <s v="Winter"/>
    <s v="S14"/>
    <x v="4"/>
    <x v="4"/>
    <s v="North"/>
    <s v="C2836"/>
    <x v="1"/>
    <s v="Silver"/>
    <s v="P004"/>
    <x v="10"/>
    <x v="1"/>
    <s v="Medium"/>
    <n v="2"/>
    <n v="60.84"/>
    <n v="12"/>
    <n v="22"/>
    <n v="94.84"/>
    <n v="202.8"/>
    <n v="0"/>
    <n v="405.6"/>
    <n v="215.92"/>
    <n v="53.23"/>
    <x v="2"/>
    <s v="Delivery"/>
    <s v="Rohan"/>
    <n v="5"/>
    <s v="Completed"/>
  </r>
  <r>
    <x v="825"/>
    <d v="2025-11-21T00:00:00"/>
    <s v="13:30"/>
    <s v="Friday"/>
    <x v="1"/>
    <s v="Q4"/>
    <s v="Autumn"/>
    <s v="S01"/>
    <x v="0"/>
    <x v="0"/>
    <s v="North"/>
    <s v="C2838"/>
    <x v="2"/>
    <s v="Platinum"/>
    <s v="P034"/>
    <x v="0"/>
    <x v="0"/>
    <s v="Medium"/>
    <n v="3"/>
    <n v="93.24"/>
    <n v="12"/>
    <n v="22"/>
    <n v="127.24"/>
    <n v="310.8"/>
    <n v="0"/>
    <n v="932.4"/>
    <n v="550.67999999999995"/>
    <n v="59.06"/>
    <x v="2"/>
    <s v="Delivery"/>
    <s v="Kabir"/>
    <n v="4"/>
    <s v="Completed"/>
  </r>
  <r>
    <x v="826"/>
    <d v="2025-03-24T00:00:00"/>
    <s v="08:30"/>
    <s v="Monday"/>
    <x v="5"/>
    <s v="Q1"/>
    <s v="Autumn"/>
    <s v="S14"/>
    <x v="4"/>
    <x v="4"/>
    <s v="North"/>
    <s v="C2839"/>
    <x v="2"/>
    <s v="Gold"/>
    <s v="P002"/>
    <x v="2"/>
    <x v="1"/>
    <s v="Large"/>
    <n v="3"/>
    <n v="100.38"/>
    <n v="12"/>
    <n v="22"/>
    <n v="134.38"/>
    <n v="334.6"/>
    <n v="10"/>
    <n v="903.42"/>
    <n v="500.28"/>
    <n v="55.38"/>
    <x v="0"/>
    <s v="Delivery"/>
    <s v="Rohan"/>
    <n v="5"/>
    <s v="Completed"/>
  </r>
  <r>
    <x v="827"/>
    <d v="2025-06-18T00:00:00"/>
    <s v="08:45"/>
    <s v="Wednesday"/>
    <x v="10"/>
    <s v="Q2"/>
    <s v="Summer"/>
    <s v="S01"/>
    <x v="0"/>
    <x v="0"/>
    <s v="North"/>
    <s v="C2840"/>
    <x v="2"/>
    <s v="Gold"/>
    <s v="P004"/>
    <x v="10"/>
    <x v="1"/>
    <s v="Small"/>
    <n v="2"/>
    <n v="50.7"/>
    <n v="12"/>
    <n v="22"/>
    <n v="84.7"/>
    <n v="169"/>
    <n v="0"/>
    <n v="338"/>
    <n v="168.6"/>
    <n v="49.88"/>
    <x v="2"/>
    <s v="Takeaway"/>
    <s v="Rohan"/>
    <n v="5"/>
    <s v="Completed"/>
  </r>
  <r>
    <x v="828"/>
    <d v="2025-08-06T00:00:00"/>
    <s v="13:30"/>
    <s v="Wednesday"/>
    <x v="4"/>
    <s v="Q3"/>
    <s v="Monsoon"/>
    <s v="S12"/>
    <x v="2"/>
    <x v="2"/>
    <s v="East"/>
    <s v="C2841"/>
    <x v="1"/>
    <s v="Platinum"/>
    <s v="P027"/>
    <x v="13"/>
    <x v="3"/>
    <s v="Large"/>
    <n v="1"/>
    <n v="96.18"/>
    <n v="12"/>
    <n v="22"/>
    <n v="130.18"/>
    <n v="320.60000000000002"/>
    <n v="0"/>
    <n v="320.60000000000002"/>
    <n v="190.42"/>
    <n v="59.39"/>
    <x v="0"/>
    <s v="Dine-In"/>
    <s v="Aarav"/>
    <n v="5"/>
    <s v="Completed"/>
  </r>
  <r>
    <x v="829"/>
    <d v="2025-07-27T00:00:00"/>
    <s v="08:30"/>
    <s v="Sunday"/>
    <x v="6"/>
    <s v="Q3"/>
    <s v="Monsoon"/>
    <s v="S07"/>
    <x v="3"/>
    <x v="3"/>
    <s v="South"/>
    <s v="C2842"/>
    <x v="0"/>
    <s v="Gold"/>
    <s v="P004"/>
    <x v="10"/>
    <x v="1"/>
    <s v="Medium"/>
    <n v="1"/>
    <n v="60.84"/>
    <n v="12"/>
    <n v="22"/>
    <n v="94.84"/>
    <n v="202.8"/>
    <n v="15"/>
    <n v="172.38"/>
    <n v="77.540000000000006"/>
    <n v="44.98"/>
    <x v="3"/>
    <s v="Takeaway"/>
    <s v="Meera"/>
    <n v="5"/>
    <s v="Completed"/>
  </r>
  <r>
    <x v="830"/>
    <d v="2025-06-05T00:00:00"/>
    <s v="13:45"/>
    <s v="Thursday"/>
    <x v="10"/>
    <s v="Q2"/>
    <s v="Summer"/>
    <s v="S10"/>
    <x v="1"/>
    <x v="1"/>
    <s v="South"/>
    <s v="C2843"/>
    <x v="0"/>
    <s v="Platinum"/>
    <s v="P033"/>
    <x v="8"/>
    <x v="0"/>
    <s v="Large"/>
    <n v="3"/>
    <n v="104.58"/>
    <n v="12"/>
    <n v="22"/>
    <n v="138.58000000000001"/>
    <n v="348.6"/>
    <n v="10"/>
    <n v="941.22"/>
    <n v="525.48"/>
    <n v="55.83"/>
    <x v="1"/>
    <s v="Dine-In"/>
    <s v="Rohan"/>
    <n v="5"/>
    <s v="Completed"/>
  </r>
  <r>
    <x v="831"/>
    <d v="2025-02-08T00:00:00"/>
    <s v="14:00"/>
    <s v="Saturday"/>
    <x v="3"/>
    <s v="Q1"/>
    <s v="Winter"/>
    <s v="S07"/>
    <x v="3"/>
    <x v="3"/>
    <s v="South"/>
    <s v="C2844"/>
    <x v="2"/>
    <s v="Silver"/>
    <s v="P003"/>
    <x v="3"/>
    <x v="1"/>
    <s v="Small"/>
    <n v="4"/>
    <n v="65.7"/>
    <n v="12"/>
    <n v="22"/>
    <n v="99.7"/>
    <n v="219"/>
    <n v="15"/>
    <n v="744.6"/>
    <n v="345.8"/>
    <n v="46.44"/>
    <x v="1"/>
    <s v="Dine-In"/>
    <s v="Rohan"/>
    <n v="4"/>
    <s v="Completed"/>
  </r>
  <r>
    <x v="832"/>
    <d v="2025-09-26T00:00:00"/>
    <s v="18:30"/>
    <s v="Friday"/>
    <x v="2"/>
    <s v="Q3"/>
    <s v="Monsoon"/>
    <s v="S01"/>
    <x v="0"/>
    <x v="0"/>
    <s v="North"/>
    <s v="C2845"/>
    <x v="1"/>
    <s v="Gold"/>
    <s v="P020"/>
    <x v="9"/>
    <x v="4"/>
    <s v="Small"/>
    <n v="2"/>
    <n v="47.7"/>
    <n v="12"/>
    <n v="22"/>
    <n v="81.7"/>
    <n v="159"/>
    <n v="0"/>
    <n v="318"/>
    <n v="154.6"/>
    <n v="48.62"/>
    <x v="2"/>
    <s v="Dine-In"/>
    <s v="Kabir"/>
    <n v="4"/>
    <s v="Completed"/>
  </r>
  <r>
    <x v="833"/>
    <d v="2025-05-05T00:00:00"/>
    <s v="09:15"/>
    <s v="Monday"/>
    <x v="7"/>
    <s v="Q2"/>
    <s v="Summer"/>
    <s v="S14"/>
    <x v="4"/>
    <x v="4"/>
    <s v="North"/>
    <s v="C2846"/>
    <x v="2"/>
    <s v="Platinum"/>
    <s v="P002"/>
    <x v="2"/>
    <x v="1"/>
    <s v="Small"/>
    <n v="1"/>
    <n v="71.7"/>
    <n v="12"/>
    <n v="22"/>
    <n v="105.7"/>
    <n v="239"/>
    <n v="0"/>
    <n v="239"/>
    <n v="133.30000000000001"/>
    <n v="55.77"/>
    <x v="2"/>
    <s v="Delivery"/>
    <s v="Meera"/>
    <n v="4"/>
    <s v="Completed"/>
  </r>
  <r>
    <x v="834"/>
    <d v="2025-04-19T00:00:00"/>
    <s v="14:15"/>
    <s v="Saturday"/>
    <x v="11"/>
    <s v="Q2"/>
    <s v="Summer"/>
    <s v="S10"/>
    <x v="1"/>
    <x v="1"/>
    <s v="South"/>
    <s v="C2847"/>
    <x v="1"/>
    <s v="Silver"/>
    <s v="P042"/>
    <x v="14"/>
    <x v="5"/>
    <s v="Medium"/>
    <n v="2"/>
    <n v="118.44"/>
    <n v="12"/>
    <n v="22"/>
    <n v="152.44"/>
    <n v="394.8"/>
    <n v="10"/>
    <n v="710.64"/>
    <n v="405.76"/>
    <n v="57.1"/>
    <x v="1"/>
    <s v="Dine-In"/>
    <s v="Kabir"/>
    <n v="5"/>
    <s v="Completed"/>
  </r>
  <r>
    <x v="835"/>
    <d v="2025-08-13T00:00:00"/>
    <s v="18:00"/>
    <s v="Wednesday"/>
    <x v="4"/>
    <s v="Q3"/>
    <s v="Monsoon"/>
    <s v="S01"/>
    <x v="0"/>
    <x v="0"/>
    <s v="North"/>
    <s v="C2848"/>
    <x v="1"/>
    <s v="Silver"/>
    <s v="P004"/>
    <x v="10"/>
    <x v="1"/>
    <s v="Large"/>
    <n v="3"/>
    <n v="70.98"/>
    <n v="12"/>
    <n v="22"/>
    <n v="104.98"/>
    <n v="236.6"/>
    <n v="5"/>
    <n v="674.31"/>
    <n v="359.37"/>
    <n v="53.29"/>
    <x v="2"/>
    <s v="Dine-In"/>
    <s v="Kabir"/>
    <n v="4"/>
    <s v="Completed"/>
  </r>
  <r>
    <x v="836"/>
    <d v="2025-02-28T00:00:00"/>
    <s v="17:00"/>
    <s v="Friday"/>
    <x v="3"/>
    <s v="Q1"/>
    <s v="Winter"/>
    <s v="S07"/>
    <x v="3"/>
    <x v="3"/>
    <s v="South"/>
    <s v="C2849"/>
    <x v="1"/>
    <s v="Silver"/>
    <s v="P019"/>
    <x v="7"/>
    <x v="4"/>
    <s v="Medium"/>
    <n v="2"/>
    <n v="71.64"/>
    <n v="12"/>
    <n v="22"/>
    <n v="105.64"/>
    <n v="238.8"/>
    <n v="0"/>
    <n v="477.6"/>
    <n v="266.32"/>
    <n v="55.76"/>
    <x v="1"/>
    <s v="Dine-In"/>
    <s v="Diya"/>
    <n v="4"/>
    <s v="Completed"/>
  </r>
  <r>
    <x v="837"/>
    <d v="2025-07-01T00:00:00"/>
    <s v="17:15"/>
    <s v="Tuesday"/>
    <x v="6"/>
    <s v="Q3"/>
    <s v="Monsoon"/>
    <s v="S10"/>
    <x v="1"/>
    <x v="1"/>
    <s v="South"/>
    <s v="C2850"/>
    <x v="0"/>
    <s v="Gold"/>
    <s v="P001"/>
    <x v="1"/>
    <x v="1"/>
    <s v="Large"/>
    <n v="1"/>
    <n v="62.58"/>
    <n v="12"/>
    <n v="22"/>
    <n v="96.58"/>
    <n v="208.6"/>
    <n v="0"/>
    <n v="208.6"/>
    <n v="112.02"/>
    <n v="53.7"/>
    <x v="2"/>
    <s v="Dine-In"/>
    <s v="Meera"/>
    <n v="5"/>
    <s v="Completed"/>
  </r>
  <r>
    <x v="838"/>
    <d v="2025-09-23T00:00:00"/>
    <s v="13:00"/>
    <s v="Tuesday"/>
    <x v="2"/>
    <s v="Q3"/>
    <s v="Monsoon"/>
    <s v="S04"/>
    <x v="5"/>
    <x v="5"/>
    <s v="West"/>
    <s v="C2851"/>
    <x v="2"/>
    <s v="Gold"/>
    <s v="P034"/>
    <x v="0"/>
    <x v="0"/>
    <s v="Medium"/>
    <n v="2"/>
    <n v="93.24"/>
    <n v="12"/>
    <n v="22"/>
    <n v="127.24"/>
    <n v="310.8"/>
    <n v="0"/>
    <n v="621.6"/>
    <n v="367.12"/>
    <n v="59.06"/>
    <x v="1"/>
    <s v="Dine-In"/>
    <s v="Diya"/>
    <n v="4"/>
    <s v="Completed"/>
  </r>
  <r>
    <x v="839"/>
    <d v="2025-08-25T00:00:00"/>
    <s v="18:45"/>
    <s v="Monday"/>
    <x v="4"/>
    <s v="Q3"/>
    <s v="Monsoon"/>
    <s v="S01"/>
    <x v="0"/>
    <x v="0"/>
    <s v="North"/>
    <s v="C2852"/>
    <x v="2"/>
    <s v="Silver"/>
    <s v="P013"/>
    <x v="5"/>
    <x v="2"/>
    <s v="Small"/>
    <n v="3"/>
    <n v="38.700000000000003"/>
    <n v="12"/>
    <n v="22"/>
    <n v="72.7"/>
    <n v="129"/>
    <n v="0"/>
    <n v="387"/>
    <n v="168.9"/>
    <n v="43.64"/>
    <x v="0"/>
    <s v="Takeaway"/>
    <s v="Aarav"/>
    <s v="Not Rated"/>
    <s v="Completed"/>
  </r>
  <r>
    <x v="840"/>
    <d v="2025-11-29T00:00:00"/>
    <s v="09:45"/>
    <s v="Saturday"/>
    <x v="1"/>
    <s v="Q4"/>
    <s v="Autumn"/>
    <s v="S01"/>
    <x v="0"/>
    <x v="0"/>
    <s v="North"/>
    <s v="C2853"/>
    <x v="1"/>
    <s v="Platinum"/>
    <s v="P003"/>
    <x v="3"/>
    <x v="1"/>
    <s v="Small"/>
    <n v="1"/>
    <n v="65.7"/>
    <n v="12"/>
    <n v="22"/>
    <n v="99.7"/>
    <n v="219"/>
    <n v="10"/>
    <n v="197.1"/>
    <n v="97.4"/>
    <n v="49.42"/>
    <x v="2"/>
    <s v="Takeaway"/>
    <s v="Meera"/>
    <s v="Not Rated"/>
    <s v="Completed"/>
  </r>
  <r>
    <x v="841"/>
    <d v="2025-05-17T00:00:00"/>
    <s v="18:00"/>
    <s v="Saturday"/>
    <x v="7"/>
    <s v="Q2"/>
    <s v="Summer"/>
    <s v="S12"/>
    <x v="2"/>
    <x v="2"/>
    <s v="East"/>
    <s v="C2854"/>
    <x v="0"/>
    <s v="Silver"/>
    <s v="P041"/>
    <x v="12"/>
    <x v="5"/>
    <s v="Large"/>
    <n v="1"/>
    <n v="125.58"/>
    <n v="12"/>
    <n v="22"/>
    <n v="159.58000000000001"/>
    <n v="418.6"/>
    <n v="15"/>
    <n v="355.81"/>
    <n v="196.23"/>
    <n v="55.15"/>
    <x v="0"/>
    <s v="Dine-In"/>
    <s v="Kabir"/>
    <n v="4"/>
    <s v="Completed"/>
  </r>
  <r>
    <x v="842"/>
    <d v="2025-07-02T00:00:00"/>
    <s v="08:15"/>
    <s v="Wednesday"/>
    <x v="6"/>
    <s v="Q3"/>
    <s v="Monsoon"/>
    <s v="S12"/>
    <x v="2"/>
    <x v="2"/>
    <s v="East"/>
    <s v="C2855"/>
    <x v="2"/>
    <s v="Platinum"/>
    <s v="P004"/>
    <x v="10"/>
    <x v="1"/>
    <s v="Large"/>
    <n v="1"/>
    <n v="70.98"/>
    <n v="12"/>
    <n v="22"/>
    <n v="104.98"/>
    <n v="236.6"/>
    <n v="10"/>
    <n v="212.94"/>
    <n v="107.96"/>
    <n v="50.7"/>
    <x v="0"/>
    <s v="Takeaway"/>
    <s v="Diya"/>
    <n v="4"/>
    <s v="Completed"/>
  </r>
  <r>
    <x v="843"/>
    <d v="2025-12-31T00:00:00"/>
    <s v="17:30"/>
    <s v="Wednesday"/>
    <x v="8"/>
    <s v="Q4"/>
    <s v="Winter"/>
    <s v="S12"/>
    <x v="2"/>
    <x v="2"/>
    <s v="East"/>
    <s v="C2856"/>
    <x v="1"/>
    <s v="Platinum"/>
    <s v="P004"/>
    <x v="10"/>
    <x v="1"/>
    <s v="Small"/>
    <n v="3"/>
    <n v="50.7"/>
    <n v="12"/>
    <n v="22"/>
    <n v="84.7"/>
    <n v="169"/>
    <n v="10"/>
    <n v="456.3"/>
    <n v="202.2"/>
    <n v="44.31"/>
    <x v="0"/>
    <s v="Takeaway"/>
    <s v="Diya"/>
    <n v="4"/>
    <s v="Completed"/>
  </r>
  <r>
    <x v="844"/>
    <d v="2025-09-23T00:00:00"/>
    <s v="13:30"/>
    <s v="Tuesday"/>
    <x v="2"/>
    <s v="Q3"/>
    <s v="Monsoon"/>
    <s v="S12"/>
    <x v="2"/>
    <x v="2"/>
    <s v="East"/>
    <s v="C2857"/>
    <x v="2"/>
    <s v="Silver"/>
    <s v="P013"/>
    <x v="5"/>
    <x v="2"/>
    <s v="Small"/>
    <n v="2"/>
    <n v="38.700000000000003"/>
    <n v="12"/>
    <n v="22"/>
    <n v="72.7"/>
    <n v="129"/>
    <n v="5"/>
    <n v="245.1"/>
    <n v="99.7"/>
    <n v="40.68"/>
    <x v="2"/>
    <s v="Takeaway"/>
    <s v="Aarav"/>
    <n v="5"/>
    <s v="Completed"/>
  </r>
  <r>
    <x v="845"/>
    <d v="2025-12-29T00:00:00"/>
    <s v="18:15"/>
    <s v="Monday"/>
    <x v="8"/>
    <s v="Q4"/>
    <s v="Winter"/>
    <s v="S14"/>
    <x v="4"/>
    <x v="4"/>
    <s v="North"/>
    <s v="C2858"/>
    <x v="1"/>
    <s v="Silver"/>
    <s v="P002"/>
    <x v="2"/>
    <x v="1"/>
    <s v="Small"/>
    <n v="2"/>
    <n v="71.7"/>
    <n v="12"/>
    <n v="22"/>
    <n v="105.7"/>
    <n v="239"/>
    <n v="10"/>
    <n v="430.2"/>
    <n v="218.8"/>
    <n v="50.86"/>
    <x v="2"/>
    <s v="Dine-In"/>
    <s v="Aarav"/>
    <n v="4"/>
    <s v="Completed"/>
  </r>
  <r>
    <x v="846"/>
    <d v="2025-02-08T00:00:00"/>
    <s v="18:00"/>
    <s v="Saturday"/>
    <x v="3"/>
    <s v="Q1"/>
    <s v="Winter"/>
    <s v="S07"/>
    <x v="3"/>
    <x v="3"/>
    <s v="South"/>
    <s v="C2859"/>
    <x v="1"/>
    <s v="Silver"/>
    <s v="P001"/>
    <x v="1"/>
    <x v="1"/>
    <s v="Small"/>
    <n v="2"/>
    <n v="44.7"/>
    <n v="12"/>
    <n v="22"/>
    <n v="78.7"/>
    <n v="149"/>
    <n v="10"/>
    <n v="268.2"/>
    <n v="110.8"/>
    <n v="41.31"/>
    <x v="1"/>
    <s v="Delivery"/>
    <s v="Kabir"/>
    <n v="5"/>
    <s v="Completed"/>
  </r>
  <r>
    <x v="847"/>
    <d v="2025-03-22T00:00:00"/>
    <s v="09:45"/>
    <s v="Saturday"/>
    <x v="5"/>
    <s v="Q1"/>
    <s v="Autumn"/>
    <s v="S07"/>
    <x v="3"/>
    <x v="3"/>
    <s v="South"/>
    <s v="C2860"/>
    <x v="1"/>
    <s v="Gold"/>
    <s v="P041"/>
    <x v="12"/>
    <x v="5"/>
    <s v="Large"/>
    <n v="3"/>
    <n v="125.58"/>
    <n v="12"/>
    <n v="22"/>
    <n v="159.58000000000001"/>
    <n v="418.6"/>
    <n v="10"/>
    <n v="1130.22"/>
    <n v="651.48"/>
    <n v="57.64"/>
    <x v="3"/>
    <s v="Delivery"/>
    <s v="Aarav"/>
    <n v="5"/>
    <s v="Completed"/>
  </r>
  <r>
    <x v="848"/>
    <d v="2025-04-29T00:00:00"/>
    <s v="14:45"/>
    <s v="Tuesday"/>
    <x v="11"/>
    <s v="Q2"/>
    <s v="Summer"/>
    <s v="S07"/>
    <x v="3"/>
    <x v="3"/>
    <s v="South"/>
    <s v="C2861"/>
    <x v="1"/>
    <s v="Platinum"/>
    <s v="P034"/>
    <x v="0"/>
    <x v="0"/>
    <s v="Large"/>
    <n v="1"/>
    <n v="108.78"/>
    <n v="12"/>
    <n v="22"/>
    <n v="142.78"/>
    <n v="362.6"/>
    <n v="5"/>
    <n v="344.47"/>
    <n v="201.69"/>
    <n v="58.55"/>
    <x v="2"/>
    <s v="Dine-In"/>
    <s v="Kabir"/>
    <n v="4"/>
    <s v="Completed"/>
  </r>
  <r>
    <x v="849"/>
    <d v="2025-03-04T00:00:00"/>
    <s v="13:00"/>
    <s v="Tuesday"/>
    <x v="5"/>
    <s v="Q1"/>
    <s v="Autumn"/>
    <s v="S12"/>
    <x v="2"/>
    <x v="2"/>
    <s v="East"/>
    <s v="C2862"/>
    <x v="0"/>
    <s v="Silver"/>
    <s v="P034"/>
    <x v="0"/>
    <x v="0"/>
    <s v="Large"/>
    <n v="1"/>
    <n v="108.78"/>
    <n v="12"/>
    <n v="22"/>
    <n v="142.78"/>
    <n v="362.6"/>
    <n v="10"/>
    <n v="326.33999999999997"/>
    <n v="183.56"/>
    <n v="56.25"/>
    <x v="3"/>
    <s v="Takeaway"/>
    <s v="Diya"/>
    <n v="3"/>
    <s v="Completed"/>
  </r>
  <r>
    <x v="850"/>
    <d v="2025-04-25T00:00:00"/>
    <s v="08:00"/>
    <s v="Friday"/>
    <x v="11"/>
    <s v="Q2"/>
    <s v="Summer"/>
    <s v="S14"/>
    <x v="4"/>
    <x v="4"/>
    <s v="North"/>
    <s v="C2863"/>
    <x v="1"/>
    <s v="Platinum"/>
    <s v="P034"/>
    <x v="0"/>
    <x v="0"/>
    <s v="Medium"/>
    <n v="3"/>
    <n v="93.24"/>
    <n v="12"/>
    <n v="22"/>
    <n v="127.24"/>
    <n v="310.8"/>
    <n v="0"/>
    <n v="932.4"/>
    <n v="550.67999999999995"/>
    <n v="59.06"/>
    <x v="3"/>
    <s v="Takeaway"/>
    <s v="Diya"/>
    <n v="5"/>
    <s v="Completed"/>
  </r>
  <r>
    <x v="851"/>
    <d v="2025-08-11T00:00:00"/>
    <s v="09:15"/>
    <s v="Monday"/>
    <x v="4"/>
    <s v="Q3"/>
    <s v="Monsoon"/>
    <s v="S07"/>
    <x v="3"/>
    <x v="3"/>
    <s v="South"/>
    <s v="C2864"/>
    <x v="2"/>
    <s v="Gold"/>
    <s v="P003"/>
    <x v="3"/>
    <x v="1"/>
    <s v="Medium"/>
    <n v="3"/>
    <n v="78.84"/>
    <n v="12"/>
    <n v="22"/>
    <n v="112.84"/>
    <n v="262.8"/>
    <n v="5"/>
    <n v="748.98"/>
    <n v="410.46"/>
    <n v="54.8"/>
    <x v="3"/>
    <s v="Delivery"/>
    <s v="Aarav"/>
    <n v="4"/>
    <s v="Completed"/>
  </r>
  <r>
    <x v="852"/>
    <d v="2025-10-22T00:00:00"/>
    <s v="17:00"/>
    <s v="Wednesday"/>
    <x v="0"/>
    <s v="Q4"/>
    <s v="Autumn"/>
    <s v="S01"/>
    <x v="0"/>
    <x v="0"/>
    <s v="North"/>
    <s v="C2865"/>
    <x v="2"/>
    <s v="Platinum"/>
    <s v="P019"/>
    <x v="7"/>
    <x v="4"/>
    <s v="Large"/>
    <n v="3"/>
    <n v="83.58"/>
    <n v="12"/>
    <n v="22"/>
    <n v="117.58"/>
    <n v="278.60000000000002"/>
    <n v="10"/>
    <n v="752.22"/>
    <n v="399.48"/>
    <n v="53.11"/>
    <x v="0"/>
    <s v="Dine-In"/>
    <s v="Kabir"/>
    <n v="4"/>
    <s v="Completed"/>
  </r>
  <r>
    <x v="853"/>
    <d v="2025-07-23T00:00:00"/>
    <s v="09:30"/>
    <s v="Wednesday"/>
    <x v="6"/>
    <s v="Q3"/>
    <s v="Monsoon"/>
    <s v="S12"/>
    <x v="2"/>
    <x v="2"/>
    <s v="East"/>
    <s v="C2866"/>
    <x v="1"/>
    <s v="Silver"/>
    <s v="P013"/>
    <x v="5"/>
    <x v="2"/>
    <s v="Large"/>
    <n v="3"/>
    <n v="54.18"/>
    <n v="12"/>
    <n v="22"/>
    <n v="88.18"/>
    <n v="180.6"/>
    <n v="0"/>
    <n v="541.79999999999995"/>
    <n v="277.26"/>
    <n v="51.17"/>
    <x v="0"/>
    <s v="Dine-In"/>
    <s v="Meera"/>
    <n v="5"/>
    <s v="Completed"/>
  </r>
  <r>
    <x v="854"/>
    <d v="2025-01-14T00:00:00"/>
    <s v="08:15"/>
    <s v="Tuesday"/>
    <x v="9"/>
    <s v="Q1"/>
    <s v="Winter"/>
    <s v="S10"/>
    <x v="1"/>
    <x v="1"/>
    <s v="South"/>
    <s v="C2867"/>
    <x v="1"/>
    <s v="Platinum"/>
    <s v="P004"/>
    <x v="10"/>
    <x v="1"/>
    <s v="Medium"/>
    <n v="2"/>
    <n v="60.84"/>
    <n v="12"/>
    <n v="22"/>
    <n v="94.84"/>
    <n v="202.8"/>
    <n v="0"/>
    <n v="405.6"/>
    <n v="215.92"/>
    <n v="53.23"/>
    <x v="0"/>
    <s v="Delivery"/>
    <s v="Meera"/>
    <n v="5"/>
    <s v="Completed"/>
  </r>
  <r>
    <x v="855"/>
    <d v="2025-03-07T00:00:00"/>
    <s v="17:00"/>
    <s v="Friday"/>
    <x v="5"/>
    <s v="Q1"/>
    <s v="Autumn"/>
    <s v="S12"/>
    <x v="2"/>
    <x v="2"/>
    <s v="East"/>
    <s v="C2869"/>
    <x v="2"/>
    <s v="Gold"/>
    <s v="P020"/>
    <x v="9"/>
    <x v="4"/>
    <s v="Small"/>
    <n v="3"/>
    <n v="47.7"/>
    <n v="12"/>
    <n v="22"/>
    <n v="81.7"/>
    <n v="159"/>
    <n v="0"/>
    <n v="477"/>
    <n v="231.9"/>
    <n v="48.62"/>
    <x v="3"/>
    <s v="Dine-In"/>
    <s v="Rohan"/>
    <n v="4"/>
    <s v="Completed"/>
  </r>
  <r>
    <x v="856"/>
    <d v="2025-04-13T00:00:00"/>
    <s v="17:45"/>
    <s v="Sunday"/>
    <x v="11"/>
    <s v="Q2"/>
    <s v="Summer"/>
    <s v="S14"/>
    <x v="4"/>
    <x v="4"/>
    <s v="North"/>
    <s v="C2870"/>
    <x v="1"/>
    <s v="Silver"/>
    <s v="P036"/>
    <x v="11"/>
    <x v="0"/>
    <s v="Small"/>
    <n v="1"/>
    <n v="47.7"/>
    <n v="12"/>
    <n v="22"/>
    <n v="81.7"/>
    <n v="159"/>
    <n v="10"/>
    <n v="143.1"/>
    <n v="61.4"/>
    <n v="42.91"/>
    <x v="3"/>
    <s v="Dine-In"/>
    <s v="Meera"/>
    <n v="4"/>
    <s v="Completed"/>
  </r>
  <r>
    <x v="857"/>
    <d v="2025-09-22T00:00:00"/>
    <s v="18:00"/>
    <s v="Monday"/>
    <x v="2"/>
    <s v="Q3"/>
    <s v="Monsoon"/>
    <s v="S14"/>
    <x v="4"/>
    <x v="4"/>
    <s v="North"/>
    <s v="C2871"/>
    <x v="1"/>
    <s v="Silver"/>
    <s v="P003"/>
    <x v="3"/>
    <x v="1"/>
    <s v="Medium"/>
    <n v="1"/>
    <n v="78.84"/>
    <n v="12"/>
    <n v="22"/>
    <n v="112.84"/>
    <n v="262.8"/>
    <n v="10"/>
    <n v="236.52"/>
    <n v="123.68"/>
    <n v="52.29"/>
    <x v="2"/>
    <s v="Delivery"/>
    <s v="Meera"/>
    <n v="4"/>
    <s v="Completed"/>
  </r>
  <r>
    <x v="858"/>
    <d v="2025-11-19T00:00:00"/>
    <s v="18:00"/>
    <s v="Wednesday"/>
    <x v="1"/>
    <s v="Q4"/>
    <s v="Autumn"/>
    <s v="S07"/>
    <x v="3"/>
    <x v="3"/>
    <s v="South"/>
    <s v="C2872"/>
    <x v="0"/>
    <s v="Platinum"/>
    <s v="P001"/>
    <x v="1"/>
    <x v="1"/>
    <s v="Medium"/>
    <n v="1"/>
    <n v="53.64"/>
    <n v="12"/>
    <n v="22"/>
    <n v="87.64"/>
    <n v="178.8"/>
    <n v="5"/>
    <n v="169.86"/>
    <n v="82.22"/>
    <n v="48.4"/>
    <x v="2"/>
    <s v="Takeaway"/>
    <s v="Kabir"/>
    <n v="5"/>
    <s v="Completed"/>
  </r>
  <r>
    <x v="859"/>
    <d v="2025-11-15T00:00:00"/>
    <s v="18:15"/>
    <s v="Saturday"/>
    <x v="1"/>
    <s v="Q4"/>
    <s v="Autumn"/>
    <s v="S10"/>
    <x v="1"/>
    <x v="1"/>
    <s v="South"/>
    <s v="C2873"/>
    <x v="2"/>
    <s v="Gold"/>
    <s v="P041"/>
    <x v="12"/>
    <x v="5"/>
    <s v="Large"/>
    <n v="3"/>
    <n v="125.58"/>
    <n v="12"/>
    <n v="22"/>
    <n v="159.58000000000001"/>
    <n v="418.6"/>
    <n v="10"/>
    <n v="1130.22"/>
    <n v="651.48"/>
    <n v="57.64"/>
    <x v="2"/>
    <s v="Takeaway"/>
    <s v="Aarav"/>
    <n v="4"/>
    <s v="Completed"/>
  </r>
  <r>
    <x v="860"/>
    <d v="2025-08-08T00:00:00"/>
    <s v="08:15"/>
    <s v="Friday"/>
    <x v="4"/>
    <s v="Q3"/>
    <s v="Monsoon"/>
    <s v="S01"/>
    <x v="0"/>
    <x v="0"/>
    <s v="North"/>
    <s v="C2874"/>
    <x v="0"/>
    <s v="Silver"/>
    <s v="P014"/>
    <x v="4"/>
    <x v="2"/>
    <s v="Medium"/>
    <n v="2"/>
    <n v="53.64"/>
    <n v="12"/>
    <n v="22"/>
    <n v="87.64"/>
    <n v="178.8"/>
    <n v="5"/>
    <n v="339.72"/>
    <n v="164.44"/>
    <n v="48.4"/>
    <x v="0"/>
    <s v="Takeaway"/>
    <s v="Rohan"/>
    <n v="5"/>
    <s v="Completed"/>
  </r>
  <r>
    <x v="861"/>
    <d v="2025-07-07T00:00:00"/>
    <s v="09:15"/>
    <s v="Monday"/>
    <x v="6"/>
    <s v="Q3"/>
    <s v="Monsoon"/>
    <s v="S10"/>
    <x v="1"/>
    <x v="1"/>
    <s v="South"/>
    <s v="C2875"/>
    <x v="1"/>
    <s v="Silver"/>
    <s v="P013"/>
    <x v="5"/>
    <x v="2"/>
    <s v="Medium"/>
    <n v="1"/>
    <n v="46.44"/>
    <n v="12"/>
    <n v="22"/>
    <n v="80.44"/>
    <n v="154.80000000000001"/>
    <n v="0"/>
    <n v="154.80000000000001"/>
    <n v="74.36"/>
    <n v="48.04"/>
    <x v="2"/>
    <s v="Takeaway"/>
    <s v="Diya"/>
    <n v="5"/>
    <s v="Completed"/>
  </r>
  <r>
    <x v="862"/>
    <d v="2025-06-29T00:00:00"/>
    <s v="13:00"/>
    <s v="Sunday"/>
    <x v="10"/>
    <s v="Q2"/>
    <s v="Summer"/>
    <s v="S14"/>
    <x v="4"/>
    <x v="4"/>
    <s v="North"/>
    <s v="C2876"/>
    <x v="0"/>
    <s v="Platinum"/>
    <s v="P033"/>
    <x v="8"/>
    <x v="0"/>
    <s v="Medium"/>
    <n v="2"/>
    <n v="89.64"/>
    <n v="12"/>
    <n v="22"/>
    <n v="123.64"/>
    <n v="298.8"/>
    <n v="15"/>
    <n v="507.96"/>
    <n v="260.68"/>
    <n v="51.32"/>
    <x v="2"/>
    <s v="Takeaway"/>
    <s v="Rohan"/>
    <n v="3"/>
    <s v="Completed"/>
  </r>
  <r>
    <x v="863"/>
    <d v="2025-04-14T00:00:00"/>
    <s v="14:15"/>
    <s v="Monday"/>
    <x v="11"/>
    <s v="Q2"/>
    <s v="Summer"/>
    <s v="S14"/>
    <x v="4"/>
    <x v="4"/>
    <s v="North"/>
    <s v="C2877"/>
    <x v="1"/>
    <s v="Gold"/>
    <s v="P036"/>
    <x v="11"/>
    <x v="0"/>
    <s v="Small"/>
    <n v="3"/>
    <n v="47.7"/>
    <n v="12"/>
    <n v="22"/>
    <n v="81.7"/>
    <n v="159"/>
    <n v="0"/>
    <n v="429.3"/>
    <n v="184.2"/>
    <n v="42.91"/>
    <x v="3"/>
    <s v="Dine-In"/>
    <s v="Diya"/>
    <n v="5"/>
    <s v="Completed"/>
  </r>
  <r>
    <x v="864"/>
    <d v="2025-01-21T00:00:00"/>
    <s v="17:45"/>
    <s v="Tuesday"/>
    <x v="9"/>
    <s v="Q1"/>
    <s v="Winter"/>
    <s v="S12"/>
    <x v="2"/>
    <x v="2"/>
    <s v="East"/>
    <s v="C2878"/>
    <x v="2"/>
    <s v="Gold"/>
    <s v="P003"/>
    <x v="3"/>
    <x v="1"/>
    <s v="Medium"/>
    <n v="2"/>
    <n v="78.84"/>
    <n v="12"/>
    <n v="22"/>
    <n v="112.84"/>
    <n v="262.8"/>
    <n v="5"/>
    <n v="499.32"/>
    <n v="273.64"/>
    <n v="54.8"/>
    <x v="2"/>
    <s v="Dine-In"/>
    <s v="Rohan"/>
    <n v="5"/>
    <s v="Completed"/>
  </r>
  <r>
    <x v="865"/>
    <d v="2025-06-24T00:00:00"/>
    <s v="14:00"/>
    <s v="Tuesday"/>
    <x v="10"/>
    <s v="Q2"/>
    <s v="Summer"/>
    <s v="S01"/>
    <x v="0"/>
    <x v="0"/>
    <s v="North"/>
    <s v="C2879"/>
    <x v="2"/>
    <s v="Platinum"/>
    <s v="P033"/>
    <x v="8"/>
    <x v="0"/>
    <s v="Large"/>
    <n v="2"/>
    <n v="104.58"/>
    <n v="12"/>
    <n v="22"/>
    <n v="138.58000000000001"/>
    <n v="348.6"/>
    <n v="5"/>
    <n v="662.34"/>
    <n v="385.18"/>
    <n v="58.15"/>
    <x v="2"/>
    <s v="Delivery"/>
    <s v="Kabir"/>
    <n v="3"/>
    <s v="Completed"/>
  </r>
  <r>
    <x v="866"/>
    <d v="2025-08-14T00:00:00"/>
    <s v="18:15"/>
    <s v="Thursday"/>
    <x v="4"/>
    <s v="Q3"/>
    <s v="Monsoon"/>
    <s v="S01"/>
    <x v="0"/>
    <x v="0"/>
    <s v="North"/>
    <s v="C2880"/>
    <x v="2"/>
    <s v="Platinum"/>
    <s v="P013"/>
    <x v="5"/>
    <x v="2"/>
    <s v="Medium"/>
    <n v="1"/>
    <n v="46.44"/>
    <n v="12"/>
    <n v="22"/>
    <n v="80.44"/>
    <n v="154.80000000000001"/>
    <n v="0"/>
    <n v="154.80000000000001"/>
    <n v="74.36"/>
    <n v="48.04"/>
    <x v="1"/>
    <s v="Takeaway"/>
    <s v="Aarav"/>
    <n v="5"/>
    <s v="Completed"/>
  </r>
  <r>
    <x v="867"/>
    <d v="2025-05-27T00:00:00"/>
    <s v="08:45"/>
    <s v="Tuesday"/>
    <x v="7"/>
    <s v="Q2"/>
    <s v="Summer"/>
    <s v="S07"/>
    <x v="3"/>
    <x v="3"/>
    <s v="South"/>
    <s v="C2881"/>
    <x v="2"/>
    <s v="Platinum"/>
    <s v="P013"/>
    <x v="5"/>
    <x v="2"/>
    <s v="Small"/>
    <n v="2"/>
    <n v="38.700000000000003"/>
    <n v="12"/>
    <n v="22"/>
    <n v="72.7"/>
    <n v="129"/>
    <n v="0"/>
    <n v="258"/>
    <n v="112.6"/>
    <n v="43.64"/>
    <x v="0"/>
    <s v="Takeaway"/>
    <s v="Rohan"/>
    <n v="5"/>
    <s v="Completed"/>
  </r>
  <r>
    <x v="868"/>
    <d v="2025-12-26T00:00:00"/>
    <s v="09:30"/>
    <s v="Friday"/>
    <x v="8"/>
    <s v="Q4"/>
    <s v="Winter"/>
    <s v="S14"/>
    <x v="4"/>
    <x v="4"/>
    <s v="North"/>
    <s v="C2882"/>
    <x v="1"/>
    <s v="Platinum"/>
    <s v="P003"/>
    <x v="3"/>
    <x v="1"/>
    <s v="Medium"/>
    <n v="2"/>
    <n v="78.84"/>
    <n v="12"/>
    <n v="22"/>
    <n v="112.84"/>
    <n v="262.8"/>
    <n v="0"/>
    <n v="525.6"/>
    <n v="299.92"/>
    <n v="57.06"/>
    <x v="3"/>
    <s v="Takeaway"/>
    <s v="Rohan"/>
    <n v="4"/>
    <s v="Completed"/>
  </r>
  <r>
    <x v="869"/>
    <d v="2025-02-14T00:00:00"/>
    <s v="18:30"/>
    <s v="Friday"/>
    <x v="3"/>
    <s v="Q1"/>
    <s v="Winter"/>
    <s v="S01"/>
    <x v="0"/>
    <x v="0"/>
    <s v="North"/>
    <s v="C2883"/>
    <x v="1"/>
    <s v="Gold"/>
    <s v="P002"/>
    <x v="2"/>
    <x v="1"/>
    <s v="Small"/>
    <n v="1"/>
    <n v="71.7"/>
    <n v="12"/>
    <n v="22"/>
    <n v="105.7"/>
    <n v="239"/>
    <n v="5"/>
    <n v="227.05"/>
    <n v="121.35"/>
    <n v="53.45"/>
    <x v="3"/>
    <s v="Dine-In"/>
    <s v="Aarav"/>
    <n v="5"/>
    <s v="Completed"/>
  </r>
  <r>
    <x v="870"/>
    <d v="2025-10-29T00:00:00"/>
    <s v="17:00"/>
    <s v="Wednesday"/>
    <x v="0"/>
    <s v="Q4"/>
    <s v="Autumn"/>
    <s v="S04"/>
    <x v="5"/>
    <x v="5"/>
    <s v="West"/>
    <s v="C2884"/>
    <x v="1"/>
    <s v="Silver"/>
    <s v="P003"/>
    <x v="3"/>
    <x v="1"/>
    <s v="Medium"/>
    <n v="1"/>
    <n v="78.84"/>
    <n v="12"/>
    <n v="22"/>
    <n v="112.84"/>
    <n v="262.8"/>
    <n v="0"/>
    <n v="262.8"/>
    <n v="149.96"/>
    <n v="57.06"/>
    <x v="3"/>
    <s v="Dine-In"/>
    <s v="Aarav"/>
    <n v="3"/>
    <s v="Completed"/>
  </r>
  <r>
    <x v="871"/>
    <d v="2025-06-06T00:00:00"/>
    <s v="18:15"/>
    <s v="Friday"/>
    <x v="10"/>
    <s v="Q2"/>
    <s v="Summer"/>
    <s v="S07"/>
    <x v="3"/>
    <x v="3"/>
    <s v="South"/>
    <s v="C2885"/>
    <x v="1"/>
    <s v="Platinum"/>
    <s v="P003"/>
    <x v="3"/>
    <x v="1"/>
    <s v="Large"/>
    <n v="3"/>
    <n v="91.98"/>
    <n v="12"/>
    <n v="22"/>
    <n v="125.98"/>
    <n v="306.60000000000002"/>
    <n v="10"/>
    <n v="827.82"/>
    <n v="449.88"/>
    <n v="54.35"/>
    <x v="0"/>
    <s v="Takeaway"/>
    <s v="Meera"/>
    <n v="5"/>
    <s v="Completed"/>
  </r>
  <r>
    <x v="872"/>
    <d v="2025-05-22T00:00:00"/>
    <s v="14:30"/>
    <s v="Thursday"/>
    <x v="7"/>
    <s v="Q2"/>
    <s v="Summer"/>
    <s v="S12"/>
    <x v="2"/>
    <x v="2"/>
    <s v="East"/>
    <s v="C2886"/>
    <x v="2"/>
    <s v="Silver"/>
    <s v="P034"/>
    <x v="0"/>
    <x v="0"/>
    <s v="Large"/>
    <n v="1"/>
    <n v="108.78"/>
    <n v="12"/>
    <n v="22"/>
    <n v="142.78"/>
    <n v="362.6"/>
    <n v="0"/>
    <n v="362.6"/>
    <n v="219.82"/>
    <n v="60.62"/>
    <x v="3"/>
    <s v="Dine-In"/>
    <s v="Kabir"/>
    <n v="5"/>
    <s v="Completed"/>
  </r>
  <r>
    <x v="873"/>
    <d v="2025-09-17T00:00:00"/>
    <s v="08:00"/>
    <s v="Wednesday"/>
    <x v="2"/>
    <s v="Q3"/>
    <s v="Monsoon"/>
    <s v="S04"/>
    <x v="5"/>
    <x v="5"/>
    <s v="West"/>
    <s v="C2887"/>
    <x v="0"/>
    <s v="Silver"/>
    <s v="P013"/>
    <x v="5"/>
    <x v="2"/>
    <s v="Medium"/>
    <n v="1"/>
    <n v="46.44"/>
    <n v="12"/>
    <n v="22"/>
    <n v="80.44"/>
    <n v="154.80000000000001"/>
    <n v="0"/>
    <n v="154.80000000000001"/>
    <n v="74.36"/>
    <n v="48.04"/>
    <x v="1"/>
    <s v="Delivery"/>
    <s v="Aarav"/>
    <n v="5"/>
    <s v="Completed"/>
  </r>
  <r>
    <x v="874"/>
    <d v="2025-03-04T00:00:00"/>
    <s v="18:45"/>
    <s v="Tuesday"/>
    <x v="5"/>
    <s v="Q1"/>
    <s v="Autumn"/>
    <s v="S04"/>
    <x v="5"/>
    <x v="5"/>
    <s v="West"/>
    <s v="C2888"/>
    <x v="2"/>
    <s v="Platinum"/>
    <s v="P004"/>
    <x v="10"/>
    <x v="1"/>
    <s v="Large"/>
    <n v="2"/>
    <n v="70.98"/>
    <n v="12"/>
    <n v="22"/>
    <n v="104.98"/>
    <n v="236.6"/>
    <n v="10"/>
    <n v="425.88"/>
    <n v="215.92"/>
    <n v="50.7"/>
    <x v="3"/>
    <s v="Takeaway"/>
    <s v="Rohan"/>
    <n v="4"/>
    <s v="Completed"/>
  </r>
  <r>
    <x v="875"/>
    <d v="2025-03-14T00:00:00"/>
    <s v="18:45"/>
    <s v="Friday"/>
    <x v="5"/>
    <s v="Q1"/>
    <s v="Autumn"/>
    <s v="S01"/>
    <x v="0"/>
    <x v="0"/>
    <s v="North"/>
    <s v="C2889"/>
    <x v="1"/>
    <s v="Platinum"/>
    <s v="P004"/>
    <x v="10"/>
    <x v="1"/>
    <s v="Small"/>
    <n v="1"/>
    <n v="50.7"/>
    <n v="12"/>
    <n v="22"/>
    <n v="84.7"/>
    <n v="169"/>
    <n v="5"/>
    <n v="160.55000000000001"/>
    <n v="75.849999999999994"/>
    <n v="47.24"/>
    <x v="1"/>
    <s v="Dine-In"/>
    <s v="Rohan"/>
    <n v="5"/>
    <s v="Completed"/>
  </r>
  <r>
    <x v="876"/>
    <d v="2025-09-09T00:00:00"/>
    <s v="13:00"/>
    <s v="Tuesday"/>
    <x v="2"/>
    <s v="Q3"/>
    <s v="Monsoon"/>
    <s v="S10"/>
    <x v="1"/>
    <x v="1"/>
    <s v="South"/>
    <s v="C2890"/>
    <x v="1"/>
    <s v="Gold"/>
    <s v="P036"/>
    <x v="11"/>
    <x v="0"/>
    <s v="Small"/>
    <n v="1"/>
    <n v="47.7"/>
    <n v="12"/>
    <n v="22"/>
    <n v="81.7"/>
    <n v="159"/>
    <n v="0"/>
    <n v="159"/>
    <n v="77.3"/>
    <n v="48.62"/>
    <x v="3"/>
    <s v="Takeaway"/>
    <s v="Diya"/>
    <n v="4"/>
    <s v="Completed"/>
  </r>
  <r>
    <x v="877"/>
    <d v="2025-01-27T00:00:00"/>
    <s v="09:15"/>
    <s v="Monday"/>
    <x v="9"/>
    <s v="Q1"/>
    <s v="Winter"/>
    <s v="S01"/>
    <x v="0"/>
    <x v="0"/>
    <s v="North"/>
    <s v="C2891"/>
    <x v="2"/>
    <s v="Gold"/>
    <s v="P004"/>
    <x v="10"/>
    <x v="1"/>
    <s v="Small"/>
    <n v="1"/>
    <n v="50.7"/>
    <n v="12"/>
    <n v="22"/>
    <n v="84.7"/>
    <n v="169"/>
    <n v="0"/>
    <n v="169"/>
    <n v="84.3"/>
    <n v="49.88"/>
    <x v="3"/>
    <s v="Takeaway"/>
    <s v="Diya"/>
    <n v="5"/>
    <s v="Completed"/>
  </r>
  <r>
    <x v="878"/>
    <d v="2025-10-01T00:00:00"/>
    <s v="09:00"/>
    <s v="Wednesday"/>
    <x v="0"/>
    <s v="Q4"/>
    <s v="Autumn"/>
    <s v="S10"/>
    <x v="1"/>
    <x v="1"/>
    <s v="South"/>
    <s v="C2892"/>
    <x v="1"/>
    <s v="Silver"/>
    <s v="P001"/>
    <x v="1"/>
    <x v="1"/>
    <s v="Small"/>
    <n v="2"/>
    <n v="44.7"/>
    <n v="12"/>
    <n v="22"/>
    <n v="78.7"/>
    <n v="149"/>
    <n v="5"/>
    <n v="283.10000000000002"/>
    <n v="125.7"/>
    <n v="44.4"/>
    <x v="0"/>
    <s v="Takeaway"/>
    <s v="Rohan"/>
    <n v="4"/>
    <s v="Completed"/>
  </r>
  <r>
    <x v="879"/>
    <d v="2025-08-06T00:00:00"/>
    <s v="17:45"/>
    <s v="Wednesday"/>
    <x v="4"/>
    <s v="Q3"/>
    <s v="Monsoon"/>
    <s v="S07"/>
    <x v="3"/>
    <x v="3"/>
    <s v="South"/>
    <s v="C2893"/>
    <x v="0"/>
    <s v="Gold"/>
    <s v="P014"/>
    <x v="4"/>
    <x v="2"/>
    <s v="Small"/>
    <n v="1"/>
    <n v="44.7"/>
    <n v="12"/>
    <n v="22"/>
    <n v="78.7"/>
    <n v="149"/>
    <n v="0"/>
    <n v="149"/>
    <n v="70.3"/>
    <n v="47.18"/>
    <x v="1"/>
    <s v="Dine-In"/>
    <s v="Kabir"/>
    <n v="5"/>
    <s v="Completed"/>
  </r>
  <r>
    <x v="880"/>
    <d v="2025-09-27T00:00:00"/>
    <s v="18:30"/>
    <s v="Saturday"/>
    <x v="2"/>
    <s v="Q3"/>
    <s v="Monsoon"/>
    <s v="S04"/>
    <x v="5"/>
    <x v="5"/>
    <s v="West"/>
    <s v="C2894"/>
    <x v="1"/>
    <s v="Silver"/>
    <s v="P042"/>
    <x v="14"/>
    <x v="5"/>
    <s v="Medium"/>
    <n v="2"/>
    <n v="118.44"/>
    <n v="12"/>
    <n v="22"/>
    <n v="152.44"/>
    <n v="394.8"/>
    <n v="10"/>
    <n v="710.64"/>
    <n v="405.76"/>
    <n v="57.1"/>
    <x v="0"/>
    <s v="Delivery"/>
    <s v="Diya"/>
    <n v="5"/>
    <s v="Completed"/>
  </r>
  <r>
    <x v="881"/>
    <d v="2025-06-04T00:00:00"/>
    <s v="18:45"/>
    <s v="Wednesday"/>
    <x v="10"/>
    <s v="Q2"/>
    <s v="Summer"/>
    <s v="S07"/>
    <x v="3"/>
    <x v="3"/>
    <s v="South"/>
    <s v="C2895"/>
    <x v="0"/>
    <s v="Gold"/>
    <s v="P002"/>
    <x v="2"/>
    <x v="1"/>
    <s v="Small"/>
    <n v="3"/>
    <n v="71.7"/>
    <n v="12"/>
    <n v="22"/>
    <n v="105.7"/>
    <n v="239"/>
    <n v="10"/>
    <n v="645.29999999999995"/>
    <n v="328.2"/>
    <n v="50.86"/>
    <x v="1"/>
    <s v="Delivery"/>
    <s v="Kabir"/>
    <n v="5"/>
    <s v="Completed"/>
  </r>
  <r>
    <x v="882"/>
    <d v="2025-08-18T00:00:00"/>
    <s v="18:45"/>
    <s v="Monday"/>
    <x v="4"/>
    <s v="Q3"/>
    <s v="Monsoon"/>
    <s v="S14"/>
    <x v="4"/>
    <x v="4"/>
    <s v="North"/>
    <s v="C2896"/>
    <x v="0"/>
    <s v="Gold"/>
    <s v="P003"/>
    <x v="3"/>
    <x v="1"/>
    <s v="Small"/>
    <n v="2"/>
    <n v="65.7"/>
    <n v="12"/>
    <n v="22"/>
    <n v="99.7"/>
    <n v="219"/>
    <n v="0"/>
    <n v="438"/>
    <n v="238.6"/>
    <n v="54.47"/>
    <x v="3"/>
    <s v="Dine-In"/>
    <s v="Kabir"/>
    <n v="5"/>
    <s v="Completed"/>
  </r>
  <r>
    <x v="883"/>
    <d v="2025-01-15T00:00:00"/>
    <s v="17:00"/>
    <s v="Wednesday"/>
    <x v="9"/>
    <s v="Q1"/>
    <s v="Winter"/>
    <s v="S04"/>
    <x v="5"/>
    <x v="5"/>
    <s v="West"/>
    <s v="C2897"/>
    <x v="0"/>
    <s v="Silver"/>
    <s v="P002"/>
    <x v="2"/>
    <x v="1"/>
    <s v="Large"/>
    <n v="1"/>
    <n v="100.38"/>
    <n v="12"/>
    <n v="22"/>
    <n v="134.38"/>
    <n v="334.6"/>
    <n v="0"/>
    <n v="334.6"/>
    <n v="200.22"/>
    <n v="59.84"/>
    <x v="1"/>
    <s v="Dine-In"/>
    <s v="Aarav"/>
    <n v="5"/>
    <s v="Completed"/>
  </r>
  <r>
    <x v="884"/>
    <d v="2025-06-30T00:00:00"/>
    <s v="09:15"/>
    <s v="Monday"/>
    <x v="10"/>
    <s v="Q2"/>
    <s v="Summer"/>
    <s v="S12"/>
    <x v="2"/>
    <x v="2"/>
    <s v="East"/>
    <s v="C2898"/>
    <x v="2"/>
    <s v="Platinum"/>
    <s v="P003"/>
    <x v="3"/>
    <x v="1"/>
    <s v="Large"/>
    <n v="1"/>
    <n v="91.98"/>
    <n v="12"/>
    <n v="22"/>
    <n v="125.98"/>
    <n v="306.60000000000002"/>
    <n v="0"/>
    <n v="306.60000000000002"/>
    <n v="180.62"/>
    <n v="58.91"/>
    <x v="3"/>
    <s v="Takeaway"/>
    <s v="Kabir"/>
    <n v="5"/>
    <s v="Completed"/>
  </r>
  <r>
    <x v="885"/>
    <d v="2025-01-02T00:00:00"/>
    <s v="17:45"/>
    <s v="Thursday"/>
    <x v="9"/>
    <s v="Q1"/>
    <s v="Winter"/>
    <s v="S04"/>
    <x v="5"/>
    <x v="5"/>
    <s v="West"/>
    <s v="C2899"/>
    <x v="0"/>
    <s v="Platinum"/>
    <s v="P003"/>
    <x v="3"/>
    <x v="1"/>
    <s v="Medium"/>
    <n v="1"/>
    <n v="78.84"/>
    <n v="12"/>
    <n v="22"/>
    <n v="112.84"/>
    <n v="262.8"/>
    <n v="0"/>
    <n v="262.8"/>
    <n v="149.96"/>
    <n v="57.06"/>
    <x v="0"/>
    <s v="Takeaway"/>
    <s v="Kabir"/>
    <n v="5"/>
    <s v="Completed"/>
  </r>
  <r>
    <x v="886"/>
    <d v="2025-02-06T00:00:00"/>
    <s v="08:45"/>
    <s v="Thursday"/>
    <x v="3"/>
    <s v="Q1"/>
    <s v="Winter"/>
    <s v="S01"/>
    <x v="0"/>
    <x v="0"/>
    <s v="North"/>
    <s v="C2900"/>
    <x v="1"/>
    <s v="Platinum"/>
    <s v="P003"/>
    <x v="3"/>
    <x v="1"/>
    <s v="Small"/>
    <n v="3"/>
    <n v="65.7"/>
    <n v="12"/>
    <n v="22"/>
    <n v="99.7"/>
    <n v="219"/>
    <n v="10"/>
    <n v="591.29999999999995"/>
    <n v="292.2"/>
    <n v="49.42"/>
    <x v="3"/>
    <s v="Takeaway"/>
    <s v="Rohan"/>
    <n v="5"/>
    <s v="Completed"/>
  </r>
  <r>
    <x v="887"/>
    <d v="2025-08-11T00:00:00"/>
    <s v="08:00"/>
    <s v="Monday"/>
    <x v="4"/>
    <s v="Q3"/>
    <s v="Monsoon"/>
    <s v="S12"/>
    <x v="2"/>
    <x v="2"/>
    <s v="East"/>
    <s v="C2901"/>
    <x v="1"/>
    <s v="Platinum"/>
    <s v="P002"/>
    <x v="2"/>
    <x v="1"/>
    <s v="Small"/>
    <n v="3"/>
    <n v="71.7"/>
    <n v="12"/>
    <n v="22"/>
    <n v="105.7"/>
    <n v="239"/>
    <n v="5"/>
    <n v="681.15"/>
    <n v="364.05"/>
    <n v="53.45"/>
    <x v="0"/>
    <s v="Takeaway"/>
    <s v="Meera"/>
    <n v="5"/>
    <s v="Completed"/>
  </r>
  <r>
    <x v="888"/>
    <d v="2025-06-09T00:00:00"/>
    <s v="17:45"/>
    <s v="Monday"/>
    <x v="10"/>
    <s v="Q2"/>
    <s v="Summer"/>
    <s v="S10"/>
    <x v="1"/>
    <x v="1"/>
    <s v="South"/>
    <s v="C2902"/>
    <x v="1"/>
    <s v="Silver"/>
    <s v="P003"/>
    <x v="3"/>
    <x v="1"/>
    <s v="Small"/>
    <n v="2"/>
    <n v="65.7"/>
    <n v="12"/>
    <n v="22"/>
    <n v="99.7"/>
    <n v="219"/>
    <n v="10"/>
    <n v="394.2"/>
    <n v="194.8"/>
    <n v="49.42"/>
    <x v="3"/>
    <s v="Takeaway"/>
    <s v="Diya"/>
    <n v="5"/>
    <s v="Completed"/>
  </r>
  <r>
    <x v="889"/>
    <d v="2025-11-29T00:00:00"/>
    <s v="17:30"/>
    <s v="Saturday"/>
    <x v="1"/>
    <s v="Q4"/>
    <s v="Autumn"/>
    <s v="S10"/>
    <x v="1"/>
    <x v="1"/>
    <s v="South"/>
    <s v="C2903"/>
    <x v="0"/>
    <s v="Silver"/>
    <s v="P004"/>
    <x v="10"/>
    <x v="1"/>
    <s v="Medium"/>
    <n v="1"/>
    <n v="60.84"/>
    <n v="12"/>
    <n v="22"/>
    <n v="94.84"/>
    <n v="202.8"/>
    <n v="15"/>
    <n v="172.38"/>
    <n v="77.540000000000006"/>
    <n v="44.98"/>
    <x v="3"/>
    <s v="Delivery"/>
    <s v="Rohan"/>
    <n v="5"/>
    <s v="Completed"/>
  </r>
  <r>
    <x v="890"/>
    <d v="2025-01-14T00:00:00"/>
    <s v="18:30"/>
    <s v="Tuesday"/>
    <x v="9"/>
    <s v="Q1"/>
    <s v="Winter"/>
    <s v="S14"/>
    <x v="4"/>
    <x v="4"/>
    <s v="North"/>
    <s v="C2904"/>
    <x v="0"/>
    <s v="Gold"/>
    <s v="P019"/>
    <x v="7"/>
    <x v="4"/>
    <s v="Medium"/>
    <n v="1"/>
    <n v="71.64"/>
    <n v="12"/>
    <n v="22"/>
    <n v="105.64"/>
    <n v="238.8"/>
    <n v="0"/>
    <n v="238.8"/>
    <n v="133.16"/>
    <n v="55.76"/>
    <x v="1"/>
    <s v="Dine-In"/>
    <s v="Kabir"/>
    <n v="4"/>
    <s v="Completed"/>
  </r>
  <r>
    <x v="891"/>
    <d v="2025-05-19T00:00:00"/>
    <s v="14:15"/>
    <s v="Monday"/>
    <x v="7"/>
    <s v="Q2"/>
    <s v="Summer"/>
    <s v="S01"/>
    <x v="0"/>
    <x v="0"/>
    <s v="North"/>
    <s v="C2905"/>
    <x v="0"/>
    <s v="Silver"/>
    <s v="P027"/>
    <x v="13"/>
    <x v="3"/>
    <s v="Medium"/>
    <n v="3"/>
    <n v="82.44"/>
    <n v="12"/>
    <n v="22"/>
    <n v="116.44"/>
    <n v="274.8"/>
    <n v="5"/>
    <n v="783.18"/>
    <n v="433.86"/>
    <n v="55.4"/>
    <x v="3"/>
    <s v="Delivery"/>
    <s v="Meera"/>
    <n v="5"/>
    <s v="Completed"/>
  </r>
  <r>
    <x v="892"/>
    <d v="2025-07-16T00:00:00"/>
    <s v="18:15"/>
    <s v="Wednesday"/>
    <x v="6"/>
    <s v="Q3"/>
    <s v="Monsoon"/>
    <s v="S04"/>
    <x v="5"/>
    <x v="5"/>
    <s v="West"/>
    <s v="C2906"/>
    <x v="1"/>
    <s v="Platinum"/>
    <s v="P013"/>
    <x v="5"/>
    <x v="2"/>
    <s v="Medium"/>
    <n v="1"/>
    <n v="46.44"/>
    <n v="12"/>
    <n v="22"/>
    <n v="80.44"/>
    <n v="154.80000000000001"/>
    <n v="10"/>
    <n v="139.32"/>
    <n v="58.88"/>
    <n v="42.26"/>
    <x v="1"/>
    <s v="Dine-In"/>
    <s v="Aarav"/>
    <n v="4"/>
    <s v="Completed"/>
  </r>
  <r>
    <x v="893"/>
    <d v="2025-07-30T00:00:00"/>
    <s v="17:45"/>
    <s v="Wednesday"/>
    <x v="6"/>
    <s v="Q3"/>
    <s v="Monsoon"/>
    <s v="S01"/>
    <x v="0"/>
    <x v="0"/>
    <s v="North"/>
    <s v="C2907"/>
    <x v="0"/>
    <s v="Platinum"/>
    <s v="P002"/>
    <x v="2"/>
    <x v="1"/>
    <s v="Large"/>
    <n v="2"/>
    <n v="100.38"/>
    <n v="12"/>
    <n v="22"/>
    <n v="134.38"/>
    <n v="334.6"/>
    <n v="0"/>
    <n v="669.2"/>
    <n v="400.44"/>
    <n v="59.84"/>
    <x v="3"/>
    <s v="Delivery"/>
    <s v="Meera"/>
    <n v="5"/>
    <s v="Completed"/>
  </r>
  <r>
    <x v="894"/>
    <d v="2025-06-28T00:00:00"/>
    <s v="17:00"/>
    <s v="Saturday"/>
    <x v="10"/>
    <s v="Q2"/>
    <s v="Summer"/>
    <s v="S14"/>
    <x v="4"/>
    <x v="4"/>
    <s v="North"/>
    <s v="C2908"/>
    <x v="1"/>
    <s v="Gold"/>
    <s v="P041"/>
    <x v="12"/>
    <x v="5"/>
    <s v="Large"/>
    <n v="3"/>
    <n v="125.58"/>
    <n v="12"/>
    <n v="22"/>
    <n v="159.58000000000001"/>
    <n v="418.6"/>
    <n v="15"/>
    <n v="1067.43"/>
    <n v="588.69000000000005"/>
    <n v="55.15"/>
    <x v="1"/>
    <s v="Takeaway"/>
    <s v="Diya"/>
    <s v="Not Rated"/>
    <s v="Completed"/>
  </r>
  <r>
    <x v="895"/>
    <d v="2025-07-29T00:00:00"/>
    <s v="09:45"/>
    <s v="Tuesday"/>
    <x v="6"/>
    <s v="Q3"/>
    <s v="Monsoon"/>
    <s v="S07"/>
    <x v="3"/>
    <x v="3"/>
    <s v="South"/>
    <s v="C2909"/>
    <x v="0"/>
    <s v="Gold"/>
    <s v="P001"/>
    <x v="1"/>
    <x v="1"/>
    <s v="Medium"/>
    <n v="3"/>
    <n v="53.64"/>
    <n v="12"/>
    <n v="22"/>
    <n v="87.64"/>
    <n v="178.8"/>
    <n v="0"/>
    <n v="536.4"/>
    <n v="273.48"/>
    <n v="50.98"/>
    <x v="3"/>
    <s v="Takeaway"/>
    <s v="Aarav"/>
    <n v="5"/>
    <s v="Completed"/>
  </r>
  <r>
    <x v="896"/>
    <d v="2025-11-02T00:00:00"/>
    <s v="09:30"/>
    <s v="Sunday"/>
    <x v="1"/>
    <s v="Q4"/>
    <s v="Autumn"/>
    <s v="S14"/>
    <x v="4"/>
    <x v="4"/>
    <s v="North"/>
    <s v="C2910"/>
    <x v="1"/>
    <s v="Platinum"/>
    <s v="P013"/>
    <x v="5"/>
    <x v="2"/>
    <s v="Large"/>
    <n v="3"/>
    <n v="54.18"/>
    <n v="12"/>
    <n v="22"/>
    <n v="88.18"/>
    <n v="180.6"/>
    <n v="10"/>
    <n v="487.62"/>
    <n v="223.08"/>
    <n v="45.75"/>
    <x v="1"/>
    <s v="Takeaway"/>
    <s v="Aarav"/>
    <n v="5"/>
    <s v="Completed"/>
  </r>
  <r>
    <x v="897"/>
    <d v="2025-12-28T00:00:00"/>
    <s v="18:45"/>
    <s v="Sunday"/>
    <x v="8"/>
    <s v="Q4"/>
    <s v="Winter"/>
    <s v="S14"/>
    <x v="4"/>
    <x v="4"/>
    <s v="North"/>
    <s v="C2911"/>
    <x v="0"/>
    <s v="Gold"/>
    <s v="P041"/>
    <x v="12"/>
    <x v="5"/>
    <s v="Small"/>
    <n v="3"/>
    <n v="89.7"/>
    <n v="12"/>
    <n v="22"/>
    <n v="123.7"/>
    <n v="299"/>
    <n v="10"/>
    <n v="807.3"/>
    <n v="436.2"/>
    <n v="54.03"/>
    <x v="2"/>
    <s v="Dine-In"/>
    <s v="Meera"/>
    <n v="5"/>
    <s v="Completed"/>
  </r>
  <r>
    <x v="898"/>
    <d v="2025-09-13T00:00:00"/>
    <s v="13:00"/>
    <s v="Saturday"/>
    <x v="2"/>
    <s v="Q3"/>
    <s v="Monsoon"/>
    <s v="S10"/>
    <x v="1"/>
    <x v="1"/>
    <s v="South"/>
    <s v="C2912"/>
    <x v="1"/>
    <s v="Platinum"/>
    <s v="P014"/>
    <x v="4"/>
    <x v="2"/>
    <s v="Medium"/>
    <n v="1"/>
    <n v="53.64"/>
    <n v="12"/>
    <n v="22"/>
    <n v="87.64"/>
    <n v="178.8"/>
    <n v="10"/>
    <n v="160.91999999999999"/>
    <n v="73.28"/>
    <n v="45.54"/>
    <x v="0"/>
    <s v="Dine-In"/>
    <s v="Kabir"/>
    <n v="5"/>
    <s v="Completed"/>
  </r>
  <r>
    <x v="899"/>
    <d v="2025-12-02T00:00:00"/>
    <s v="17:30"/>
    <s v="Tuesday"/>
    <x v="8"/>
    <s v="Q4"/>
    <s v="Winter"/>
    <s v="S07"/>
    <x v="3"/>
    <x v="3"/>
    <s v="South"/>
    <s v="C2913"/>
    <x v="0"/>
    <s v="Platinum"/>
    <s v="P003"/>
    <x v="3"/>
    <x v="1"/>
    <s v="Large"/>
    <n v="1"/>
    <n v="91.98"/>
    <n v="12"/>
    <n v="22"/>
    <n v="125.98"/>
    <n v="306.60000000000002"/>
    <n v="5"/>
    <n v="291.27"/>
    <n v="165.29"/>
    <n v="56.75"/>
    <x v="3"/>
    <s v="Dine-In"/>
    <s v="Aarav"/>
    <n v="5"/>
    <s v="Completed"/>
  </r>
  <r>
    <x v="900"/>
    <d v="2025-12-08T00:00:00"/>
    <s v="09:15"/>
    <s v="Monday"/>
    <x v="8"/>
    <s v="Q4"/>
    <s v="Winter"/>
    <s v="S14"/>
    <x v="4"/>
    <x v="4"/>
    <s v="North"/>
    <s v="C2914"/>
    <x v="1"/>
    <s v="Platinum"/>
    <s v="P001"/>
    <x v="1"/>
    <x v="1"/>
    <s v="Small"/>
    <n v="2"/>
    <n v="44.7"/>
    <n v="12"/>
    <n v="22"/>
    <n v="78.7"/>
    <n v="149"/>
    <n v="0"/>
    <n v="298"/>
    <n v="140.6"/>
    <n v="47.18"/>
    <x v="2"/>
    <s v="Takeaway"/>
    <s v="Diya"/>
    <n v="3"/>
    <s v="Completed"/>
  </r>
  <r>
    <x v="901"/>
    <d v="2025-12-13T00:00:00"/>
    <s v="08:15"/>
    <s v="Saturday"/>
    <x v="8"/>
    <s v="Q4"/>
    <s v="Winter"/>
    <s v="S14"/>
    <x v="4"/>
    <x v="4"/>
    <s v="North"/>
    <s v="C2915"/>
    <x v="1"/>
    <s v="Gold"/>
    <s v="P004"/>
    <x v="10"/>
    <x v="1"/>
    <s v="Small"/>
    <n v="3"/>
    <n v="50.7"/>
    <n v="12"/>
    <n v="22"/>
    <n v="84.7"/>
    <n v="169"/>
    <n v="10"/>
    <n v="456.3"/>
    <n v="202.2"/>
    <n v="44.31"/>
    <x v="2"/>
    <s v="Takeaway"/>
    <s v="Kabir"/>
    <n v="3"/>
    <s v="Completed"/>
  </r>
  <r>
    <x v="902"/>
    <d v="2025-08-01T00:00:00"/>
    <s v="13:30"/>
    <s v="Friday"/>
    <x v="4"/>
    <s v="Q3"/>
    <s v="Monsoon"/>
    <s v="S12"/>
    <x v="2"/>
    <x v="2"/>
    <s v="East"/>
    <s v="C2916"/>
    <x v="2"/>
    <s v="Platinum"/>
    <s v="P013"/>
    <x v="5"/>
    <x v="2"/>
    <s v="Large"/>
    <n v="3"/>
    <n v="54.18"/>
    <n v="12"/>
    <n v="22"/>
    <n v="88.18"/>
    <n v="180.6"/>
    <n v="10"/>
    <n v="487.62"/>
    <n v="223.08"/>
    <n v="45.75"/>
    <x v="1"/>
    <s v="Dine-In"/>
    <s v="Aarav"/>
    <n v="4"/>
    <s v="Completed"/>
  </r>
  <r>
    <x v="903"/>
    <d v="2025-05-18T00:00:00"/>
    <s v="13:00"/>
    <s v="Sunday"/>
    <x v="7"/>
    <s v="Q2"/>
    <s v="Summer"/>
    <s v="S04"/>
    <x v="5"/>
    <x v="5"/>
    <s v="West"/>
    <s v="C2917"/>
    <x v="2"/>
    <s v="Gold"/>
    <s v="P004"/>
    <x v="10"/>
    <x v="1"/>
    <s v="Small"/>
    <n v="2"/>
    <n v="50.7"/>
    <n v="12"/>
    <n v="22"/>
    <n v="84.7"/>
    <n v="169"/>
    <n v="15"/>
    <n v="287.3"/>
    <n v="117.9"/>
    <n v="41.04"/>
    <x v="1"/>
    <s v="Dine-In"/>
    <s v="Kabir"/>
    <n v="5"/>
    <s v="Completed"/>
  </r>
  <r>
    <x v="904"/>
    <d v="2025-03-01T00:00:00"/>
    <s v="09:45"/>
    <s v="Saturday"/>
    <x v="5"/>
    <s v="Q1"/>
    <s v="Autumn"/>
    <s v="S14"/>
    <x v="4"/>
    <x v="4"/>
    <s v="North"/>
    <s v="C2918"/>
    <x v="2"/>
    <s v="Platinum"/>
    <s v="P003"/>
    <x v="3"/>
    <x v="1"/>
    <s v="Large"/>
    <n v="3"/>
    <n v="91.98"/>
    <n v="12"/>
    <n v="22"/>
    <n v="125.98"/>
    <n v="306.60000000000002"/>
    <n v="15"/>
    <n v="781.83"/>
    <n v="403.89"/>
    <n v="51.66"/>
    <x v="0"/>
    <s v="Delivery"/>
    <s v="Kabir"/>
    <n v="5"/>
    <s v="Completed"/>
  </r>
  <r>
    <x v="905"/>
    <d v="2025-12-10T00:00:00"/>
    <s v="08:30"/>
    <s v="Wednesday"/>
    <x v="8"/>
    <s v="Q4"/>
    <s v="Winter"/>
    <s v="S12"/>
    <x v="2"/>
    <x v="2"/>
    <s v="East"/>
    <s v="C2919"/>
    <x v="1"/>
    <s v="Gold"/>
    <s v="P003"/>
    <x v="3"/>
    <x v="1"/>
    <s v="Small"/>
    <n v="1"/>
    <n v="65.7"/>
    <n v="12"/>
    <n v="22"/>
    <n v="99.7"/>
    <n v="219"/>
    <n v="5"/>
    <n v="208.05"/>
    <n v="108.35"/>
    <n v="52.08"/>
    <x v="2"/>
    <s v="Dine-In"/>
    <s v="Aarav"/>
    <n v="5"/>
    <s v="Completed"/>
  </r>
  <r>
    <x v="906"/>
    <d v="2025-10-02T00:00:00"/>
    <s v="18:15"/>
    <s v="Thursday"/>
    <x v="0"/>
    <s v="Q4"/>
    <s v="Autumn"/>
    <s v="S07"/>
    <x v="3"/>
    <x v="3"/>
    <s v="South"/>
    <s v="C2920"/>
    <x v="0"/>
    <s v="Gold"/>
    <s v="P003"/>
    <x v="3"/>
    <x v="1"/>
    <s v="Small"/>
    <n v="3"/>
    <n v="65.7"/>
    <n v="12"/>
    <n v="22"/>
    <n v="99.7"/>
    <n v="219"/>
    <n v="55"/>
    <n v="591.29999999999995"/>
    <n v="292.2"/>
    <n v="49.42"/>
    <x v="2"/>
    <s v="Delivery"/>
    <s v="Diya"/>
    <n v="4"/>
    <s v="Completed"/>
  </r>
  <r>
    <x v="907"/>
    <d v="2025-09-09T00:00:00"/>
    <s v="17:45"/>
    <s v="Tuesday"/>
    <x v="2"/>
    <s v="Q3"/>
    <s v="Monsoon"/>
    <s v="S04"/>
    <x v="5"/>
    <x v="5"/>
    <s v="West"/>
    <s v="C2921"/>
    <x v="1"/>
    <s v="Gold"/>
    <s v="P013"/>
    <x v="5"/>
    <x v="2"/>
    <s v="Medium"/>
    <n v="1"/>
    <n v="46.44"/>
    <n v="12"/>
    <n v="22"/>
    <n v="80.44"/>
    <n v="154.80000000000001"/>
    <n v="5"/>
    <n v="147.06"/>
    <n v="66.62"/>
    <n v="45.3"/>
    <x v="1"/>
    <s v="Takeaway"/>
    <s v="Diya"/>
    <n v="5"/>
    <s v="Completed"/>
  </r>
  <r>
    <x v="908"/>
    <d v="2025-05-23T00:00:00"/>
    <s v="09:30"/>
    <s v="Friday"/>
    <x v="7"/>
    <s v="Q2"/>
    <s v="Summer"/>
    <s v="S14"/>
    <x v="4"/>
    <x v="4"/>
    <s v="North"/>
    <s v="C2922"/>
    <x v="2"/>
    <s v="Gold"/>
    <s v="P036"/>
    <x v="11"/>
    <x v="0"/>
    <s v="Large"/>
    <n v="2"/>
    <n v="66.78"/>
    <n v="12"/>
    <n v="22"/>
    <n v="100.78"/>
    <n v="222.6"/>
    <n v="5"/>
    <n v="422.94"/>
    <n v="221.38"/>
    <n v="52.34"/>
    <x v="2"/>
    <s v="Takeaway"/>
    <s v="Aarav"/>
    <n v="5"/>
    <s v="Completed"/>
  </r>
  <r>
    <x v="909"/>
    <d v="2025-06-19T00:00:00"/>
    <s v="18:00"/>
    <s v="Thursday"/>
    <x v="10"/>
    <s v="Q2"/>
    <s v="Summer"/>
    <s v="S07"/>
    <x v="3"/>
    <x v="3"/>
    <s v="South"/>
    <s v="C2923"/>
    <x v="0"/>
    <s v="Silver"/>
    <s v="P004"/>
    <x v="10"/>
    <x v="1"/>
    <s v="Small"/>
    <n v="1"/>
    <n v="50.7"/>
    <n v="12"/>
    <n v="22"/>
    <n v="84.7"/>
    <n v="169"/>
    <n v="0"/>
    <n v="169"/>
    <n v="84.3"/>
    <n v="49.88"/>
    <x v="0"/>
    <s v="Dine-In"/>
    <s v="Rohan"/>
    <n v="4"/>
    <s v="Completed"/>
  </r>
  <r>
    <x v="910"/>
    <d v="2025-02-14T00:00:00"/>
    <s v="13:30"/>
    <s v="Friday"/>
    <x v="3"/>
    <s v="Q1"/>
    <s v="Winter"/>
    <s v="S07"/>
    <x v="3"/>
    <x v="3"/>
    <s v="South"/>
    <s v="C2924"/>
    <x v="1"/>
    <s v="Silver"/>
    <s v="P027"/>
    <x v="13"/>
    <x v="3"/>
    <s v="Large"/>
    <n v="3"/>
    <n v="96.18"/>
    <n v="12"/>
    <n v="22"/>
    <n v="130.18"/>
    <n v="320.60000000000002"/>
    <n v="10"/>
    <n v="865.62"/>
    <n v="475.08"/>
    <n v="54.88"/>
    <x v="1"/>
    <s v="Dine-In"/>
    <s v="Diya"/>
    <n v="4"/>
    <s v="Completed"/>
  </r>
  <r>
    <x v="911"/>
    <d v="2025-09-19T00:00:00"/>
    <s v="18:45"/>
    <s v="Friday"/>
    <x v="2"/>
    <s v="Q3"/>
    <s v="Monsoon"/>
    <s v="S04"/>
    <x v="5"/>
    <x v="5"/>
    <s v="West"/>
    <s v="C2925"/>
    <x v="2"/>
    <s v="Gold"/>
    <s v="P014"/>
    <x v="4"/>
    <x v="2"/>
    <s v="Medium"/>
    <n v="3"/>
    <n v="53.64"/>
    <n v="12"/>
    <n v="22"/>
    <n v="87.64"/>
    <n v="178.8"/>
    <n v="5"/>
    <n v="509.58"/>
    <n v="246.66"/>
    <n v="48.4"/>
    <x v="0"/>
    <s v="Takeaway"/>
    <s v="Kabir"/>
    <n v="5"/>
    <s v="Completed"/>
  </r>
  <r>
    <x v="912"/>
    <d v="2025-06-16T00:00:00"/>
    <s v="09:30"/>
    <s v="Monday"/>
    <x v="10"/>
    <s v="Q2"/>
    <s v="Summer"/>
    <s v="S04"/>
    <x v="5"/>
    <x v="5"/>
    <s v="West"/>
    <s v="C2926"/>
    <x v="1"/>
    <s v="Platinum"/>
    <s v="P036"/>
    <x v="11"/>
    <x v="0"/>
    <s v="Small"/>
    <n v="1"/>
    <n v="47.7"/>
    <n v="12"/>
    <n v="22"/>
    <n v="81.7"/>
    <n v="159"/>
    <n v="0"/>
    <n v="159"/>
    <n v="77.3"/>
    <n v="48.62"/>
    <x v="0"/>
    <s v="Takeaway"/>
    <s v="Kabir"/>
    <n v="5"/>
    <s v="Completed"/>
  </r>
  <r>
    <x v="913"/>
    <d v="2025-09-14T00:00:00"/>
    <s v="13:00"/>
    <s v="Sunday"/>
    <x v="2"/>
    <s v="Q3"/>
    <s v="Monsoon"/>
    <s v="S07"/>
    <x v="3"/>
    <x v="3"/>
    <s v="South"/>
    <s v="C2927"/>
    <x v="2"/>
    <s v="Silver"/>
    <s v="P042"/>
    <x v="14"/>
    <x v="5"/>
    <s v="Small"/>
    <n v="4"/>
    <n v="98.7"/>
    <n v="12"/>
    <n v="22"/>
    <n v="132.69999999999999"/>
    <n v="329"/>
    <n v="10"/>
    <n v="1184.4000000000001"/>
    <n v="653.6"/>
    <n v="55.18"/>
    <x v="2"/>
    <s v="Delivery"/>
    <s v="Diya"/>
    <n v="5"/>
    <s v="Completed"/>
  </r>
  <r>
    <x v="914"/>
    <d v="2025-09-10T00:00:00"/>
    <s v="18:30"/>
    <s v="Wednesday"/>
    <x v="2"/>
    <s v="Q3"/>
    <s v="Monsoon"/>
    <s v="S01"/>
    <x v="0"/>
    <x v="0"/>
    <s v="North"/>
    <s v="C2928"/>
    <x v="1"/>
    <s v="Silver"/>
    <s v="P002"/>
    <x v="2"/>
    <x v="1"/>
    <s v="Small"/>
    <n v="3"/>
    <n v="71.7"/>
    <n v="12"/>
    <n v="22"/>
    <n v="105.7"/>
    <n v="239"/>
    <n v="0"/>
    <n v="717"/>
    <n v="399.9"/>
    <n v="55.77"/>
    <x v="2"/>
    <s v="Delivery"/>
    <s v="Aarav"/>
    <n v="5"/>
    <s v="Completed"/>
  </r>
  <r>
    <x v="915"/>
    <d v="2025-07-14T00:00:00"/>
    <s v="13:15"/>
    <s v="Monday"/>
    <x v="6"/>
    <s v="Q3"/>
    <s v="Monsoon"/>
    <s v="S10"/>
    <x v="1"/>
    <x v="1"/>
    <s v="South"/>
    <s v="C2929"/>
    <x v="0"/>
    <s v="Silver"/>
    <s v="P013"/>
    <x v="5"/>
    <x v="2"/>
    <s v="Small"/>
    <n v="2"/>
    <n v="38.700000000000003"/>
    <n v="12"/>
    <n v="22"/>
    <n v="72.7"/>
    <n v="129"/>
    <n v="0"/>
    <n v="258"/>
    <n v="112.6"/>
    <n v="43.64"/>
    <x v="2"/>
    <s v="Takeaway"/>
    <s v="Rohan"/>
    <n v="5"/>
    <s v="Completed"/>
  </r>
  <r>
    <x v="916"/>
    <d v="2025-05-04T00:00:00"/>
    <s v="17:30"/>
    <s v="Sunday"/>
    <x v="7"/>
    <s v="Q2"/>
    <s v="Summer"/>
    <s v="S14"/>
    <x v="4"/>
    <x v="4"/>
    <s v="North"/>
    <s v="C2930"/>
    <x v="2"/>
    <s v="Platinum"/>
    <s v="P036"/>
    <x v="11"/>
    <x v="0"/>
    <s v="Small"/>
    <n v="2"/>
    <n v="47.7"/>
    <n v="12"/>
    <n v="22"/>
    <n v="81.7"/>
    <n v="159"/>
    <n v="10"/>
    <n v="286.2"/>
    <n v="122.8"/>
    <n v="42.91"/>
    <x v="1"/>
    <s v="Delivery"/>
    <s v="Meera"/>
    <n v="5"/>
    <s v="Completed"/>
  </r>
  <r>
    <x v="917"/>
    <d v="2025-07-02T00:00:00"/>
    <s v="08:30"/>
    <s v="Wednesday"/>
    <x v="6"/>
    <s v="Q3"/>
    <s v="Monsoon"/>
    <s v="S04"/>
    <x v="5"/>
    <x v="5"/>
    <s v="West"/>
    <s v="C2931"/>
    <x v="1"/>
    <s v="Gold"/>
    <s v="P003"/>
    <x v="3"/>
    <x v="1"/>
    <s v="Small"/>
    <n v="3"/>
    <n v="65.7"/>
    <n v="12"/>
    <n v="22"/>
    <n v="99.7"/>
    <n v="219"/>
    <n v="5"/>
    <n v="624.15"/>
    <n v="325.05"/>
    <n v="52.08"/>
    <x v="1"/>
    <s v="Delivery"/>
    <s v="Meera"/>
    <n v="5"/>
    <s v="Completed"/>
  </r>
  <r>
    <x v="918"/>
    <d v="2025-09-12T00:00:00"/>
    <s v="18:30"/>
    <s v="Friday"/>
    <x v="2"/>
    <s v="Q3"/>
    <s v="Monsoon"/>
    <s v="S10"/>
    <x v="1"/>
    <x v="1"/>
    <s v="South"/>
    <s v="C2932"/>
    <x v="1"/>
    <s v="Gold"/>
    <s v="P020"/>
    <x v="9"/>
    <x v="4"/>
    <s v="Small"/>
    <n v="3"/>
    <n v="47.7"/>
    <n v="12"/>
    <n v="22"/>
    <n v="81.7"/>
    <n v="159"/>
    <n v="5"/>
    <n v="453.15"/>
    <n v="208.05"/>
    <n v="45.91"/>
    <x v="2"/>
    <s v="Dine-In"/>
    <s v="Aarav"/>
    <n v="4"/>
    <s v="Completed"/>
  </r>
  <r>
    <x v="919"/>
    <d v="2025-11-08T00:00:00"/>
    <s v="18:15"/>
    <s v="Saturday"/>
    <x v="1"/>
    <s v="Q4"/>
    <s v="Autumn"/>
    <s v="S01"/>
    <x v="0"/>
    <x v="0"/>
    <s v="North"/>
    <s v="C2933"/>
    <x v="2"/>
    <s v="Platinum"/>
    <s v="P002"/>
    <x v="2"/>
    <x v="1"/>
    <s v="Large"/>
    <n v="2"/>
    <n v="100.38"/>
    <n v="12"/>
    <n v="22"/>
    <n v="134.38"/>
    <n v="334.6"/>
    <n v="10"/>
    <n v="602.28"/>
    <n v="333.52"/>
    <n v="55.38"/>
    <x v="0"/>
    <s v="Dine-In"/>
    <s v="Rohan"/>
    <n v="5"/>
    <s v="Completed"/>
  </r>
  <r>
    <x v="920"/>
    <d v="2025-03-17T00:00:00"/>
    <s v="14:15"/>
    <s v="Monday"/>
    <x v="5"/>
    <s v="Q1"/>
    <s v="Autumn"/>
    <s v="S14"/>
    <x v="4"/>
    <x v="4"/>
    <s v="North"/>
    <s v="C2934"/>
    <x v="1"/>
    <s v="Gold"/>
    <s v="P027"/>
    <x v="13"/>
    <x v="3"/>
    <s v="Large"/>
    <n v="3"/>
    <n v="96.18"/>
    <n v="12"/>
    <n v="22"/>
    <n v="130.18"/>
    <n v="320.60000000000002"/>
    <n v="0"/>
    <n v="961.8"/>
    <n v="571.26"/>
    <n v="59.39"/>
    <x v="0"/>
    <s v="Dine-In"/>
    <s v="Diya"/>
    <n v="4"/>
    <s v="Completed"/>
  </r>
  <r>
    <x v="921"/>
    <d v="2025-02-26T00:00:00"/>
    <s v="18:45"/>
    <s v="Wednesday"/>
    <x v="3"/>
    <s v="Q1"/>
    <s v="Winter"/>
    <s v="S04"/>
    <x v="5"/>
    <x v="5"/>
    <s v="West"/>
    <s v="C2935"/>
    <x v="2"/>
    <s v="Gold"/>
    <s v="P003"/>
    <x v="3"/>
    <x v="1"/>
    <s v="Medium"/>
    <n v="2"/>
    <n v="78.84"/>
    <n v="12"/>
    <n v="22"/>
    <n v="112.84"/>
    <n v="262.8"/>
    <n v="10"/>
    <n v="473.04"/>
    <n v="247.36"/>
    <n v="52.29"/>
    <x v="3"/>
    <s v="Delivery"/>
    <s v="Rohan"/>
    <n v="5"/>
    <s v="Completed"/>
  </r>
  <r>
    <x v="922"/>
    <d v="2025-09-07T00:00:00"/>
    <s v="09:30"/>
    <s v="Sunday"/>
    <x v="2"/>
    <s v="Q3"/>
    <s v="Monsoon"/>
    <s v="S07"/>
    <x v="3"/>
    <x v="3"/>
    <s v="South"/>
    <s v="C2936"/>
    <x v="2"/>
    <s v="Gold"/>
    <s v="P001"/>
    <x v="1"/>
    <x v="1"/>
    <s v="Medium"/>
    <n v="3"/>
    <n v="53.64"/>
    <n v="12"/>
    <n v="22"/>
    <n v="87.64"/>
    <n v="178.8"/>
    <n v="15"/>
    <n v="455.94"/>
    <n v="193.02"/>
    <n v="42.33"/>
    <x v="3"/>
    <s v="Takeaway"/>
    <s v="Meera"/>
    <n v="5"/>
    <s v="Completed"/>
  </r>
  <r>
    <x v="923"/>
    <d v="2025-10-15T00:00:00"/>
    <s v="08:00"/>
    <s v="Wednesday"/>
    <x v="0"/>
    <s v="Q4"/>
    <s v="Autumn"/>
    <s v="S12"/>
    <x v="2"/>
    <x v="2"/>
    <s v="East"/>
    <s v="C2937"/>
    <x v="0"/>
    <s v="Platinum"/>
    <s v="P013"/>
    <x v="5"/>
    <x v="2"/>
    <s v="Medium"/>
    <n v="3"/>
    <n v="46.44"/>
    <n v="12"/>
    <n v="22"/>
    <n v="80.44"/>
    <n v="154.80000000000001"/>
    <n v="10"/>
    <n v="417.96"/>
    <n v="176.64"/>
    <n v="42.26"/>
    <x v="0"/>
    <s v="Takeaway"/>
    <s v="Kabir"/>
    <n v="3"/>
    <s v="Completed"/>
  </r>
  <r>
    <x v="924"/>
    <d v="2025-05-22T00:00:00"/>
    <s v="17:45"/>
    <s v="Thursday"/>
    <x v="7"/>
    <s v="Q2"/>
    <s v="Summer"/>
    <s v="S04"/>
    <x v="5"/>
    <x v="5"/>
    <s v="West"/>
    <s v="C2938"/>
    <x v="0"/>
    <s v="Gold"/>
    <s v="P036"/>
    <x v="11"/>
    <x v="0"/>
    <s v="Large"/>
    <n v="2"/>
    <n v="66.78"/>
    <n v="12"/>
    <n v="22"/>
    <n v="100.78"/>
    <n v="222.6"/>
    <n v="0"/>
    <n v="445.2"/>
    <n v="243.64"/>
    <n v="54.73"/>
    <x v="3"/>
    <s v="Delivery"/>
    <s v="Rohan"/>
    <n v="5"/>
    <s v="Completed"/>
  </r>
  <r>
    <x v="925"/>
    <d v="2025-09-26T00:00:00"/>
    <s v="08:00"/>
    <s v="Friday"/>
    <x v="2"/>
    <s v="Q3"/>
    <s v="Monsoon"/>
    <s v="S07"/>
    <x v="3"/>
    <x v="3"/>
    <s v="South"/>
    <s v="C2939"/>
    <x v="0"/>
    <s v="Gold"/>
    <s v="P002"/>
    <x v="2"/>
    <x v="1"/>
    <s v="Small"/>
    <n v="3"/>
    <n v="71.7"/>
    <n v="12"/>
    <n v="22"/>
    <n v="105.7"/>
    <n v="239"/>
    <n v="0"/>
    <n v="717"/>
    <n v="399.9"/>
    <n v="55.77"/>
    <x v="1"/>
    <s v="Takeaway"/>
    <s v="Kabir"/>
    <n v="5"/>
    <s v="Completed"/>
  </r>
  <r>
    <x v="926"/>
    <d v="2025-11-12T00:00:00"/>
    <s v="14:00"/>
    <s v="Wednesday"/>
    <x v="1"/>
    <s v="Q4"/>
    <s v="Autumn"/>
    <s v="S12"/>
    <x v="2"/>
    <x v="2"/>
    <s v="East"/>
    <s v="C2941"/>
    <x v="0"/>
    <s v="Silver"/>
    <s v="P002"/>
    <x v="2"/>
    <x v="1"/>
    <s v="Small"/>
    <n v="3"/>
    <n v="71.7"/>
    <n v="12"/>
    <n v="22"/>
    <n v="105.7"/>
    <n v="239"/>
    <n v="0"/>
    <n v="717"/>
    <n v="399.9"/>
    <n v="55.77"/>
    <x v="2"/>
    <s v="Takeaway"/>
    <s v="Meera"/>
    <n v="4"/>
    <s v="Completed"/>
  </r>
  <r>
    <x v="927"/>
    <d v="2025-03-17T00:00:00"/>
    <s v="08:15"/>
    <s v="Monday"/>
    <x v="5"/>
    <s v="Q1"/>
    <s v="Autumn"/>
    <s v="S04"/>
    <x v="5"/>
    <x v="5"/>
    <s v="West"/>
    <s v="C2942"/>
    <x v="1"/>
    <s v="Platinum"/>
    <s v="P003"/>
    <x v="3"/>
    <x v="1"/>
    <s v="Small"/>
    <n v="3"/>
    <n v="65.7"/>
    <n v="12"/>
    <n v="22"/>
    <n v="99.7"/>
    <n v="219"/>
    <n v="5"/>
    <n v="624.15"/>
    <n v="325.05"/>
    <n v="52.08"/>
    <x v="2"/>
    <s v="Takeaway"/>
    <s v="Kabir"/>
    <n v="5"/>
    <s v="Completed"/>
  </r>
  <r>
    <x v="928"/>
    <d v="2025-07-19T00:00:00"/>
    <s v="17:00"/>
    <s v="Saturday"/>
    <x v="6"/>
    <s v="Q3"/>
    <s v="Monsoon"/>
    <s v="S04"/>
    <x v="5"/>
    <x v="5"/>
    <s v="West"/>
    <s v="C2943"/>
    <x v="1"/>
    <s v="Silver"/>
    <s v="P004"/>
    <x v="10"/>
    <x v="1"/>
    <s v="Small"/>
    <n v="2"/>
    <n v="50.7"/>
    <n v="12"/>
    <n v="22"/>
    <n v="84.7"/>
    <n v="169"/>
    <n v="15"/>
    <n v="287.3"/>
    <n v="117.9"/>
    <n v="41.04"/>
    <x v="0"/>
    <s v="Dine-In"/>
    <s v="Diya"/>
    <n v="5"/>
    <s v="Completed"/>
  </r>
  <r>
    <x v="929"/>
    <d v="2025-09-14T00:00:00"/>
    <s v="14:30"/>
    <s v="Sunday"/>
    <x v="2"/>
    <s v="Q3"/>
    <s v="Monsoon"/>
    <s v="S12"/>
    <x v="2"/>
    <x v="2"/>
    <s v="East"/>
    <s v="C2944"/>
    <x v="1"/>
    <s v="Gold"/>
    <s v="P027"/>
    <x v="13"/>
    <x v="3"/>
    <s v="Small"/>
    <n v="3"/>
    <n v="68.7"/>
    <n v="12"/>
    <n v="22"/>
    <n v="102.7"/>
    <n v="229"/>
    <n v="15"/>
    <n v="583.95000000000005"/>
    <n v="275.85000000000002"/>
    <n v="47.24"/>
    <x v="0"/>
    <s v="Dine-In"/>
    <s v="Rohan"/>
    <n v="4"/>
    <s v="Completed"/>
  </r>
  <r>
    <x v="930"/>
    <d v="2025-02-26T00:00:00"/>
    <s v="08:30"/>
    <s v="Wednesday"/>
    <x v="3"/>
    <s v="Q1"/>
    <s v="Winter"/>
    <s v="S04"/>
    <x v="5"/>
    <x v="5"/>
    <s v="West"/>
    <s v="C2945"/>
    <x v="0"/>
    <s v="Gold"/>
    <s v="P014"/>
    <x v="4"/>
    <x v="2"/>
    <s v="Large"/>
    <n v="2"/>
    <n v="62.58"/>
    <n v="12"/>
    <n v="22"/>
    <n v="96.58"/>
    <n v="208.6"/>
    <n v="0"/>
    <n v="417.2"/>
    <n v="224.04"/>
    <n v="53.7"/>
    <x v="3"/>
    <s v="Dine-In"/>
    <s v="Diya"/>
    <n v="3"/>
    <s v="Completed"/>
  </r>
  <r>
    <x v="931"/>
    <d v="2025-04-25T00:00:00"/>
    <s v="14:30"/>
    <s v="Friday"/>
    <x v="11"/>
    <s v="Q2"/>
    <s v="Summer"/>
    <s v="S07"/>
    <x v="3"/>
    <x v="3"/>
    <s v="South"/>
    <s v="C2946"/>
    <x v="2"/>
    <s v="Gold"/>
    <s v="P004"/>
    <x v="10"/>
    <x v="1"/>
    <s v="Large"/>
    <n v="3"/>
    <n v="70.98"/>
    <n v="12"/>
    <n v="22"/>
    <n v="104.98"/>
    <n v="236.6"/>
    <n v="5"/>
    <n v="674.31"/>
    <n v="359.37"/>
    <n v="53.29"/>
    <x v="1"/>
    <s v="Delivery"/>
    <s v="Aarav"/>
    <n v="4"/>
    <s v="Completed"/>
  </r>
  <r>
    <x v="932"/>
    <d v="2025-09-13T00:00:00"/>
    <s v="13:45"/>
    <s v="Saturday"/>
    <x v="2"/>
    <s v="Q3"/>
    <s v="Monsoon"/>
    <s v="S10"/>
    <x v="1"/>
    <x v="1"/>
    <s v="South"/>
    <s v="C2947"/>
    <x v="2"/>
    <s v="Silver"/>
    <s v="P033"/>
    <x v="8"/>
    <x v="0"/>
    <s v="Small"/>
    <n v="3"/>
    <n v="74.7"/>
    <n v="12"/>
    <n v="22"/>
    <n v="108.7"/>
    <n v="249"/>
    <n v="10"/>
    <n v="672.3"/>
    <n v="346.2"/>
    <n v="51.49"/>
    <x v="1"/>
    <s v="Takeaway"/>
    <s v="Rohan"/>
    <n v="5"/>
    <s v="Completed"/>
  </r>
  <r>
    <x v="933"/>
    <d v="2025-06-14T00:00:00"/>
    <s v="09:30"/>
    <s v="Saturday"/>
    <x v="10"/>
    <s v="Q2"/>
    <s v="Summer"/>
    <s v="S04"/>
    <x v="5"/>
    <x v="5"/>
    <s v="West"/>
    <s v="C2948"/>
    <x v="0"/>
    <s v="Silver"/>
    <s v="P013"/>
    <x v="5"/>
    <x v="2"/>
    <s v="Large"/>
    <n v="1"/>
    <n v="54.18"/>
    <n v="12"/>
    <n v="22"/>
    <n v="88.18"/>
    <n v="180.6"/>
    <n v="15"/>
    <n v="153.51"/>
    <n v="65.33"/>
    <n v="42.56"/>
    <x v="3"/>
    <s v="Takeaway"/>
    <s v="Diya"/>
    <n v="5"/>
    <s v="Completed"/>
  </r>
  <r>
    <x v="934"/>
    <d v="2025-08-05T00:00:00"/>
    <s v="18:15"/>
    <s v="Tuesday"/>
    <x v="4"/>
    <s v="Q3"/>
    <s v="Monsoon"/>
    <s v="S04"/>
    <x v="5"/>
    <x v="5"/>
    <s v="West"/>
    <s v="C2949"/>
    <x v="0"/>
    <s v="Gold"/>
    <s v="P004"/>
    <x v="10"/>
    <x v="1"/>
    <s v="Small"/>
    <n v="3"/>
    <n v="50.7"/>
    <n v="12"/>
    <n v="22"/>
    <n v="84.7"/>
    <n v="169"/>
    <n v="5"/>
    <n v="481.65"/>
    <n v="227.55"/>
    <n v="47.24"/>
    <x v="0"/>
    <s v="Dine-In"/>
    <s v="Aarav"/>
    <n v="5"/>
    <s v="Completed"/>
  </r>
  <r>
    <x v="935"/>
    <d v="2025-03-19T00:00:00"/>
    <s v="17:30"/>
    <s v="Wednesday"/>
    <x v="5"/>
    <s v="Q1"/>
    <s v="Autumn"/>
    <s v="S04"/>
    <x v="5"/>
    <x v="5"/>
    <s v="West"/>
    <s v="C2950"/>
    <x v="2"/>
    <s v="Silver"/>
    <s v="P003"/>
    <x v="3"/>
    <x v="1"/>
    <s v="Small"/>
    <n v="1"/>
    <n v="65.7"/>
    <n v="12"/>
    <n v="22"/>
    <n v="99.7"/>
    <n v="219"/>
    <n v="5"/>
    <n v="208.05"/>
    <n v="108.35"/>
    <n v="52.08"/>
    <x v="1"/>
    <s v="Delivery"/>
    <s v="Meera"/>
    <n v="5"/>
    <s v="Completed"/>
  </r>
  <r>
    <x v="936"/>
    <d v="2025-02-07T00:00:00"/>
    <s v="17:15"/>
    <s v="Friday"/>
    <x v="3"/>
    <s v="Q1"/>
    <s v="Winter"/>
    <s v="S10"/>
    <x v="1"/>
    <x v="1"/>
    <s v="South"/>
    <s v="C2951"/>
    <x v="2"/>
    <s v="Silver"/>
    <s v="P004"/>
    <x v="10"/>
    <x v="1"/>
    <s v="Medium"/>
    <n v="3"/>
    <n v="60.84"/>
    <n v="12"/>
    <n v="22"/>
    <n v="94.84"/>
    <n v="202.8"/>
    <n v="0"/>
    <n v="608.4"/>
    <n v="323.88"/>
    <n v="53.23"/>
    <x v="3"/>
    <s v="Dine-In"/>
    <s v="Aarav"/>
    <n v="5"/>
    <s v="Completed"/>
  </r>
  <r>
    <x v="937"/>
    <d v="2025-03-23T00:00:00"/>
    <s v="17:00"/>
    <s v="Sunday"/>
    <x v="5"/>
    <s v="Q1"/>
    <s v="Autumn"/>
    <s v="S10"/>
    <x v="1"/>
    <x v="1"/>
    <s v="South"/>
    <s v="C2952"/>
    <x v="2"/>
    <s v="Gold"/>
    <s v="P003"/>
    <x v="3"/>
    <x v="1"/>
    <s v="Small"/>
    <n v="3"/>
    <n v="65.7"/>
    <n v="12"/>
    <n v="22"/>
    <n v="99.7"/>
    <n v="219"/>
    <n v="15"/>
    <n v="558.45000000000005"/>
    <n v="259.35000000000002"/>
    <n v="46.44"/>
    <x v="0"/>
    <s v="Dine-In"/>
    <s v="Rohan"/>
    <n v="5"/>
    <s v="Completed"/>
  </r>
  <r>
    <x v="938"/>
    <d v="2025-02-02T00:00:00"/>
    <s v="14:00"/>
    <s v="Sunday"/>
    <x v="3"/>
    <s v="Q1"/>
    <s v="Winter"/>
    <s v="S12"/>
    <x v="2"/>
    <x v="2"/>
    <s v="East"/>
    <s v="C2953"/>
    <x v="1"/>
    <s v="Gold"/>
    <s v="P033"/>
    <x v="8"/>
    <x v="0"/>
    <s v="Medium"/>
    <n v="1"/>
    <n v="89.64"/>
    <n v="12"/>
    <n v="22"/>
    <n v="123.64"/>
    <n v="298.8"/>
    <n v="15"/>
    <n v="253.98"/>
    <n v="130.34"/>
    <n v="51.32"/>
    <x v="2"/>
    <s v="Delivery"/>
    <s v="Kabir"/>
    <n v="5"/>
    <s v="Completed"/>
  </r>
  <r>
    <x v="939"/>
    <d v="2025-10-17T00:00:00"/>
    <s v="09:45"/>
    <s v="Friday"/>
    <x v="0"/>
    <s v="Q4"/>
    <s v="Autumn"/>
    <s v="S07"/>
    <x v="3"/>
    <x v="3"/>
    <s v="South"/>
    <s v="C2954"/>
    <x v="1"/>
    <s v="Silver"/>
    <s v="P003"/>
    <x v="3"/>
    <x v="1"/>
    <s v="Small"/>
    <n v="2"/>
    <n v="65.7"/>
    <n v="12"/>
    <n v="22"/>
    <n v="99.7"/>
    <n v="219"/>
    <n v="10"/>
    <n v="394.2"/>
    <n v="194.8"/>
    <n v="49.42"/>
    <x v="2"/>
    <s v="Dine-In"/>
    <s v="Diya"/>
    <n v="4"/>
    <s v="Completed"/>
  </r>
  <r>
    <x v="940"/>
    <d v="2025-01-12T00:00:00"/>
    <s v="08:00"/>
    <s v="Sunday"/>
    <x v="9"/>
    <s v="Q1"/>
    <s v="Winter"/>
    <s v="S10"/>
    <x v="1"/>
    <x v="1"/>
    <s v="South"/>
    <s v="C2957"/>
    <x v="2"/>
    <s v="Platinum"/>
    <s v="P001"/>
    <x v="1"/>
    <x v="1"/>
    <s v="Medium"/>
    <n v="2"/>
    <n v="53.64"/>
    <n v="12"/>
    <n v="22"/>
    <n v="87.64"/>
    <n v="178.8"/>
    <n v="10"/>
    <n v="321.83999999999997"/>
    <n v="146.56"/>
    <n v="45.54"/>
    <x v="0"/>
    <s v="Takeaway"/>
    <s v="Meera"/>
    <n v="5"/>
    <s v="Completed"/>
  </r>
  <r>
    <x v="941"/>
    <d v="2025-04-12T00:00:00"/>
    <s v="17:15"/>
    <s v="Saturday"/>
    <x v="11"/>
    <s v="Q2"/>
    <s v="Summer"/>
    <s v="S07"/>
    <x v="3"/>
    <x v="3"/>
    <s v="South"/>
    <s v="C2958"/>
    <x v="1"/>
    <s v="Silver"/>
    <s v="P003"/>
    <x v="3"/>
    <x v="1"/>
    <s v="Small"/>
    <n v="1"/>
    <n v="65.7"/>
    <n v="12"/>
    <n v="22"/>
    <n v="99.7"/>
    <n v="219"/>
    <n v="10"/>
    <n v="197.1"/>
    <n v="97.4"/>
    <n v="49.42"/>
    <x v="2"/>
    <s v="Dine-In"/>
    <s v="Diya"/>
    <n v="5"/>
    <s v="Completed"/>
  </r>
  <r>
    <x v="942"/>
    <d v="2025-09-21T00:00:00"/>
    <s v="09:30"/>
    <s v="Sunday"/>
    <x v="2"/>
    <s v="Q3"/>
    <s v="Monsoon"/>
    <s v="S10"/>
    <x v="1"/>
    <x v="1"/>
    <s v="South"/>
    <s v="C2959"/>
    <x v="1"/>
    <s v="Platinum"/>
    <s v="P013"/>
    <x v="5"/>
    <x v="2"/>
    <s v="Large"/>
    <n v="1"/>
    <n v="54.18"/>
    <n v="12"/>
    <n v="22"/>
    <n v="88.18"/>
    <n v="180.6"/>
    <n v="10"/>
    <n v="162.54"/>
    <n v="74.36"/>
    <n v="45.75"/>
    <x v="2"/>
    <s v="Takeaway"/>
    <s v="Kabir"/>
    <n v="5"/>
    <s v="Completed"/>
  </r>
  <r>
    <x v="943"/>
    <d v="2025-10-16T00:00:00"/>
    <s v="13:45"/>
    <s v="Thursday"/>
    <x v="0"/>
    <s v="Q4"/>
    <s v="Autumn"/>
    <s v="S10"/>
    <x v="1"/>
    <x v="1"/>
    <s v="South"/>
    <s v="C2960"/>
    <x v="1"/>
    <s v="Silver"/>
    <s v="P028"/>
    <x v="6"/>
    <x v="3"/>
    <s v="Large"/>
    <n v="3"/>
    <n v="104.58"/>
    <n v="12"/>
    <n v="22"/>
    <n v="138.58000000000001"/>
    <n v="348.6"/>
    <n v="5"/>
    <n v="993.51"/>
    <n v="577.77"/>
    <n v="58.15"/>
    <x v="3"/>
    <s v="Dine-In"/>
    <s v="Aarav"/>
    <n v="3"/>
    <s v="Completed"/>
  </r>
  <r>
    <x v="944"/>
    <d v="2025-03-15T00:00:00"/>
    <s v="08:15"/>
    <s v="Saturday"/>
    <x v="5"/>
    <s v="Q1"/>
    <s v="Autumn"/>
    <s v="S12"/>
    <x v="2"/>
    <x v="2"/>
    <s v="East"/>
    <s v="C2961"/>
    <x v="0"/>
    <s v="Silver"/>
    <s v="P042"/>
    <x v="14"/>
    <x v="5"/>
    <s v="Small"/>
    <n v="1"/>
    <n v="98.7"/>
    <n v="12"/>
    <n v="22"/>
    <n v="132.69999999999999"/>
    <n v="329"/>
    <n v="10"/>
    <n v="296.10000000000002"/>
    <n v="163.4"/>
    <n v="55.18"/>
    <x v="0"/>
    <s v="Takeaway"/>
    <s v="Aarav"/>
    <n v="5"/>
    <s v="Completed"/>
  </r>
  <r>
    <x v="945"/>
    <d v="2025-08-19T00:00:00"/>
    <s v="14:15"/>
    <s v="Tuesday"/>
    <x v="4"/>
    <s v="Q3"/>
    <s v="Monsoon"/>
    <s v="S12"/>
    <x v="2"/>
    <x v="2"/>
    <s v="East"/>
    <s v="C2962"/>
    <x v="2"/>
    <s v="Silver"/>
    <s v="P014"/>
    <x v="4"/>
    <x v="2"/>
    <s v="Small"/>
    <n v="3"/>
    <n v="44.7"/>
    <n v="12"/>
    <n v="22"/>
    <n v="78.7"/>
    <n v="149"/>
    <n v="0"/>
    <n v="447"/>
    <n v="210.9"/>
    <n v="47.18"/>
    <x v="1"/>
    <s v="Takeaway"/>
    <s v="Diya"/>
    <n v="4"/>
    <s v="Completed"/>
  </r>
  <r>
    <x v="946"/>
    <d v="2025-03-09T00:00:00"/>
    <s v="13:00"/>
    <s v="Sunday"/>
    <x v="5"/>
    <s v="Q1"/>
    <s v="Autumn"/>
    <s v="S01"/>
    <x v="0"/>
    <x v="0"/>
    <s v="North"/>
    <s v="C2963"/>
    <x v="2"/>
    <s v="Silver"/>
    <s v="P033"/>
    <x v="8"/>
    <x v="0"/>
    <s v="Large"/>
    <n v="3"/>
    <n v="104.58"/>
    <n v="12"/>
    <n v="22"/>
    <n v="138.58000000000001"/>
    <n v="348.6"/>
    <n v="15"/>
    <n v="888.93"/>
    <n v="473.19"/>
    <n v="53.23"/>
    <x v="2"/>
    <s v="Dine-In"/>
    <s v="Meera"/>
    <n v="4"/>
    <s v="Completed"/>
  </r>
  <r>
    <x v="947"/>
    <d v="2025-09-15T00:00:00"/>
    <s v="09:15"/>
    <s v="Monday"/>
    <x v="2"/>
    <s v="Q3"/>
    <s v="Monsoon"/>
    <s v="S10"/>
    <x v="1"/>
    <x v="1"/>
    <s v="South"/>
    <s v="C2964"/>
    <x v="2"/>
    <s v="Gold"/>
    <s v="P014"/>
    <x v="4"/>
    <x v="2"/>
    <s v="Small"/>
    <n v="2"/>
    <n v="44.7"/>
    <n v="12"/>
    <n v="22"/>
    <n v="78.7"/>
    <n v="149"/>
    <n v="5"/>
    <n v="283.10000000000002"/>
    <n v="125.7"/>
    <n v="44.4"/>
    <x v="3"/>
    <s v="Delivery"/>
    <s v="Kabir"/>
    <n v="5"/>
    <s v="Completed"/>
  </r>
  <r>
    <x v="948"/>
    <d v="2025-08-28T00:00:00"/>
    <s v="18:45"/>
    <s v="Thursday"/>
    <x v="4"/>
    <s v="Q3"/>
    <s v="Monsoon"/>
    <s v="S14"/>
    <x v="4"/>
    <x v="4"/>
    <s v="North"/>
    <s v="C2965"/>
    <x v="0"/>
    <s v="Silver"/>
    <s v="P003"/>
    <x v="3"/>
    <x v="1"/>
    <s v="Large"/>
    <n v="1"/>
    <n v="91.98"/>
    <n v="12"/>
    <n v="22"/>
    <n v="125.98"/>
    <n v="306.60000000000002"/>
    <n v="10"/>
    <n v="275.94"/>
    <n v="149.96"/>
    <n v="54.35"/>
    <x v="2"/>
    <s v="Takeaway"/>
    <s v="Diya"/>
    <n v="3"/>
    <s v="Completed"/>
  </r>
  <r>
    <x v="949"/>
    <d v="2025-07-27T00:00:00"/>
    <s v="09:00"/>
    <s v="Sunday"/>
    <x v="6"/>
    <s v="Q3"/>
    <s v="Monsoon"/>
    <s v="S10"/>
    <x v="1"/>
    <x v="1"/>
    <s v="South"/>
    <s v="C2966"/>
    <x v="1"/>
    <s v="Platinum"/>
    <s v="P042"/>
    <x v="14"/>
    <x v="5"/>
    <s v="Medium"/>
    <n v="1"/>
    <n v="118.44"/>
    <n v="12"/>
    <n v="22"/>
    <n v="152.44"/>
    <n v="394.8"/>
    <n v="15"/>
    <n v="335.58"/>
    <n v="183.14"/>
    <n v="54.57"/>
    <x v="0"/>
    <s v="Dine-In"/>
    <s v="Rohan"/>
    <n v="5"/>
    <s v="Completed"/>
  </r>
  <r>
    <x v="950"/>
    <d v="2025-12-12T00:00:00"/>
    <s v="18:00"/>
    <s v="Friday"/>
    <x v="8"/>
    <s v="Q4"/>
    <s v="Winter"/>
    <s v="S01"/>
    <x v="0"/>
    <x v="0"/>
    <s v="North"/>
    <s v="C2968"/>
    <x v="1"/>
    <s v="Gold"/>
    <s v="P003"/>
    <x v="3"/>
    <x v="1"/>
    <s v="Medium"/>
    <n v="2"/>
    <n v="78.84"/>
    <n v="12"/>
    <n v="22"/>
    <n v="112.84"/>
    <n v="262.8"/>
    <n v="5"/>
    <n v="499.32"/>
    <n v="273.64"/>
    <n v="54.8"/>
    <x v="0"/>
    <s v="Takeaway"/>
    <s v="Rohan"/>
    <n v="5"/>
    <s v="Completed"/>
  </r>
  <r>
    <x v="951"/>
    <d v="2025-10-11T00:00:00"/>
    <s v="09:30"/>
    <s v="Saturday"/>
    <x v="0"/>
    <s v="Q4"/>
    <s v="Autumn"/>
    <s v="S12"/>
    <x v="2"/>
    <x v="2"/>
    <s v="East"/>
    <s v="C2969"/>
    <x v="2"/>
    <s v="Platinum"/>
    <s v="P041"/>
    <x v="12"/>
    <x v="5"/>
    <s v="Large"/>
    <n v="2"/>
    <n v="125.58"/>
    <n v="12"/>
    <n v="22"/>
    <n v="159.58000000000001"/>
    <n v="418.6"/>
    <n v="15"/>
    <n v="711.62"/>
    <n v="392.46"/>
    <n v="55.15"/>
    <x v="2"/>
    <s v="Takeaway"/>
    <s v="Aarav"/>
    <n v="5"/>
    <s v="Completed"/>
  </r>
  <r>
    <x v="952"/>
    <d v="2025-09-16T00:00:00"/>
    <s v="09:45"/>
    <s v="Tuesday"/>
    <x v="2"/>
    <s v="Q3"/>
    <s v="Monsoon"/>
    <s v="S01"/>
    <x v="0"/>
    <x v="0"/>
    <s v="North"/>
    <s v="C2970"/>
    <x v="0"/>
    <s v="Gold"/>
    <s v="P013"/>
    <x v="5"/>
    <x v="2"/>
    <s v="Small"/>
    <n v="2"/>
    <n v="38.700000000000003"/>
    <n v="12"/>
    <n v="22"/>
    <n v="72.7"/>
    <n v="129"/>
    <n v="10"/>
    <n v="232.2"/>
    <n v="86.8"/>
    <n v="37.380000000000003"/>
    <x v="3"/>
    <s v="Delivery"/>
    <s v="Kabir"/>
    <s v="Not Rated"/>
    <s v="Completed"/>
  </r>
  <r>
    <x v="953"/>
    <d v="2025-03-27T00:00:00"/>
    <s v="13:30"/>
    <s v="Thursday"/>
    <x v="5"/>
    <s v="Q1"/>
    <s v="Autumn"/>
    <s v="S10"/>
    <x v="1"/>
    <x v="1"/>
    <s v="South"/>
    <s v="C2971"/>
    <x v="2"/>
    <s v="Gold"/>
    <s v="P034"/>
    <x v="0"/>
    <x v="0"/>
    <s v="Small"/>
    <n v="1"/>
    <n v="77.7"/>
    <n v="12"/>
    <n v="22"/>
    <n v="111.7"/>
    <n v="259"/>
    <n v="0"/>
    <n v="259"/>
    <n v="147.30000000000001"/>
    <n v="56.87"/>
    <x v="0"/>
    <s v="Delivery"/>
    <s v="Meera"/>
    <n v="5"/>
    <s v="Completed"/>
  </r>
  <r>
    <x v="954"/>
    <d v="2025-05-28T00:00:00"/>
    <s v="08:45"/>
    <s v="Wednesday"/>
    <x v="7"/>
    <s v="Q2"/>
    <s v="Summer"/>
    <s v="S07"/>
    <x v="3"/>
    <x v="3"/>
    <s v="South"/>
    <s v="C2972"/>
    <x v="2"/>
    <s v="Platinum"/>
    <s v="P003"/>
    <x v="3"/>
    <x v="1"/>
    <s v="Large"/>
    <n v="1"/>
    <n v="91.98"/>
    <n v="12"/>
    <n v="22"/>
    <n v="125.98"/>
    <n v="306.60000000000002"/>
    <n v="10"/>
    <n v="275.94"/>
    <n v="149.96"/>
    <n v="54.35"/>
    <x v="0"/>
    <s v="Delivery"/>
    <s v="Kabir"/>
    <n v="5"/>
    <s v="Completed"/>
  </r>
  <r>
    <x v="955"/>
    <d v="2025-07-02T00:00:00"/>
    <s v="14:45"/>
    <s v="Wednesday"/>
    <x v="6"/>
    <s v="Q3"/>
    <s v="Monsoon"/>
    <s v="S14"/>
    <x v="4"/>
    <x v="4"/>
    <s v="North"/>
    <s v="C2973"/>
    <x v="0"/>
    <s v="Platinum"/>
    <s v="P027"/>
    <x v="13"/>
    <x v="3"/>
    <s v="Small"/>
    <n v="3"/>
    <n v="68.7"/>
    <n v="12"/>
    <n v="22"/>
    <n v="102.7"/>
    <n v="229"/>
    <n v="0"/>
    <n v="687"/>
    <n v="378.9"/>
    <n v="55.15"/>
    <x v="3"/>
    <s v="Delivery"/>
    <s v="Aarav"/>
    <n v="5"/>
    <s v="Completed"/>
  </r>
  <r>
    <x v="956"/>
    <d v="2025-05-18T00:00:00"/>
    <s v="08:45"/>
    <s v="Sunday"/>
    <x v="7"/>
    <s v="Q2"/>
    <s v="Summer"/>
    <s v="S12"/>
    <x v="2"/>
    <x v="2"/>
    <s v="East"/>
    <s v="C2974"/>
    <x v="2"/>
    <s v="Gold"/>
    <s v="P041"/>
    <x v="12"/>
    <x v="5"/>
    <s v="Small"/>
    <n v="2"/>
    <n v="89.7"/>
    <n v="12"/>
    <n v="22"/>
    <n v="123.7"/>
    <n v="299"/>
    <n v="15"/>
    <n v="508.3"/>
    <n v="260.89999999999998"/>
    <n v="51.33"/>
    <x v="2"/>
    <s v="Dine-In"/>
    <s v="Diya"/>
    <n v="5"/>
    <s v="Completed"/>
  </r>
  <r>
    <x v="957"/>
    <d v="2025-03-26T00:00:00"/>
    <s v="14:30"/>
    <s v="Wednesday"/>
    <x v="5"/>
    <s v="Q1"/>
    <s v="Autumn"/>
    <s v="S04"/>
    <x v="5"/>
    <x v="5"/>
    <s v="West"/>
    <s v="C2975"/>
    <x v="1"/>
    <s v="Silver"/>
    <s v="P034"/>
    <x v="0"/>
    <x v="0"/>
    <s v="Medium"/>
    <n v="2"/>
    <n v="93.24"/>
    <n v="12"/>
    <n v="22"/>
    <n v="127.24"/>
    <n v="310.8"/>
    <n v="0"/>
    <n v="621.6"/>
    <n v="367.12"/>
    <n v="59.06"/>
    <x v="3"/>
    <s v="Delivery"/>
    <s v="Diya"/>
    <n v="5"/>
    <s v="Completed"/>
  </r>
  <r>
    <x v="958"/>
    <d v="2025-03-02T00:00:00"/>
    <s v="17:00"/>
    <s v="Sunday"/>
    <x v="5"/>
    <s v="Q1"/>
    <s v="Autumn"/>
    <s v="S10"/>
    <x v="1"/>
    <x v="1"/>
    <s v="South"/>
    <s v="C2976"/>
    <x v="2"/>
    <s v="Gold"/>
    <s v="P004"/>
    <x v="10"/>
    <x v="1"/>
    <s v="Large"/>
    <n v="2"/>
    <n v="70.98"/>
    <n v="12"/>
    <n v="22"/>
    <n v="104.98"/>
    <n v="236.6"/>
    <n v="10"/>
    <n v="425.88"/>
    <n v="215.92"/>
    <n v="50.7"/>
    <x v="1"/>
    <s v="Dine-In"/>
    <s v="Rohan"/>
    <n v="4"/>
    <s v="Completed"/>
  </r>
  <r>
    <x v="959"/>
    <d v="2025-07-11T00:00:00"/>
    <s v="17:15"/>
    <s v="Friday"/>
    <x v="6"/>
    <s v="Q3"/>
    <s v="Monsoon"/>
    <s v="S12"/>
    <x v="2"/>
    <x v="2"/>
    <s v="East"/>
    <s v="C2978"/>
    <x v="1"/>
    <s v="Platinum"/>
    <s v="P019"/>
    <x v="7"/>
    <x v="4"/>
    <s v="Medium"/>
    <n v="2"/>
    <n v="71.64"/>
    <n v="12"/>
    <n v="22"/>
    <n v="105.64"/>
    <n v="238.8"/>
    <n v="0"/>
    <n v="477.6"/>
    <n v="266.32"/>
    <n v="55.76"/>
    <x v="3"/>
    <s v="Dine-In"/>
    <s v="Rohan"/>
    <n v="5"/>
    <s v="Completed"/>
  </r>
  <r>
    <x v="960"/>
    <d v="2025-01-16T00:00:00"/>
    <s v="17:15"/>
    <s v="Thursday"/>
    <x v="9"/>
    <s v="Q1"/>
    <s v="Winter"/>
    <s v="S07"/>
    <x v="3"/>
    <x v="3"/>
    <s v="South"/>
    <s v="C2979"/>
    <x v="0"/>
    <s v="Silver"/>
    <s v="P003"/>
    <x v="3"/>
    <x v="1"/>
    <s v="Medium"/>
    <n v="3"/>
    <n v="78.84"/>
    <n v="12"/>
    <n v="22"/>
    <n v="112.84"/>
    <n v="262.8"/>
    <n v="10"/>
    <n v="709.56"/>
    <n v="371.04"/>
    <n v="52.29"/>
    <x v="3"/>
    <s v="Takeaway"/>
    <s v="Kabir"/>
    <n v="5"/>
    <s v="Completed"/>
  </r>
  <r>
    <x v="961"/>
    <d v="2025-10-13T00:00:00"/>
    <s v="14:00"/>
    <s v="Monday"/>
    <x v="0"/>
    <s v="Q4"/>
    <s v="Autumn"/>
    <s v="S04"/>
    <x v="5"/>
    <x v="5"/>
    <s v="West"/>
    <s v="C2981"/>
    <x v="1"/>
    <s v="Gold"/>
    <s v="P003"/>
    <x v="3"/>
    <x v="1"/>
    <s v="Large"/>
    <n v="3"/>
    <n v="91.98"/>
    <n v="12"/>
    <n v="22"/>
    <n v="125.98"/>
    <n v="306.60000000000002"/>
    <n v="5"/>
    <n v="873.81"/>
    <n v="495.87"/>
    <n v="56.75"/>
    <x v="2"/>
    <s v="Dine-In"/>
    <s v="Rohan"/>
    <n v="5"/>
    <s v="Completed"/>
  </r>
  <r>
    <x v="962"/>
    <d v="2025-08-31T00:00:00"/>
    <s v="09:15"/>
    <s v="Sunday"/>
    <x v="4"/>
    <s v="Q3"/>
    <s v="Monsoon"/>
    <s v="S01"/>
    <x v="0"/>
    <x v="0"/>
    <s v="North"/>
    <s v="C2982"/>
    <x v="0"/>
    <s v="Silver"/>
    <s v="P042"/>
    <x v="14"/>
    <x v="5"/>
    <s v="Small"/>
    <n v="2"/>
    <n v="98.7"/>
    <n v="12"/>
    <n v="22"/>
    <n v="132.69999999999999"/>
    <n v="329"/>
    <n v="10"/>
    <n v="592.20000000000005"/>
    <n v="326.8"/>
    <n v="55.18"/>
    <x v="1"/>
    <s v="Takeaway"/>
    <s v="Meera"/>
    <n v="5"/>
    <s v="Completed"/>
  </r>
  <r>
    <x v="963"/>
    <d v="2025-06-10T00:00:00"/>
    <s v="13:30"/>
    <s v="Tuesday"/>
    <x v="10"/>
    <s v="Q2"/>
    <s v="Summer"/>
    <s v="S10"/>
    <x v="1"/>
    <x v="1"/>
    <s v="South"/>
    <s v="C2983"/>
    <x v="0"/>
    <s v="Gold"/>
    <s v="P027"/>
    <x v="13"/>
    <x v="3"/>
    <s v="Large"/>
    <n v="2"/>
    <n v="96.18"/>
    <n v="12"/>
    <n v="22"/>
    <n v="130.18"/>
    <n v="320.60000000000002"/>
    <n v="0"/>
    <n v="641.20000000000005"/>
    <n v="380.84"/>
    <n v="59.39"/>
    <x v="1"/>
    <s v="Dine-In"/>
    <s v="Rohan"/>
    <n v="5"/>
    <s v="Completed"/>
  </r>
  <r>
    <x v="964"/>
    <d v="2025-01-30T00:00:00"/>
    <s v="09:30"/>
    <s v="Thursday"/>
    <x v="9"/>
    <s v="Q1"/>
    <s v="Winter"/>
    <s v="S04"/>
    <x v="5"/>
    <x v="5"/>
    <s v="West"/>
    <s v="C2984"/>
    <x v="0"/>
    <s v="Silver"/>
    <s v="P004"/>
    <x v="10"/>
    <x v="1"/>
    <s v="Small"/>
    <n v="1"/>
    <n v="50.7"/>
    <n v="12"/>
    <n v="22"/>
    <n v="84.7"/>
    <n v="169"/>
    <n v="5"/>
    <n v="160.55000000000001"/>
    <n v="75.849999999999994"/>
    <n v="47.24"/>
    <x v="3"/>
    <s v="Takeaway"/>
    <s v="Rohan"/>
    <n v="4"/>
    <s v="Completed"/>
  </r>
  <r>
    <x v="965"/>
    <d v="2025-12-16T00:00:00"/>
    <s v="14:00"/>
    <s v="Tuesday"/>
    <x v="8"/>
    <s v="Q4"/>
    <s v="Winter"/>
    <s v="S07"/>
    <x v="3"/>
    <x v="3"/>
    <s v="South"/>
    <s v="C2985"/>
    <x v="0"/>
    <s v="Gold"/>
    <s v="P002"/>
    <x v="2"/>
    <x v="1"/>
    <s v="Large"/>
    <n v="2"/>
    <n v="100.38"/>
    <n v="12"/>
    <n v="22"/>
    <n v="134.38"/>
    <n v="334.6"/>
    <n v="5"/>
    <n v="635.74"/>
    <n v="366.98"/>
    <n v="57.72"/>
    <x v="0"/>
    <s v="Dine-In"/>
    <s v="Kabir"/>
    <n v="4"/>
    <s v="Completed"/>
  </r>
  <r>
    <x v="966"/>
    <d v="2025-01-30T00:00:00"/>
    <s v="14:45"/>
    <s v="Thursday"/>
    <x v="9"/>
    <s v="Q1"/>
    <s v="Winter"/>
    <s v="S07"/>
    <x v="3"/>
    <x v="3"/>
    <s v="South"/>
    <s v="C2986"/>
    <x v="1"/>
    <s v="Gold"/>
    <s v="P034"/>
    <x v="0"/>
    <x v="0"/>
    <s v="Small"/>
    <n v="1"/>
    <n v="77.7"/>
    <n v="12"/>
    <n v="22"/>
    <n v="111.7"/>
    <n v="259"/>
    <n v="0"/>
    <n v="259"/>
    <n v="147.30000000000001"/>
    <n v="56.87"/>
    <x v="2"/>
    <s v="Delivery"/>
    <s v="Rohan"/>
    <n v="4"/>
    <s v="Completed"/>
  </r>
  <r>
    <x v="967"/>
    <d v="2025-08-05T00:00:00"/>
    <s v="09:00"/>
    <s v="Tuesday"/>
    <x v="4"/>
    <s v="Q3"/>
    <s v="Monsoon"/>
    <s v="S07"/>
    <x v="3"/>
    <x v="3"/>
    <s v="South"/>
    <s v="C2987"/>
    <x v="2"/>
    <s v="Platinum"/>
    <s v="P002"/>
    <x v="2"/>
    <x v="1"/>
    <s v="Large"/>
    <n v="2"/>
    <n v="100.38"/>
    <n v="12"/>
    <n v="22"/>
    <n v="134.38"/>
    <n v="334.6"/>
    <n v="5"/>
    <n v="635.74"/>
    <n v="366.98"/>
    <n v="57.72"/>
    <x v="0"/>
    <s v="Takeaway"/>
    <s v="Rohan"/>
    <n v="5"/>
    <s v="Completed"/>
  </r>
  <r>
    <x v="968"/>
    <d v="2025-09-05T00:00:00"/>
    <s v="17:00"/>
    <s v="Friday"/>
    <x v="2"/>
    <s v="Q3"/>
    <s v="Monsoon"/>
    <s v="S14"/>
    <x v="4"/>
    <x v="4"/>
    <s v="North"/>
    <s v="C2988"/>
    <x v="0"/>
    <s v="Silver"/>
    <s v="P002"/>
    <x v="2"/>
    <x v="1"/>
    <s v="Medium"/>
    <n v="1"/>
    <n v="86.04"/>
    <n v="12"/>
    <n v="22"/>
    <n v="120.04"/>
    <n v="286.8"/>
    <n v="10"/>
    <n v="258.12"/>
    <n v="138.08000000000001"/>
    <n v="53.49"/>
    <x v="1"/>
    <s v="Delivery"/>
    <s v="Aarav"/>
    <n v="4"/>
    <s v="Completed"/>
  </r>
  <r>
    <x v="969"/>
    <d v="2025-09-19T00:00:00"/>
    <s v="08:00"/>
    <s v="Friday"/>
    <x v="2"/>
    <s v="Q3"/>
    <s v="Monsoon"/>
    <s v="S14"/>
    <x v="4"/>
    <x v="4"/>
    <s v="North"/>
    <s v="C2989"/>
    <x v="2"/>
    <s v="Gold"/>
    <s v="P003"/>
    <x v="3"/>
    <x v="1"/>
    <s v="Large"/>
    <n v="2"/>
    <n v="91.98"/>
    <n v="12"/>
    <n v="22"/>
    <n v="125.98"/>
    <n v="306.60000000000002"/>
    <n v="0"/>
    <n v="613.20000000000005"/>
    <n v="361.24"/>
    <n v="58.91"/>
    <x v="0"/>
    <s v="Takeaway"/>
    <s v="Aarav"/>
    <n v="5"/>
    <s v="Completed"/>
  </r>
  <r>
    <x v="970"/>
    <d v="2025-08-17T00:00:00"/>
    <s v="17:15"/>
    <s v="Sunday"/>
    <x v="4"/>
    <s v="Q3"/>
    <s v="Monsoon"/>
    <s v="S14"/>
    <x v="4"/>
    <x v="4"/>
    <s v="North"/>
    <s v="C2990"/>
    <x v="1"/>
    <s v="Silver"/>
    <s v="P041"/>
    <x v="12"/>
    <x v="5"/>
    <s v="Large"/>
    <n v="2"/>
    <n v="125.58"/>
    <n v="12"/>
    <n v="22"/>
    <n v="159.58000000000001"/>
    <n v="418.6"/>
    <n v="15"/>
    <n v="711.62"/>
    <n v="392.46"/>
    <n v="55.15"/>
    <x v="0"/>
    <s v="Dine-In"/>
    <s v="Rohan"/>
    <n v="5"/>
    <s v="Completed"/>
  </r>
  <r>
    <x v="971"/>
    <d v="2025-09-20T00:00:00"/>
    <s v="17:15"/>
    <s v="Saturday"/>
    <x v="2"/>
    <s v="Q3"/>
    <s v="Monsoon"/>
    <s v="S10"/>
    <x v="1"/>
    <x v="1"/>
    <s v="South"/>
    <s v="C2991"/>
    <x v="2"/>
    <s v="Gold"/>
    <s v="P002"/>
    <x v="2"/>
    <x v="1"/>
    <s v="Medium"/>
    <n v="4"/>
    <n v="86.04"/>
    <n v="12"/>
    <n v="22"/>
    <n v="120.04"/>
    <n v="286.8"/>
    <n v="10"/>
    <n v="1032.48"/>
    <n v="552.32000000000005"/>
    <n v="53.49"/>
    <x v="3"/>
    <s v="Delivery"/>
    <s v="Kabir"/>
    <n v="3"/>
    <s v="Completed"/>
  </r>
  <r>
    <x v="972"/>
    <d v="2025-03-10T00:00:00"/>
    <s v="18:00"/>
    <s v="Monday"/>
    <x v="5"/>
    <s v="Q1"/>
    <s v="Autumn"/>
    <s v="S07"/>
    <x v="3"/>
    <x v="3"/>
    <s v="South"/>
    <s v="C2992"/>
    <x v="0"/>
    <s v="Silver"/>
    <s v="P004"/>
    <x v="10"/>
    <x v="1"/>
    <s v="Small"/>
    <n v="1"/>
    <n v="50.7"/>
    <n v="12"/>
    <n v="22"/>
    <n v="84.7"/>
    <n v="169"/>
    <n v="0"/>
    <n v="169"/>
    <n v="84.3"/>
    <n v="49.88"/>
    <x v="0"/>
    <s v="Dine-In"/>
    <s v="Meera"/>
    <n v="4"/>
    <s v="Completed"/>
  </r>
  <r>
    <x v="973"/>
    <d v="2025-12-29T00:00:00"/>
    <s v="14:15"/>
    <s v="Monday"/>
    <x v="8"/>
    <s v="Q4"/>
    <s v="Winter"/>
    <s v="S04"/>
    <x v="5"/>
    <x v="5"/>
    <s v="West"/>
    <s v="C2993"/>
    <x v="2"/>
    <s v="Platinum"/>
    <s v="P004"/>
    <x v="10"/>
    <x v="1"/>
    <s v="Medium"/>
    <n v="1"/>
    <n v="60.84"/>
    <n v="12"/>
    <n v="22"/>
    <n v="94.84"/>
    <n v="202.8"/>
    <n v="10"/>
    <n v="182.52"/>
    <n v="87.68"/>
    <n v="48.04"/>
    <x v="3"/>
    <s v="Dine-In"/>
    <s v="Meera"/>
    <n v="5"/>
    <s v="Completed"/>
  </r>
  <r>
    <x v="974"/>
    <d v="2025-12-03T00:00:00"/>
    <s v="09:15"/>
    <s v="Wednesday"/>
    <x v="8"/>
    <s v="Q4"/>
    <s v="Winter"/>
    <s v="S10"/>
    <x v="1"/>
    <x v="1"/>
    <s v="South"/>
    <s v="C2994"/>
    <x v="0"/>
    <s v="Gold"/>
    <s v="P003"/>
    <x v="3"/>
    <x v="1"/>
    <s v="Medium"/>
    <n v="2"/>
    <n v="78.84"/>
    <n v="12"/>
    <n v="22"/>
    <n v="112.84"/>
    <n v="262.8"/>
    <n v="0"/>
    <n v="525.6"/>
    <n v="299.92"/>
    <n v="57.06"/>
    <x v="0"/>
    <s v="Takeaway"/>
    <s v="Kabir"/>
    <n v="5"/>
    <s v="Completed"/>
  </r>
  <r>
    <x v="975"/>
    <d v="2025-10-06T00:00:00"/>
    <s v="17:30"/>
    <s v="Monday"/>
    <x v="0"/>
    <s v="Q4"/>
    <s v="Autumn"/>
    <s v="S04"/>
    <x v="5"/>
    <x v="5"/>
    <s v="West"/>
    <s v="C2995"/>
    <x v="2"/>
    <s v="Platinum"/>
    <s v="P004"/>
    <x v="10"/>
    <x v="1"/>
    <s v="Medium"/>
    <n v="2"/>
    <n v="60.84"/>
    <n v="12"/>
    <n v="22"/>
    <n v="94.84"/>
    <n v="202.8"/>
    <n v="0"/>
    <n v="405.6"/>
    <n v="215.92"/>
    <n v="53.23"/>
    <x v="0"/>
    <s v="Dine-In"/>
    <s v="Rohan"/>
    <n v="5"/>
    <s v="Completed"/>
  </r>
  <r>
    <x v="976"/>
    <d v="2025-07-25T00:00:00"/>
    <s v="17:15"/>
    <s v="Friday"/>
    <x v="6"/>
    <s v="Q3"/>
    <s v="Monsoon"/>
    <s v="S10"/>
    <x v="1"/>
    <x v="1"/>
    <s v="South"/>
    <s v="C2996"/>
    <x v="0"/>
    <s v="Platinum"/>
    <s v="P002"/>
    <x v="2"/>
    <x v="1"/>
    <s v="Medium"/>
    <n v="3"/>
    <n v="86.04"/>
    <n v="12"/>
    <n v="22"/>
    <n v="120.04"/>
    <n v="286.8"/>
    <n v="10"/>
    <n v="774.36"/>
    <n v="414.24"/>
    <n v="53.49"/>
    <x v="1"/>
    <s v="Dine-In"/>
    <s v="Aarav"/>
    <n v="4"/>
    <s v="Completed"/>
  </r>
  <r>
    <x v="977"/>
    <d v="2025-11-22T00:00:00"/>
    <s v="14:45"/>
    <s v="Saturday"/>
    <x v="1"/>
    <s v="Q4"/>
    <s v="Autumn"/>
    <s v="S10"/>
    <x v="1"/>
    <x v="1"/>
    <s v="South"/>
    <s v="C2997"/>
    <x v="2"/>
    <s v="Silver"/>
    <s v="P042"/>
    <x v="14"/>
    <x v="5"/>
    <s v="Medium"/>
    <n v="4"/>
    <n v="118.44"/>
    <n v="12"/>
    <n v="22"/>
    <n v="152.44"/>
    <n v="394.8"/>
    <n v="15"/>
    <n v="1342.32"/>
    <n v="732.56"/>
    <n v="54.57"/>
    <x v="1"/>
    <s v="Dine-In"/>
    <s v="Aarav"/>
    <n v="4"/>
    <s v="Completed"/>
  </r>
  <r>
    <x v="978"/>
    <d v="2025-03-22T00:00:00"/>
    <s v="18:45"/>
    <s v="Saturday"/>
    <x v="5"/>
    <s v="Q1"/>
    <s v="Autumn"/>
    <s v="S12"/>
    <x v="2"/>
    <x v="2"/>
    <s v="East"/>
    <s v="C2998"/>
    <x v="2"/>
    <s v="Platinum"/>
    <s v="P004"/>
    <x v="10"/>
    <x v="1"/>
    <s v="Medium"/>
    <n v="4"/>
    <n v="60.84"/>
    <n v="12"/>
    <n v="22"/>
    <n v="94.84"/>
    <n v="202.8"/>
    <n v="15"/>
    <n v="689.52"/>
    <n v="310.16000000000003"/>
    <n v="44.98"/>
    <x v="1"/>
    <s v="Dine-In"/>
    <s v="Aarav"/>
    <n v="4"/>
    <s v="Completed"/>
  </r>
  <r>
    <x v="979"/>
    <d v="2025-01-25T00:00:00"/>
    <s v="18:45"/>
    <s v="Saturday"/>
    <x v="9"/>
    <s v="Q1"/>
    <s v="Winter"/>
    <s v="S14"/>
    <x v="4"/>
    <x v="4"/>
    <s v="North"/>
    <s v="C2999"/>
    <x v="0"/>
    <s v="Silver"/>
    <s v="P004"/>
    <x v="10"/>
    <x v="1"/>
    <s v="Small"/>
    <n v="3"/>
    <n v="50.7"/>
    <n v="12"/>
    <n v="22"/>
    <n v="84.7"/>
    <n v="169"/>
    <n v="15"/>
    <n v="430.95"/>
    <n v="176.85"/>
    <n v="41.04"/>
    <x v="3"/>
    <s v="Takeaway"/>
    <s v="Meera"/>
    <n v="5"/>
    <s v="Complet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7867CC-7733-4286-9600-258E897BCD34}" name="PivotTable1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R3:S7" firstHeaderRow="1" firstDataRow="1" firstDataCol="1"/>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axis="axisRow"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dataField="1" numFmtId="180" showAll="0"/>
    <pivotField numFmtId="177" showAll="0"/>
    <pivotField numFmtId="183" showAll="0"/>
    <pivotField showAll="0">
      <items count="6">
        <item x="3"/>
        <item x="1"/>
        <item x="4"/>
        <item x="2"/>
        <item x="0"/>
        <item t="default"/>
      </items>
    </pivotField>
    <pivotField showAll="0"/>
    <pivotField showAll="0"/>
    <pivotField showAll="0"/>
    <pivotField showAll="0"/>
  </pivotFields>
  <rowFields count="1">
    <field x="12"/>
  </rowFields>
  <rowItems count="4">
    <i>
      <x/>
    </i>
    <i>
      <x v="1"/>
    </i>
    <i>
      <x v="2"/>
    </i>
    <i t="grand">
      <x/>
    </i>
  </rowItems>
  <colItems count="1">
    <i/>
  </colItems>
  <dataFields count="1">
    <dataField name="Sum of Sales" fld="25" baseField="0" baseItem="0" numFmtId="180"/>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2" count="1" selected="0">
            <x v="0"/>
          </reference>
        </references>
      </pivotArea>
    </chartFormat>
    <chartFormat chart="3" format="7">
      <pivotArea type="data" outline="0" fieldPosition="0">
        <references count="2">
          <reference field="4294967294" count="1" selected="0">
            <x v="0"/>
          </reference>
          <reference field="12" count="1" selected="0">
            <x v="1"/>
          </reference>
        </references>
      </pivotArea>
    </chartFormat>
    <chartFormat chart="3" format="8">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FA0F7E-5883-4794-85B0-2E3F1AAEA1C6}"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3:M10" firstHeaderRow="1" firstDataRow="1" firstDataCol="1"/>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axis="axisRow" showAll="0" sortType="ascending">
      <items count="7">
        <item x="5"/>
        <item x="1"/>
        <item x="0"/>
        <item x="4"/>
        <item x="3"/>
        <item x="2"/>
        <item t="default"/>
      </items>
      <autoSortScope>
        <pivotArea dataOnly="0" outline="0" fieldPosition="0">
          <references count="1">
            <reference field="4294967294" count="1" selected="0">
              <x v="0"/>
            </reference>
          </references>
        </pivotArea>
      </autoSortScope>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numFmtId="180" showAll="0"/>
    <pivotField dataField="1" numFmtId="177" showAll="0"/>
    <pivotField numFmtId="183" showAll="0"/>
    <pivotField showAll="0">
      <items count="6">
        <item x="3"/>
        <item x="1"/>
        <item x="4"/>
        <item x="2"/>
        <item x="0"/>
        <item t="default"/>
      </items>
    </pivotField>
    <pivotField showAll="0"/>
    <pivotField showAll="0"/>
    <pivotField showAll="0"/>
    <pivotField showAll="0"/>
  </pivotFields>
  <rowFields count="1">
    <field x="8"/>
  </rowFields>
  <rowItems count="7">
    <i>
      <x v="5"/>
    </i>
    <i>
      <x v="2"/>
    </i>
    <i>
      <x v="1"/>
    </i>
    <i>
      <x/>
    </i>
    <i>
      <x v="3"/>
    </i>
    <i>
      <x v="4"/>
    </i>
    <i t="grand">
      <x/>
    </i>
  </rowItems>
  <colItems count="1">
    <i/>
  </colItems>
  <dataFields count="1">
    <dataField name="Sum of Profit" fld="26" baseField="0" baseItem="0" numFmtId="177"/>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3BCB4C-873C-4FBF-BA47-473CC340658A}"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A12" firstHeaderRow="1" firstDataRow="1" firstDataCol="0"/>
  <pivotFields count="33">
    <pivotField dataField="1" showAll="0">
      <items count="981">
        <item x="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90"/>
        <item x="149"/>
        <item x="150"/>
        <item x="151"/>
        <item x="152"/>
        <item x="153"/>
        <item x="154"/>
        <item x="155"/>
        <item x="156"/>
        <item x="157"/>
        <item x="158"/>
        <item x="159"/>
        <item x="160"/>
        <item x="161"/>
        <item x="162"/>
        <item x="163"/>
        <item x="164"/>
        <item x="165"/>
        <item x="166"/>
        <item x="167"/>
        <item x="168"/>
        <item x="169"/>
        <item x="170"/>
        <item x="171"/>
        <item x="172"/>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3"/>
        <item x="294"/>
        <item x="295"/>
        <item x="296"/>
        <item x="297"/>
        <item x="298"/>
        <item x="299"/>
        <item x="300"/>
        <item x="301"/>
        <item x="302"/>
        <item x="303"/>
        <item x="304"/>
        <item x="305"/>
        <item x="306"/>
        <item x="307"/>
        <item x="308"/>
        <item x="309"/>
        <item x="310"/>
        <item x="311"/>
        <item x="312"/>
        <item x="313"/>
        <item x="314"/>
        <item x="316"/>
        <item x="317"/>
        <item x="318"/>
        <item x="319"/>
        <item x="173"/>
        <item x="320"/>
        <item x="321"/>
        <item x="322"/>
        <item x="323"/>
        <item x="324"/>
        <item x="325"/>
        <item x="326"/>
        <item x="327"/>
        <item x="328"/>
        <item x="329"/>
        <item x="330"/>
        <item x="331"/>
        <item x="332"/>
        <item x="333"/>
        <item x="334"/>
        <item x="335"/>
        <item x="336"/>
        <item x="337"/>
        <item x="338"/>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292"/>
        <item x="401"/>
        <item x="402"/>
        <item x="403"/>
        <item x="404"/>
        <item x="406"/>
        <item x="407"/>
        <item x="408"/>
        <item x="409"/>
        <item x="410"/>
        <item x="315"/>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73"/>
        <item x="484"/>
        <item x="485"/>
        <item x="486"/>
        <item x="487"/>
        <item x="488"/>
        <item x="489"/>
        <item x="490"/>
        <item x="491"/>
        <item x="492"/>
        <item x="493"/>
        <item x="494"/>
        <item x="495"/>
        <item x="496"/>
        <item x="497"/>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339"/>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498"/>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6"/>
        <item x="687"/>
        <item x="688"/>
        <item x="689"/>
        <item x="690"/>
        <item x="691"/>
        <item x="692"/>
        <item x="693"/>
        <item x="694"/>
        <item x="695"/>
        <item x="696"/>
        <item x="697"/>
        <item x="698"/>
        <item x="699"/>
        <item x="700"/>
        <item x="701"/>
        <item x="702"/>
        <item x="703"/>
        <item x="704"/>
        <item x="705"/>
        <item x="706"/>
        <item x="707"/>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684"/>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10"/>
        <item x="926"/>
        <item x="927"/>
        <item x="928"/>
        <item x="929"/>
        <item x="930"/>
        <item x="931"/>
        <item x="932"/>
        <item x="933"/>
        <item x="934"/>
        <item x="935"/>
        <item x="936"/>
        <item x="937"/>
        <item x="938"/>
        <item x="939"/>
        <item x="405"/>
        <item x="940"/>
        <item x="941"/>
        <item x="942"/>
        <item x="943"/>
        <item x="944"/>
        <item x="945"/>
        <item x="946"/>
        <item x="947"/>
        <item x="948"/>
        <item x="949"/>
        <item x="886"/>
        <item x="950"/>
        <item x="951"/>
        <item x="952"/>
        <item x="953"/>
        <item x="954"/>
        <item x="955"/>
        <item x="956"/>
        <item x="957"/>
        <item x="958"/>
        <item x="708"/>
        <item x="959"/>
        <item x="960"/>
        <item x="685"/>
        <item x="961"/>
        <item x="962"/>
        <item x="963"/>
        <item x="964"/>
        <item x="965"/>
        <item x="966"/>
        <item x="967"/>
        <item x="968"/>
        <item x="969"/>
        <item x="970"/>
        <item x="971"/>
        <item x="972"/>
        <item x="973"/>
        <item x="974"/>
        <item x="975"/>
        <item x="976"/>
        <item x="977"/>
        <item x="978"/>
        <item x="979"/>
        <item t="default"/>
      </items>
    </pivotField>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numFmtId="180" showAll="0"/>
    <pivotField numFmtId="177" showAll="0"/>
    <pivotField numFmtId="183" showAll="0"/>
    <pivotField showAll="0">
      <items count="6">
        <item x="3"/>
        <item x="1"/>
        <item x="4"/>
        <item x="2"/>
        <item x="0"/>
        <item t="default"/>
      </items>
    </pivotField>
    <pivotField showAll="0"/>
    <pivotField showAll="0"/>
    <pivotField showAll="0"/>
    <pivotField showAll="0"/>
  </pivotFields>
  <rowItems count="1">
    <i/>
  </rowItems>
  <colItems count="1">
    <i/>
  </colItems>
  <dataFields count="1">
    <dataField name="Count of Orde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C58F21-2313-45B0-8AFB-4192429861C2}"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C3:D16" firstHeaderRow="1" firstDataRow="1" firstDataCol="1"/>
  <pivotFields count="33">
    <pivotField showAll="0"/>
    <pivotField numFmtId="179" showAll="0"/>
    <pivotField showAll="0"/>
    <pivotField showAll="0"/>
    <pivotField axis="axisRow"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dataField="1" numFmtId="180" showAll="0"/>
    <pivotField numFmtId="177" showAll="0"/>
    <pivotField numFmtId="183" showAll="0"/>
    <pivotField showAll="0">
      <items count="6">
        <item x="3"/>
        <item x="1"/>
        <item x="4"/>
        <item x="2"/>
        <item x="0"/>
        <item t="default"/>
      </items>
    </pivotField>
    <pivotField showAll="0"/>
    <pivotField showAll="0"/>
    <pivotField showAll="0"/>
    <pivotField showAll="0"/>
  </pivotFields>
  <rowFields count="1">
    <field x="4"/>
  </rowFields>
  <rowItems count="13">
    <i>
      <x/>
    </i>
    <i>
      <x v="1"/>
    </i>
    <i>
      <x v="2"/>
    </i>
    <i>
      <x v="3"/>
    </i>
    <i>
      <x v="4"/>
    </i>
    <i>
      <x v="5"/>
    </i>
    <i>
      <x v="6"/>
    </i>
    <i>
      <x v="7"/>
    </i>
    <i>
      <x v="8"/>
    </i>
    <i>
      <x v="9"/>
    </i>
    <i>
      <x v="10"/>
    </i>
    <i>
      <x v="11"/>
    </i>
    <i t="grand">
      <x/>
    </i>
  </rowItems>
  <colItems count="1">
    <i/>
  </colItems>
  <dataFields count="1">
    <dataField name="Sum of Sales" fld="25" baseField="0" baseItem="0" numFmtId="180"/>
  </dataFields>
  <chartFormats count="8">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7"/>
          </reference>
        </references>
      </pivotArea>
    </chartFormat>
    <chartFormat chart="3" format="4">
      <pivotArea type="data" outline="0" fieldPosition="0">
        <references count="2">
          <reference field="4294967294" count="1" selected="0">
            <x v="0"/>
          </reference>
          <reference field="4" count="1" selected="0">
            <x v="1"/>
          </reference>
        </references>
      </pivotArea>
    </chartFormat>
    <chartFormat chart="3" format="5">
      <pivotArea type="data" outline="0" fieldPosition="0">
        <references count="2">
          <reference field="4294967294" count="1" selected="0">
            <x v="0"/>
          </reference>
          <reference field="4" count="1" selected="0">
            <x v="4"/>
          </reference>
        </references>
      </pivotArea>
    </chartFormat>
    <chartFormat chart="3" format="6">
      <pivotArea type="data" outline="0" fieldPosition="0">
        <references count="2">
          <reference field="4294967294" count="1" selected="0">
            <x v="0"/>
          </reference>
          <reference field="4" count="1" selected="0">
            <x v="3"/>
          </reference>
        </references>
      </pivotArea>
    </chartFormat>
    <chartFormat chart="3" format="7">
      <pivotArea type="data" outline="0" fieldPosition="0">
        <references count="2">
          <reference field="4294967294" count="1" selected="0">
            <x v="0"/>
          </reference>
          <reference field="4" count="1" selected="0">
            <x v="6"/>
          </reference>
        </references>
      </pivotArea>
    </chartFormat>
    <chartFormat chart="3" format="8">
      <pivotArea type="data" outline="0" fieldPosition="0">
        <references count="2">
          <reference field="4294967294" count="1" selected="0">
            <x v="0"/>
          </reference>
          <reference field="4" count="1" selected="0">
            <x v="8"/>
          </reference>
        </references>
      </pivotArea>
    </chartFormat>
    <chartFormat chart="3" format="9">
      <pivotArea type="data" outline="0" fieldPosition="0">
        <references count="2">
          <reference field="4294967294" count="1" selected="0">
            <x v="0"/>
          </reference>
          <reference field="4"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B7A915-7224-4C69-971B-9B24227E242A}"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J9" firstHeaderRow="1" firstDataRow="1" firstDataCol="1"/>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axis="axisRow" showAll="0" measureFilter="1" sortType="descending">
      <items count="16">
        <item x="10"/>
        <item x="7"/>
        <item x="3"/>
        <item x="12"/>
        <item x="8"/>
        <item x="1"/>
        <item x="4"/>
        <item x="0"/>
        <item x="2"/>
        <item x="11"/>
        <item x="5"/>
        <item x="9"/>
        <item x="6"/>
        <item x="14"/>
        <item x="13"/>
        <item t="default"/>
      </items>
      <autoSortScope>
        <pivotArea dataOnly="0" outline="0" fieldPosition="0">
          <references count="1">
            <reference field="4294967294" count="1" selected="0">
              <x v="0"/>
            </reference>
          </references>
        </pivotArea>
      </autoSortScope>
    </pivotField>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dataField="1" numFmtId="180" showAll="0"/>
    <pivotField numFmtId="177" showAll="0"/>
    <pivotField numFmtId="183" showAll="0"/>
    <pivotField showAll="0">
      <items count="6">
        <item x="3"/>
        <item x="1"/>
        <item x="4"/>
        <item x="2"/>
        <item x="0"/>
        <item t="default"/>
      </items>
    </pivotField>
    <pivotField showAll="0"/>
    <pivotField showAll="0"/>
    <pivotField showAll="0"/>
    <pivotField showAll="0"/>
  </pivotFields>
  <rowFields count="1">
    <field x="15"/>
  </rowFields>
  <rowItems count="6">
    <i>
      <x v="8"/>
    </i>
    <i>
      <x v="2"/>
    </i>
    <i>
      <x/>
    </i>
    <i>
      <x v="5"/>
    </i>
    <i>
      <x v="7"/>
    </i>
    <i t="grand">
      <x/>
    </i>
  </rowItems>
  <colItems count="1">
    <i/>
  </colItems>
  <dataFields count="1">
    <dataField name="Sum of Sales" fld="25" baseField="0" baseItem="0" numFmtId="180"/>
  </dataFields>
  <pivotTableStyleInfo name="PivotStyleLight16" showRowHeaders="1" showColHeaders="1" showRowStripes="0" showColStripes="0" showLastColumn="1"/>
  <filters count="1">
    <filter fld="1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AE34663-C213-4435-B71D-0BD8E994A698}"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numFmtId="180" showAll="0"/>
    <pivotField dataField="1" numFmtId="177" showAll="0"/>
    <pivotField numFmtId="183" showAll="0"/>
    <pivotField showAll="0">
      <items count="6">
        <item x="3"/>
        <item x="1"/>
        <item x="4"/>
        <item x="2"/>
        <item x="0"/>
        <item t="default"/>
      </items>
    </pivotField>
    <pivotField showAll="0"/>
    <pivotField showAll="0"/>
    <pivotField showAll="0"/>
    <pivotField showAll="0"/>
  </pivotFields>
  <rowItems count="1">
    <i/>
  </rowItems>
  <colItems count="1">
    <i/>
  </colItems>
  <dataFields count="1">
    <dataField name="Sum of Profit" fld="26" baseField="0" baseItem="0" numFmtId="17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A6F346-239E-4988-A060-3422CC91174F}"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dataField="1" numFmtId="180" showAll="0"/>
    <pivotField numFmtId="177" showAll="0"/>
    <pivotField numFmtId="183" showAll="0"/>
    <pivotField showAll="0">
      <items count="6">
        <item x="3"/>
        <item x="1"/>
        <item x="4"/>
        <item x="2"/>
        <item x="0"/>
        <item t="default"/>
      </items>
    </pivotField>
    <pivotField showAll="0"/>
    <pivotField showAll="0"/>
    <pivotField showAll="0"/>
    <pivotField showAll="0"/>
  </pivotFields>
  <rowItems count="1">
    <i/>
  </rowItems>
  <colItems count="1">
    <i/>
  </colItems>
  <dataFields count="1">
    <dataField name="Sum of Sales" fld="25" baseField="0" baseItem="0" numFmtId="18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909D167-76B2-47F1-BD76-521ABC63B1A3}"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O3:P9" firstHeaderRow="1" firstDataRow="1" firstDataCol="1"/>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dataField="1" numFmtId="180" showAll="0"/>
    <pivotField numFmtId="177" showAll="0"/>
    <pivotField numFmtId="183" showAll="0"/>
    <pivotField axis="axisRow" showAll="0">
      <items count="6">
        <item x="3"/>
        <item x="1"/>
        <item x="4"/>
        <item x="2"/>
        <item x="0"/>
        <item t="default"/>
      </items>
    </pivotField>
    <pivotField showAll="0"/>
    <pivotField showAll="0"/>
    <pivotField showAll="0"/>
    <pivotField showAll="0"/>
  </pivotFields>
  <rowFields count="1">
    <field x="28"/>
  </rowFields>
  <rowItems count="6">
    <i>
      <x/>
    </i>
    <i>
      <x v="1"/>
    </i>
    <i>
      <x v="2"/>
    </i>
    <i>
      <x v="3"/>
    </i>
    <i>
      <x v="4"/>
    </i>
    <i t="grand">
      <x/>
    </i>
  </rowItems>
  <colItems count="1">
    <i/>
  </colItems>
  <dataFields count="1">
    <dataField name="Sum of Sales" fld="25" baseField="0" baseItem="0" numFmtId="180"/>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28" count="1" selected="0">
            <x v="0"/>
          </reference>
        </references>
      </pivotArea>
    </chartFormat>
    <chartFormat chart="3" format="9">
      <pivotArea type="data" outline="0" fieldPosition="0">
        <references count="2">
          <reference field="4294967294" count="1" selected="0">
            <x v="0"/>
          </reference>
          <reference field="28" count="1" selected="0">
            <x v="1"/>
          </reference>
        </references>
      </pivotArea>
    </chartFormat>
    <chartFormat chart="3" format="10">
      <pivotArea type="data" outline="0" fieldPosition="0">
        <references count="2">
          <reference field="4294967294" count="1" selected="0">
            <x v="0"/>
          </reference>
          <reference field="28" count="1" selected="0">
            <x v="2"/>
          </reference>
        </references>
      </pivotArea>
    </chartFormat>
    <chartFormat chart="3" format="11">
      <pivotArea type="data" outline="0" fieldPosition="0">
        <references count="2">
          <reference field="4294967294" count="1" selected="0">
            <x v="0"/>
          </reference>
          <reference field="28" count="1" selected="0">
            <x v="3"/>
          </reference>
        </references>
      </pivotArea>
    </chartFormat>
    <chartFormat chart="3" format="12">
      <pivotArea type="data" outline="0" fieldPosition="0">
        <references count="2">
          <reference field="4294967294" count="1" selected="0">
            <x v="0"/>
          </reference>
          <reference field="2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9F5A2BA-FB36-45CF-AD13-442C76814E6B}"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F3:G10" firstHeaderRow="1" firstDataRow="1" firstDataCol="1"/>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axis="axisRow" showAll="0" sortType="a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showAll="0"/>
    <pivotField showAll="0"/>
    <pivotField numFmtId="181" showAll="0"/>
    <pivotField numFmtId="178" showAll="0"/>
    <pivotField numFmtId="178" showAll="0"/>
    <pivotField numFmtId="181" showAll="0"/>
    <pivotField numFmtId="181" showAll="0"/>
    <pivotField numFmtId="182" showAll="0"/>
    <pivotField dataField="1" numFmtId="180" showAll="0"/>
    <pivotField numFmtId="177" showAll="0"/>
    <pivotField numFmtId="183" showAll="0"/>
    <pivotField showAll="0">
      <items count="6">
        <item x="3"/>
        <item x="1"/>
        <item x="4"/>
        <item x="2"/>
        <item x="0"/>
        <item t="default"/>
      </items>
    </pivotField>
    <pivotField showAll="0"/>
    <pivotField showAll="0"/>
    <pivotField showAll="0"/>
    <pivotField showAll="0"/>
  </pivotFields>
  <rowFields count="1">
    <field x="16"/>
  </rowFields>
  <rowItems count="7">
    <i>
      <x/>
    </i>
    <i>
      <x v="4"/>
    </i>
    <i>
      <x v="5"/>
    </i>
    <i>
      <x v="3"/>
    </i>
    <i>
      <x v="2"/>
    </i>
    <i>
      <x v="1"/>
    </i>
    <i t="grand">
      <x/>
    </i>
  </rowItems>
  <colItems count="1">
    <i/>
  </colItems>
  <dataFields count="1">
    <dataField name="Sum of Sales" fld="25" baseField="0" baseItem="0" numFmtId="180"/>
  </dataFields>
  <chartFormats count="2">
    <chartFormat chart="9" format="2"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490272-8491-49AB-90A9-DCE43E81FFF7}"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A16" firstHeaderRow="1" firstDataRow="1" firstDataCol="0"/>
  <pivotFields count="33">
    <pivotField showAll="0"/>
    <pivotField numFmtId="179" showAll="0"/>
    <pivotField showAll="0"/>
    <pivotField showAll="0"/>
    <pivotField showAll="0">
      <items count="13">
        <item x="9"/>
        <item x="3"/>
        <item x="5"/>
        <item x="11"/>
        <item x="7"/>
        <item x="10"/>
        <item x="6"/>
        <item x="4"/>
        <item x="2"/>
        <item x="0"/>
        <item x="1"/>
        <item x="8"/>
        <item t="default"/>
      </items>
    </pivotField>
    <pivotField showAll="0"/>
    <pivotField showAll="0"/>
    <pivotField showAll="0"/>
    <pivotField showAll="0">
      <items count="7">
        <item x="5"/>
        <item x="1"/>
        <item x="0"/>
        <item x="4"/>
        <item x="3"/>
        <item x="2"/>
        <item t="default"/>
      </items>
    </pivotField>
    <pivotField showAll="0">
      <items count="7">
        <item x="2"/>
        <item x="3"/>
        <item x="0"/>
        <item x="1"/>
        <item x="4"/>
        <item x="5"/>
        <item t="default"/>
      </items>
    </pivotField>
    <pivotField showAll="0"/>
    <pivotField showAll="0"/>
    <pivotField showAll="0">
      <items count="4">
        <item x="2"/>
        <item x="0"/>
        <item x="1"/>
        <item t="default"/>
      </items>
    </pivotField>
    <pivotField showAll="0"/>
    <pivotField showAll="0"/>
    <pivotField showAll="0"/>
    <pivotField showAll="0">
      <items count="7">
        <item x="4"/>
        <item x="1"/>
        <item x="0"/>
        <item x="5"/>
        <item x="3"/>
        <item x="2"/>
        <item t="default"/>
      </items>
    </pivotField>
    <pivotField showAll="0"/>
    <pivotField showAll="0"/>
    <pivotField numFmtId="181" showAll="0"/>
    <pivotField numFmtId="178" showAll="0"/>
    <pivotField numFmtId="178" showAll="0"/>
    <pivotField numFmtId="181" showAll="0"/>
    <pivotField numFmtId="181" showAll="0"/>
    <pivotField numFmtId="182" showAll="0"/>
    <pivotField numFmtId="180" showAll="0"/>
    <pivotField numFmtId="177" showAll="0"/>
    <pivotField numFmtId="183" showAll="0"/>
    <pivotField showAll="0">
      <items count="6">
        <item x="3"/>
        <item x="1"/>
        <item x="4"/>
        <item x="2"/>
        <item x="0"/>
        <item t="default"/>
      </items>
    </pivotField>
    <pivotField showAll="0"/>
    <pivotField showAll="0"/>
    <pivotField dataField="1" showAll="0"/>
    <pivotField showAll="0"/>
  </pivotFields>
  <rowItems count="1">
    <i/>
  </rowItems>
  <colItems count="1">
    <i/>
  </colItems>
  <dataFields count="1">
    <dataField name="Count of Customer_Rating" fld="3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092EB28-2133-4F2E-A00B-C62F3132B78A}" sourceName="Month">
  <pivotTables>
    <pivotTable tabId="3" name="PivotTable1"/>
    <pivotTable tabId="3" name="PivotTable10"/>
    <pivotTable tabId="3" name="PivotTable11"/>
    <pivotTable tabId="3" name="PivotTable12"/>
    <pivotTable tabId="3" name="PivotTable2"/>
    <pivotTable tabId="3" name="PivotTable3"/>
    <pivotTable tabId="3" name="PivotTable4"/>
    <pivotTable tabId="3" name="PivotTable7"/>
    <pivotTable tabId="3" name="PivotTable8"/>
    <pivotTable tabId="3" name="PivotTable9"/>
  </pivotTables>
  <data>
    <tabular pivotCacheId="1225696574">
      <items count="12">
        <i x="9" s="1"/>
        <i x="3" s="1"/>
        <i x="5" s="1"/>
        <i x="11" s="1"/>
        <i x="7" s="1"/>
        <i x="10" s="1"/>
        <i x="6" s="1"/>
        <i x="4" s="1"/>
        <i x="2" s="1"/>
        <i x="0" s="1"/>
        <i x="1" s="1"/>
        <i x="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A1499300-7E33-4AE4-9F9B-746AF2917F12}" sourceName="Store_Name">
  <pivotTables>
    <pivotTable tabId="3" name="PivotTable8"/>
    <pivotTable tabId="3" name="PivotTable1"/>
    <pivotTable tabId="3" name="PivotTable10"/>
    <pivotTable tabId="3" name="PivotTable11"/>
    <pivotTable tabId="3" name="PivotTable12"/>
    <pivotTable tabId="3" name="PivotTable2"/>
    <pivotTable tabId="3" name="PivotTable3"/>
    <pivotTable tabId="3" name="PivotTable4"/>
    <pivotTable tabId="3" name="PivotTable7"/>
    <pivotTable tabId="3" name="PivotTable9"/>
  </pivotTables>
  <data>
    <tabular pivotCacheId="1225696574">
      <items count="6">
        <i x="5" s="1"/>
        <i x="1" s="1"/>
        <i x="0" s="1"/>
        <i x="4"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5E84D6-7CED-4E50-8100-6AEA8A641B4A}" sourceName="Category">
  <pivotTables>
    <pivotTable tabId="3" name="PivotTable10"/>
    <pivotTable tabId="3" name="PivotTable1"/>
    <pivotTable tabId="3" name="PivotTable11"/>
    <pivotTable tabId="3" name="PivotTable12"/>
    <pivotTable tabId="3" name="PivotTable2"/>
    <pivotTable tabId="3" name="PivotTable3"/>
    <pivotTable tabId="3" name="PivotTable4"/>
    <pivotTable tabId="3" name="PivotTable7"/>
    <pivotTable tabId="3" name="PivotTable8"/>
    <pivotTable tabId="3" name="PivotTable9"/>
  </pivotTables>
  <data>
    <tabular pivotCacheId="1225696574">
      <items count="6">
        <i x="4" s="1"/>
        <i x="1" s="1"/>
        <i x="0" s="1"/>
        <i x="5"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9BD3C3FA-93F2-41A6-A6FA-37917F48352F}" sourceName="Payment_Mode">
  <pivotTables>
    <pivotTable tabId="3" name="PivotTable11"/>
    <pivotTable tabId="3" name="PivotTable1"/>
    <pivotTable tabId="3" name="PivotTable10"/>
    <pivotTable tabId="3" name="PivotTable12"/>
    <pivotTable tabId="3" name="PivotTable2"/>
    <pivotTable tabId="3" name="PivotTable3"/>
    <pivotTable tabId="3" name="PivotTable4"/>
    <pivotTable tabId="3" name="PivotTable7"/>
    <pivotTable tabId="3" name="PivotTable8"/>
    <pivotTable tabId="3" name="PivotTable9"/>
  </pivotTables>
  <data>
    <tabular pivotCacheId="1225696574">
      <items count="5">
        <i x="3" s="1"/>
        <i x="1" s="1"/>
        <i x="4"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D2D7FD13-D7FE-4137-8F19-CC0BB74F7590}" sourceName="Customer_Type">
  <pivotTables>
    <pivotTable tabId="3" name="PivotTable9"/>
    <pivotTable tabId="3" name="PivotTable1"/>
    <pivotTable tabId="3" name="PivotTable10"/>
    <pivotTable tabId="3" name="PivotTable11"/>
    <pivotTable tabId="3" name="PivotTable12"/>
    <pivotTable tabId="3" name="PivotTable2"/>
    <pivotTable tabId="3" name="PivotTable3"/>
    <pivotTable tabId="3" name="PivotTable4"/>
    <pivotTable tabId="3" name="PivotTable7"/>
    <pivotTable tabId="3" name="PivotTable8"/>
  </pivotTables>
  <data>
    <tabular pivotCacheId="1225696574">
      <items count="3">
        <i x="2"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3DC5F9FB-1A0B-4A32-8515-08EE4970E225}" sourceName="City">
  <pivotTables>
    <pivotTable tabId="3" name="PivotTable8"/>
    <pivotTable tabId="3" name="PivotTable1"/>
    <pivotTable tabId="3" name="PivotTable10"/>
    <pivotTable tabId="3" name="PivotTable11"/>
    <pivotTable tabId="3" name="PivotTable12"/>
    <pivotTable tabId="3" name="PivotTable2"/>
    <pivotTable tabId="3" name="PivotTable3"/>
    <pivotTable tabId="3" name="PivotTable4"/>
    <pivotTable tabId="3" name="PivotTable7"/>
    <pivotTable tabId="3" name="PivotTable9"/>
  </pivotTables>
  <data>
    <tabular pivotCacheId="1225696574">
      <items count="6">
        <i x="2" s="1"/>
        <i x="3" s="1"/>
        <i x="0" s="1"/>
        <i x="1"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8D3B18E-A1DE-4B30-BF03-AB0C05ED3566}" cache="Slicer_Month" caption="Month" showCaption="0" style="Slicer Style 1" rowHeight="217488"/>
  <slicer name="Store_Name" xr10:uid="{6AE4EE2F-62EC-44EC-8A76-2C0749E3B1FB}" cache="Slicer_Store_Name" caption="Store_Name" showCaption="0" style="Slicer Style 1" rowHeight="217488"/>
  <slicer name="Category" xr10:uid="{FD6907F2-DCF7-4DDA-B001-493B3314DCB5}" cache="Slicer_Category" caption="Category" showCaption="0" style="Slicer Style 1" rowHeight="217488"/>
  <slicer name="Payment_Mode" xr10:uid="{B749FD07-D782-4E95-8948-0C622F44B5A8}" cache="Slicer_Payment_Mode" caption="Payment_Mode" showCaption="0" style="Slicer Style 1" rowHeight="217488"/>
  <slicer name="Customer_Type" xr10:uid="{8310A396-8162-4E93-BCEB-BBF59681E5CD}" cache="Slicer_Customer_Type" caption="Customer_Type" showCaption="0" style="Slicer Style 1" rowHeight="217488"/>
  <slicer name="City" xr10:uid="{DF28012F-6845-44A6-95AE-94834AC69AC9}" cache="Slicer_City" caption="City" showCaption="0" style="Slicer Style 1" rowHeight="21748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F530C6-D4D0-4AB9-8E1D-185D631BAA22}" name="Table2" displayName="Table2" ref="A1:AG981" totalsRowShown="0" headerRowDxfId="11">
  <autoFilter ref="A1:AG981" xr:uid="{86F530C6-D4D0-4AB9-8E1D-185D631BAA22}"/>
  <tableColumns count="33">
    <tableColumn id="1" xr3:uid="{A9665855-2FFF-46C9-BF41-481D4B510893}" name="Order_ID"/>
    <tableColumn id="2" xr3:uid="{17D32247-B8D3-4B75-B0CB-BF1BA48A6526}" name="Order_Date" dataDxfId="10"/>
    <tableColumn id="3" xr3:uid="{E41ECCB7-90A7-4B7C-8A99-1493E355C496}" name="Order_Time" dataDxfId="9"/>
    <tableColumn id="4" xr3:uid="{40981966-FE90-4759-A471-FC0F4F4FE3B0}" name="Day_Name"/>
    <tableColumn id="5" xr3:uid="{04AE6164-1727-404D-945C-BED470DF0A19}" name="Month"/>
    <tableColumn id="6" xr3:uid="{BB141C0E-0345-463F-BBA7-67570F8EDB78}" name="Quarter"/>
    <tableColumn id="7" xr3:uid="{8BB40C47-A805-42CC-B748-E7867C710F1E}" name="Season"/>
    <tableColumn id="8" xr3:uid="{CE71574E-AF96-4D8D-A95C-EE19904CF536}" name="Store_ID"/>
    <tableColumn id="9" xr3:uid="{77A06E32-329A-425E-97CB-6AC1DA06167A}" name="Store_Name"/>
    <tableColumn id="10" xr3:uid="{76A091ED-20BC-4374-835E-FA6700C1F049}" name="City"/>
    <tableColumn id="11" xr3:uid="{B7B5BB73-18BA-4589-A533-D6DF3FEA3C04}" name="Region"/>
    <tableColumn id="12" xr3:uid="{9E57F150-01FE-45E3-B00E-8177B8B2EE26}" name="Customer_ID"/>
    <tableColumn id="13" xr3:uid="{B5761E95-7DE0-49C9-8DB4-E2B43A5C8581}" name="Customer_Type"/>
    <tableColumn id="14" xr3:uid="{5C364232-BF4B-4213-8E01-C50AB8E1FD58}" name="Loyalty_Tier"/>
    <tableColumn id="15" xr3:uid="{8EF54CB2-AD48-41E9-BF8A-BCF4F6A7ADE7}" name="Product_ID"/>
    <tableColumn id="16" xr3:uid="{E647B84B-1CCF-4E41-B236-C17E2AE11033}" name="Product"/>
    <tableColumn id="17" xr3:uid="{3F392AB7-1089-42D0-8C7F-FF26F3DA7D49}" name="Category"/>
    <tableColumn id="18" xr3:uid="{AE2329B4-F3C8-4EC7-93BF-B08054C54FFD}" name="Size"/>
    <tableColumn id="19" xr3:uid="{C1C2CE1F-5CE7-4195-B5DC-C724E1B981DA}" name="Quantity"/>
    <tableColumn id="20" xr3:uid="{0ABF0DB0-2A73-4713-AAD6-402CB9565197}" name="Ingredient_Cost" dataDxfId="8"/>
    <tableColumn id="21" xr3:uid="{D5293E82-1E65-45CB-B912-955EA4E36A7D}" name="Packaging_Cost" dataDxfId="7"/>
    <tableColumn id="22" xr3:uid="{8E3F3F23-FC06-4199-8F3B-3E8E6F74E374}" name="Labour_Cost" dataDxfId="6"/>
    <tableColumn id="23" xr3:uid="{2D8753EA-E6BE-496C-9103-957E1198B412}" name="Total_Cost" dataDxfId="5"/>
    <tableColumn id="24" xr3:uid="{572A7F33-865D-471B-9322-FB017ECB72C2}" name="Selling_Price" dataDxfId="4"/>
    <tableColumn id="25" xr3:uid="{51E1707C-2B8A-4187-9286-DAA36E2B5B6D}" name="Discount_%" dataDxfId="3"/>
    <tableColumn id="26" xr3:uid="{F551303E-B658-4659-B4C7-B7E7F877D10A}" name="Sales" dataDxfId="2"/>
    <tableColumn id="27" xr3:uid="{86CB69BC-0199-4EC5-981F-8B561FD39C25}" name="Profit" dataDxfId="1"/>
    <tableColumn id="28" xr3:uid="{51CBC14B-EC4C-40AB-8387-4C66F7CABBE8}" name="Profit_Margin_%" dataDxfId="0"/>
    <tableColumn id="29" xr3:uid="{170741D1-D64B-4E2F-BEDC-2A4B6A0947CD}" name="Payment_Mode"/>
    <tableColumn id="30" xr3:uid="{99BE3D7D-CBFD-4B9F-BD63-BEC98A806AB0}" name="Order_Type"/>
    <tableColumn id="31" xr3:uid="{EB4F389D-5EC2-4EA2-8D6D-FCA74D2A1184}" name="Employee"/>
    <tableColumn id="32" xr3:uid="{BB0FEBC4-E0C0-4535-A541-67D6250A65A9}" name="Customer_Rating"/>
    <tableColumn id="33" xr3:uid="{D767E646-E5EC-4BD6-8E86-1A8A8D47285E}" name="Order_Status"/>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981"/>
  <sheetViews>
    <sheetView topLeftCell="V1" workbookViewId="0">
      <selection activeCell="AI508" sqref="AI508"/>
    </sheetView>
  </sheetViews>
  <sheetFormatPr defaultRowHeight="12.75"/>
  <cols>
    <col min="1" max="1" width="10.1328125" customWidth="1"/>
    <col min="2" max="2" width="12.53125" style="10" bestFit="1" customWidth="1"/>
    <col min="3" max="3" width="12.46484375" style="3" customWidth="1"/>
    <col min="4" max="4" width="11.46484375" customWidth="1"/>
    <col min="6" max="6" width="9.3984375" customWidth="1"/>
    <col min="8" max="8" width="9.9296875" customWidth="1"/>
    <col min="9" max="9" width="15.265625" bestFit="1" customWidth="1"/>
    <col min="12" max="12" width="13.53125" customWidth="1"/>
    <col min="13" max="13" width="15.9296875" customWidth="1"/>
    <col min="14" max="14" width="13.1328125" customWidth="1"/>
    <col min="15" max="15" width="12.06640625" customWidth="1"/>
    <col min="16" max="16" width="15.46484375" bestFit="1" customWidth="1"/>
    <col min="17" max="17" width="10.46484375" customWidth="1"/>
    <col min="19" max="19" width="10.1328125" customWidth="1"/>
    <col min="20" max="20" width="17.33203125" style="14" customWidth="1"/>
    <col min="21" max="21" width="17.33203125" style="7" customWidth="1"/>
    <col min="22" max="22" width="14.73046875" style="7" bestFit="1" customWidth="1"/>
    <col min="23" max="23" width="14.73046875" style="14" bestFit="1" customWidth="1"/>
    <col min="24" max="24" width="14.86328125" style="14" customWidth="1"/>
    <col min="25" max="25" width="12.06640625" style="16" customWidth="1"/>
    <col min="26" max="26" width="14.73046875" style="12" bestFit="1" customWidth="1"/>
    <col min="27" max="27" width="14.73046875" style="5" bestFit="1" customWidth="1"/>
    <col min="28" max="28" width="15.6640625" style="18" customWidth="1"/>
    <col min="29" max="29" width="15.53125" customWidth="1"/>
    <col min="30" max="30" width="12.53125" customWidth="1"/>
    <col min="31" max="31" width="10.86328125" customWidth="1"/>
    <col min="32" max="32" width="17.1328125" customWidth="1"/>
    <col min="33" max="33" width="13.9296875" customWidth="1"/>
  </cols>
  <sheetData>
    <row r="1" spans="1:37">
      <c r="A1" s="1" t="s">
        <v>0</v>
      </c>
      <c r="B1" s="9" t="s">
        <v>1</v>
      </c>
      <c r="C1" s="2"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3" t="s">
        <v>19</v>
      </c>
      <c r="U1" s="6" t="s">
        <v>20</v>
      </c>
      <c r="V1" s="6" t="s">
        <v>21</v>
      </c>
      <c r="W1" s="13" t="s">
        <v>22</v>
      </c>
      <c r="X1" s="13" t="s">
        <v>23</v>
      </c>
      <c r="Y1" s="15" t="s">
        <v>24</v>
      </c>
      <c r="Z1" s="11" t="s">
        <v>25</v>
      </c>
      <c r="AA1" s="4" t="s">
        <v>26</v>
      </c>
      <c r="AB1" s="17" t="s">
        <v>27</v>
      </c>
      <c r="AC1" s="1" t="s">
        <v>28</v>
      </c>
      <c r="AD1" s="1" t="s">
        <v>29</v>
      </c>
      <c r="AE1" s="1" t="s">
        <v>30</v>
      </c>
      <c r="AF1" s="1" t="s">
        <v>31</v>
      </c>
      <c r="AG1" s="1" t="s">
        <v>32</v>
      </c>
      <c r="AH1" s="1"/>
      <c r="AK1" s="1"/>
    </row>
    <row r="2" spans="1:37">
      <c r="A2" t="s">
        <v>33</v>
      </c>
      <c r="B2" s="10">
        <v>45954</v>
      </c>
      <c r="C2" s="3" t="s">
        <v>34</v>
      </c>
      <c r="D2" t="s">
        <v>35</v>
      </c>
      <c r="E2" t="s">
        <v>36</v>
      </c>
      <c r="F2" t="s">
        <v>37</v>
      </c>
      <c r="G2" t="s">
        <v>38</v>
      </c>
      <c r="H2" t="s">
        <v>39</v>
      </c>
      <c r="I2" t="s">
        <v>2143</v>
      </c>
      <c r="J2" t="s">
        <v>41</v>
      </c>
      <c r="K2" t="s">
        <v>42</v>
      </c>
      <c r="L2" t="s">
        <v>43</v>
      </c>
      <c r="M2" t="s">
        <v>44</v>
      </c>
      <c r="N2" t="s">
        <v>45</v>
      </c>
      <c r="O2" t="s">
        <v>46</v>
      </c>
      <c r="P2" t="s">
        <v>47</v>
      </c>
      <c r="Q2" t="s">
        <v>48</v>
      </c>
      <c r="R2" t="s">
        <v>49</v>
      </c>
      <c r="S2">
        <v>1</v>
      </c>
      <c r="T2" s="14">
        <v>108.78</v>
      </c>
      <c r="U2" s="7">
        <v>12</v>
      </c>
      <c r="V2" s="7">
        <v>22</v>
      </c>
      <c r="W2" s="14">
        <v>142.78</v>
      </c>
      <c r="X2" s="14">
        <v>362.6</v>
      </c>
      <c r="Y2" s="16">
        <v>5</v>
      </c>
      <c r="Z2" s="12">
        <v>344.47</v>
      </c>
      <c r="AA2" s="5">
        <v>201.69</v>
      </c>
      <c r="AB2" s="18">
        <v>58.55</v>
      </c>
      <c r="AC2" t="s">
        <v>50</v>
      </c>
      <c r="AD2" t="s">
        <v>51</v>
      </c>
      <c r="AE2" t="s">
        <v>52</v>
      </c>
      <c r="AF2">
        <v>3</v>
      </c>
      <c r="AG2" t="s">
        <v>53</v>
      </c>
    </row>
    <row r="3" spans="1:37">
      <c r="A3" t="s">
        <v>54</v>
      </c>
      <c r="B3" s="10">
        <v>45988</v>
      </c>
      <c r="C3" s="3" t="s">
        <v>55</v>
      </c>
      <c r="D3" t="s">
        <v>56</v>
      </c>
      <c r="E3" t="s">
        <v>57</v>
      </c>
      <c r="F3" t="s">
        <v>37</v>
      </c>
      <c r="G3" t="s">
        <v>38</v>
      </c>
      <c r="H3" t="s">
        <v>58</v>
      </c>
      <c r="I3" t="s">
        <v>59</v>
      </c>
      <c r="J3" t="s">
        <v>60</v>
      </c>
      <c r="K3" t="s">
        <v>61</v>
      </c>
      <c r="L3" t="s">
        <v>62</v>
      </c>
      <c r="M3" t="s">
        <v>63</v>
      </c>
      <c r="N3" t="s">
        <v>45</v>
      </c>
      <c r="O3" t="s">
        <v>64</v>
      </c>
      <c r="P3" t="s">
        <v>65</v>
      </c>
      <c r="Q3" t="s">
        <v>66</v>
      </c>
      <c r="R3" t="s">
        <v>67</v>
      </c>
      <c r="S3">
        <v>3</v>
      </c>
      <c r="T3" s="14">
        <v>44.7</v>
      </c>
      <c r="U3" s="7">
        <v>12</v>
      </c>
      <c r="V3" s="7">
        <v>22</v>
      </c>
      <c r="W3" s="14">
        <v>78.7</v>
      </c>
      <c r="X3" s="14">
        <v>149</v>
      </c>
      <c r="Y3" s="16">
        <v>0</v>
      </c>
      <c r="Z3" s="12">
        <v>447</v>
      </c>
      <c r="AA3" s="5">
        <v>210.9</v>
      </c>
      <c r="AB3" s="18">
        <v>47.18</v>
      </c>
      <c r="AC3" t="s">
        <v>50</v>
      </c>
      <c r="AD3" t="s">
        <v>51</v>
      </c>
      <c r="AE3" t="s">
        <v>68</v>
      </c>
      <c r="AF3">
        <v>5</v>
      </c>
      <c r="AG3" t="s">
        <v>53</v>
      </c>
    </row>
    <row r="4" spans="1:37">
      <c r="A4" t="s">
        <v>69</v>
      </c>
      <c r="B4" s="10">
        <v>45913</v>
      </c>
      <c r="C4" s="3" t="s">
        <v>70</v>
      </c>
      <c r="D4" t="s">
        <v>71</v>
      </c>
      <c r="E4" t="s">
        <v>72</v>
      </c>
      <c r="F4" t="s">
        <v>73</v>
      </c>
      <c r="G4" t="s">
        <v>74</v>
      </c>
      <c r="H4" t="s">
        <v>75</v>
      </c>
      <c r="I4" t="s">
        <v>76</v>
      </c>
      <c r="J4" t="s">
        <v>77</v>
      </c>
      <c r="K4" t="s">
        <v>78</v>
      </c>
      <c r="L4" t="s">
        <v>79</v>
      </c>
      <c r="M4" t="s">
        <v>80</v>
      </c>
      <c r="N4" t="s">
        <v>81</v>
      </c>
      <c r="O4" t="s">
        <v>82</v>
      </c>
      <c r="P4" t="s">
        <v>83</v>
      </c>
      <c r="Q4" t="s">
        <v>66</v>
      </c>
      <c r="R4" t="s">
        <v>84</v>
      </c>
      <c r="S4">
        <v>2</v>
      </c>
      <c r="T4" s="14">
        <v>86.04</v>
      </c>
      <c r="U4" s="7">
        <v>12</v>
      </c>
      <c r="V4" s="7">
        <v>22</v>
      </c>
      <c r="W4" s="14">
        <v>120.04</v>
      </c>
      <c r="X4" s="14">
        <v>286.8</v>
      </c>
      <c r="Y4" s="16">
        <v>10</v>
      </c>
      <c r="Z4" s="12">
        <v>516.24</v>
      </c>
      <c r="AA4" s="5">
        <v>276.16000000000003</v>
      </c>
      <c r="AB4" s="18">
        <v>53.49</v>
      </c>
      <c r="AC4" t="s">
        <v>85</v>
      </c>
      <c r="AD4" t="s">
        <v>86</v>
      </c>
      <c r="AE4" t="s">
        <v>52</v>
      </c>
      <c r="AF4">
        <v>4</v>
      </c>
      <c r="AG4" t="s">
        <v>53</v>
      </c>
    </row>
    <row r="5" spans="1:37">
      <c r="A5" t="s">
        <v>87</v>
      </c>
      <c r="B5" s="10">
        <v>45711</v>
      </c>
      <c r="C5" s="3" t="s">
        <v>88</v>
      </c>
      <c r="D5" t="s">
        <v>89</v>
      </c>
      <c r="E5" t="s">
        <v>90</v>
      </c>
      <c r="F5" t="s">
        <v>91</v>
      </c>
      <c r="G5" t="s">
        <v>92</v>
      </c>
      <c r="H5" t="s">
        <v>58</v>
      </c>
      <c r="I5" t="s">
        <v>59</v>
      </c>
      <c r="J5" t="s">
        <v>60</v>
      </c>
      <c r="K5" t="s">
        <v>61</v>
      </c>
      <c r="L5" t="s">
        <v>93</v>
      </c>
      <c r="M5" t="s">
        <v>44</v>
      </c>
      <c r="N5" t="s">
        <v>81</v>
      </c>
      <c r="O5" t="s">
        <v>94</v>
      </c>
      <c r="P5" t="s">
        <v>95</v>
      </c>
      <c r="Q5" t="s">
        <v>66</v>
      </c>
      <c r="R5" t="s">
        <v>67</v>
      </c>
      <c r="S5">
        <v>3</v>
      </c>
      <c r="T5" s="14">
        <v>65.7</v>
      </c>
      <c r="U5" s="7">
        <v>12</v>
      </c>
      <c r="V5" s="7">
        <v>22</v>
      </c>
      <c r="W5" s="14">
        <v>99.7</v>
      </c>
      <c r="X5" s="14">
        <v>219</v>
      </c>
      <c r="Y5" s="16">
        <v>10</v>
      </c>
      <c r="Z5" s="12">
        <v>591.29999999999995</v>
      </c>
      <c r="AA5" s="5">
        <v>292.2</v>
      </c>
      <c r="AB5" s="18">
        <v>49.42</v>
      </c>
      <c r="AC5" t="s">
        <v>50</v>
      </c>
      <c r="AD5" t="s">
        <v>51</v>
      </c>
      <c r="AE5" t="s">
        <v>96</v>
      </c>
      <c r="AF5">
        <v>3</v>
      </c>
      <c r="AG5" t="s">
        <v>53</v>
      </c>
    </row>
    <row r="6" spans="1:37">
      <c r="A6" t="s">
        <v>97</v>
      </c>
      <c r="B6" s="10">
        <v>45871</v>
      </c>
      <c r="C6" s="3" t="s">
        <v>98</v>
      </c>
      <c r="D6" t="s">
        <v>71</v>
      </c>
      <c r="E6" t="s">
        <v>99</v>
      </c>
      <c r="F6" t="s">
        <v>73</v>
      </c>
      <c r="G6" t="s">
        <v>74</v>
      </c>
      <c r="H6" t="s">
        <v>75</v>
      </c>
      <c r="I6" t="s">
        <v>76</v>
      </c>
      <c r="J6" t="s">
        <v>77</v>
      </c>
      <c r="K6" t="s">
        <v>78</v>
      </c>
      <c r="L6" t="s">
        <v>100</v>
      </c>
      <c r="M6" t="s">
        <v>80</v>
      </c>
      <c r="N6" t="s">
        <v>81</v>
      </c>
      <c r="O6" t="s">
        <v>101</v>
      </c>
      <c r="P6" t="s">
        <v>102</v>
      </c>
      <c r="Q6" t="s">
        <v>103</v>
      </c>
      <c r="R6" t="s">
        <v>67</v>
      </c>
      <c r="S6">
        <v>3</v>
      </c>
      <c r="T6" s="14">
        <v>44.7</v>
      </c>
      <c r="U6" s="7">
        <v>12</v>
      </c>
      <c r="V6" s="7">
        <v>22</v>
      </c>
      <c r="W6" s="14">
        <v>78.7</v>
      </c>
      <c r="X6" s="14">
        <v>149</v>
      </c>
      <c r="Y6" s="16">
        <v>10</v>
      </c>
      <c r="Z6" s="12">
        <v>402.3</v>
      </c>
      <c r="AA6" s="5">
        <v>166.2</v>
      </c>
      <c r="AB6" s="18">
        <v>41.31</v>
      </c>
      <c r="AC6" t="s">
        <v>104</v>
      </c>
      <c r="AD6" t="s">
        <v>86</v>
      </c>
      <c r="AE6" t="s">
        <v>105</v>
      </c>
      <c r="AF6">
        <v>5</v>
      </c>
      <c r="AG6" t="s">
        <v>53</v>
      </c>
    </row>
    <row r="7" spans="1:37">
      <c r="A7" t="s">
        <v>106</v>
      </c>
      <c r="B7" s="10">
        <v>45737</v>
      </c>
      <c r="C7" s="3" t="s">
        <v>107</v>
      </c>
      <c r="D7" t="s">
        <v>35</v>
      </c>
      <c r="E7" t="s">
        <v>108</v>
      </c>
      <c r="F7" t="s">
        <v>91</v>
      </c>
      <c r="G7" t="s">
        <v>38</v>
      </c>
      <c r="H7" t="s">
        <v>58</v>
      </c>
      <c r="I7" t="s">
        <v>59</v>
      </c>
      <c r="J7" t="s">
        <v>60</v>
      </c>
      <c r="K7" t="s">
        <v>61</v>
      </c>
      <c r="L7" t="s">
        <v>109</v>
      </c>
      <c r="M7" t="s">
        <v>63</v>
      </c>
      <c r="N7" t="s">
        <v>110</v>
      </c>
      <c r="O7" t="s">
        <v>94</v>
      </c>
      <c r="P7" t="s">
        <v>95</v>
      </c>
      <c r="Q7" t="s">
        <v>66</v>
      </c>
      <c r="R7" t="s">
        <v>49</v>
      </c>
      <c r="S7">
        <v>1</v>
      </c>
      <c r="T7" s="14">
        <v>91.98</v>
      </c>
      <c r="U7" s="7">
        <v>12</v>
      </c>
      <c r="V7" s="7">
        <v>22</v>
      </c>
      <c r="W7" s="14">
        <v>125.98</v>
      </c>
      <c r="X7" s="14">
        <v>306.60000000000002</v>
      </c>
      <c r="Y7" s="16">
        <v>0</v>
      </c>
      <c r="Z7" s="12">
        <v>306.60000000000002</v>
      </c>
      <c r="AA7" s="5">
        <v>180.62</v>
      </c>
      <c r="AB7" s="18">
        <v>58.91</v>
      </c>
      <c r="AC7" t="s">
        <v>111</v>
      </c>
      <c r="AD7" t="s">
        <v>51</v>
      </c>
      <c r="AE7" t="s">
        <v>96</v>
      </c>
      <c r="AF7">
        <v>5</v>
      </c>
      <c r="AG7" t="s">
        <v>53</v>
      </c>
    </row>
    <row r="8" spans="1:37">
      <c r="A8" t="s">
        <v>112</v>
      </c>
      <c r="B8" s="10">
        <v>45862</v>
      </c>
      <c r="C8" s="3" t="s">
        <v>113</v>
      </c>
      <c r="D8" t="s">
        <v>56</v>
      </c>
      <c r="E8" t="s">
        <v>114</v>
      </c>
      <c r="F8" t="s">
        <v>73</v>
      </c>
      <c r="G8" t="s">
        <v>74</v>
      </c>
      <c r="H8" t="s">
        <v>115</v>
      </c>
      <c r="I8" t="s">
        <v>116</v>
      </c>
      <c r="J8" t="s">
        <v>117</v>
      </c>
      <c r="K8" t="s">
        <v>61</v>
      </c>
      <c r="L8" t="s">
        <v>118</v>
      </c>
      <c r="M8" t="s">
        <v>63</v>
      </c>
      <c r="N8" t="s">
        <v>81</v>
      </c>
      <c r="O8" t="s">
        <v>119</v>
      </c>
      <c r="P8" t="s">
        <v>120</v>
      </c>
      <c r="Q8" t="s">
        <v>103</v>
      </c>
      <c r="R8" t="s">
        <v>49</v>
      </c>
      <c r="S8">
        <v>1</v>
      </c>
      <c r="T8" s="14">
        <v>54.18</v>
      </c>
      <c r="U8" s="7">
        <v>12</v>
      </c>
      <c r="V8" s="7">
        <v>22</v>
      </c>
      <c r="W8" s="14">
        <v>88.18</v>
      </c>
      <c r="X8" s="14">
        <v>180.6</v>
      </c>
      <c r="Y8" s="16">
        <v>0</v>
      </c>
      <c r="Z8" s="12">
        <v>180.6</v>
      </c>
      <c r="AA8" s="5">
        <v>92.42</v>
      </c>
      <c r="AB8" s="18">
        <v>51.17</v>
      </c>
      <c r="AC8" t="s">
        <v>50</v>
      </c>
      <c r="AD8" t="s">
        <v>86</v>
      </c>
      <c r="AE8" t="s">
        <v>52</v>
      </c>
      <c r="AF8">
        <v>3</v>
      </c>
      <c r="AG8" t="s">
        <v>53</v>
      </c>
    </row>
    <row r="9" spans="1:37">
      <c r="A9" t="s">
        <v>121</v>
      </c>
      <c r="B9" s="10">
        <v>45858</v>
      </c>
      <c r="C9" s="3" t="s">
        <v>88</v>
      </c>
      <c r="D9" t="s">
        <v>89</v>
      </c>
      <c r="E9" t="s">
        <v>114</v>
      </c>
      <c r="F9" t="s">
        <v>73</v>
      </c>
      <c r="G9" t="s">
        <v>74</v>
      </c>
      <c r="H9" t="s">
        <v>39</v>
      </c>
      <c r="I9" t="s">
        <v>2143</v>
      </c>
      <c r="J9" t="s">
        <v>41</v>
      </c>
      <c r="K9" t="s">
        <v>42</v>
      </c>
      <c r="L9" t="s">
        <v>122</v>
      </c>
      <c r="M9" t="s">
        <v>63</v>
      </c>
      <c r="N9" t="s">
        <v>110</v>
      </c>
      <c r="O9" t="s">
        <v>123</v>
      </c>
      <c r="P9" t="s">
        <v>124</v>
      </c>
      <c r="Q9" t="s">
        <v>125</v>
      </c>
      <c r="R9" t="s">
        <v>49</v>
      </c>
      <c r="S9">
        <v>3</v>
      </c>
      <c r="T9" s="14">
        <v>104.58</v>
      </c>
      <c r="U9" s="7">
        <v>12</v>
      </c>
      <c r="V9" s="7">
        <v>22</v>
      </c>
      <c r="W9" s="14">
        <v>138.58000000000001</v>
      </c>
      <c r="X9" s="14">
        <v>348.6</v>
      </c>
      <c r="Y9" s="16">
        <v>15</v>
      </c>
      <c r="Z9" s="12">
        <v>888.93</v>
      </c>
      <c r="AA9" s="5">
        <v>473.19</v>
      </c>
      <c r="AB9" s="18">
        <v>53.23</v>
      </c>
      <c r="AC9" t="s">
        <v>50</v>
      </c>
      <c r="AD9" t="s">
        <v>51</v>
      </c>
      <c r="AE9" t="s">
        <v>126</v>
      </c>
      <c r="AF9">
        <v>5</v>
      </c>
      <c r="AG9" t="s">
        <v>53</v>
      </c>
    </row>
    <row r="10" spans="1:37">
      <c r="A10" t="s">
        <v>127</v>
      </c>
      <c r="B10" s="10">
        <v>45791</v>
      </c>
      <c r="C10" s="3" t="s">
        <v>128</v>
      </c>
      <c r="D10" t="s">
        <v>129</v>
      </c>
      <c r="E10" t="s">
        <v>130</v>
      </c>
      <c r="F10" t="s">
        <v>131</v>
      </c>
      <c r="G10" t="s">
        <v>132</v>
      </c>
      <c r="H10" t="s">
        <v>133</v>
      </c>
      <c r="I10" t="s">
        <v>134</v>
      </c>
      <c r="J10" t="s">
        <v>135</v>
      </c>
      <c r="K10" t="s">
        <v>42</v>
      </c>
      <c r="L10" t="s">
        <v>136</v>
      </c>
      <c r="M10" t="s">
        <v>63</v>
      </c>
      <c r="N10" t="s">
        <v>45</v>
      </c>
      <c r="O10" t="s">
        <v>137</v>
      </c>
      <c r="P10" t="s">
        <v>138</v>
      </c>
      <c r="Q10" t="s">
        <v>139</v>
      </c>
      <c r="R10" t="s">
        <v>49</v>
      </c>
      <c r="S10">
        <v>2</v>
      </c>
      <c r="T10" s="14">
        <v>83.58</v>
      </c>
      <c r="U10" s="7">
        <v>12</v>
      </c>
      <c r="V10" s="7">
        <v>22</v>
      </c>
      <c r="W10" s="14">
        <v>117.58</v>
      </c>
      <c r="X10" s="14">
        <v>278.60000000000002</v>
      </c>
      <c r="Y10" s="16">
        <v>5</v>
      </c>
      <c r="Z10" s="12">
        <v>529.34</v>
      </c>
      <c r="AA10" s="5">
        <v>294.18</v>
      </c>
      <c r="AB10" s="18">
        <v>55.57</v>
      </c>
      <c r="AC10" t="s">
        <v>104</v>
      </c>
      <c r="AD10" t="s">
        <v>51</v>
      </c>
      <c r="AE10" t="s">
        <v>105</v>
      </c>
      <c r="AF10" t="s">
        <v>2124</v>
      </c>
      <c r="AG10" t="s">
        <v>53</v>
      </c>
    </row>
    <row r="11" spans="1:37">
      <c r="A11" t="s">
        <v>140</v>
      </c>
      <c r="B11" s="10">
        <v>45884</v>
      </c>
      <c r="C11" s="3" t="s">
        <v>141</v>
      </c>
      <c r="D11" t="s">
        <v>35</v>
      </c>
      <c r="E11" t="s">
        <v>99</v>
      </c>
      <c r="F11" t="s">
        <v>73</v>
      </c>
      <c r="G11" t="s">
        <v>74</v>
      </c>
      <c r="H11" t="s">
        <v>142</v>
      </c>
      <c r="I11" t="s">
        <v>143</v>
      </c>
      <c r="J11" t="s">
        <v>144</v>
      </c>
      <c r="K11" t="s">
        <v>145</v>
      </c>
      <c r="L11" t="s">
        <v>146</v>
      </c>
      <c r="M11" t="s">
        <v>44</v>
      </c>
      <c r="N11" t="s">
        <v>45</v>
      </c>
      <c r="O11" t="s">
        <v>64</v>
      </c>
      <c r="P11" t="s">
        <v>65</v>
      </c>
      <c r="Q11" t="s">
        <v>66</v>
      </c>
      <c r="R11" t="s">
        <v>49</v>
      </c>
      <c r="S11">
        <v>3</v>
      </c>
      <c r="T11" s="14">
        <v>62.58</v>
      </c>
      <c r="U11" s="7">
        <v>12</v>
      </c>
      <c r="V11" s="7">
        <v>22</v>
      </c>
      <c r="W11" s="14">
        <v>96.58</v>
      </c>
      <c r="X11" s="14">
        <v>208.6</v>
      </c>
      <c r="Y11" s="16">
        <v>5</v>
      </c>
      <c r="Z11" s="12">
        <v>594.51</v>
      </c>
      <c r="AA11" s="5">
        <v>304.77</v>
      </c>
      <c r="AB11" s="18">
        <v>51.26</v>
      </c>
      <c r="AC11" t="s">
        <v>85</v>
      </c>
      <c r="AD11" t="s">
        <v>51</v>
      </c>
      <c r="AE11" t="s">
        <v>68</v>
      </c>
      <c r="AF11">
        <v>5</v>
      </c>
      <c r="AG11" t="s">
        <v>53</v>
      </c>
    </row>
    <row r="12" spans="1:37">
      <c r="A12" t="s">
        <v>147</v>
      </c>
      <c r="B12" s="10">
        <v>46003</v>
      </c>
      <c r="C12" s="3" t="s">
        <v>148</v>
      </c>
      <c r="D12" t="s">
        <v>35</v>
      </c>
      <c r="E12" t="s">
        <v>149</v>
      </c>
      <c r="F12" t="s">
        <v>37</v>
      </c>
      <c r="G12" t="s">
        <v>92</v>
      </c>
      <c r="H12" t="s">
        <v>115</v>
      </c>
      <c r="I12" t="s">
        <v>116</v>
      </c>
      <c r="J12" t="s">
        <v>117</v>
      </c>
      <c r="K12" t="s">
        <v>61</v>
      </c>
      <c r="L12" t="s">
        <v>150</v>
      </c>
      <c r="M12" t="s">
        <v>63</v>
      </c>
      <c r="N12" t="s">
        <v>110</v>
      </c>
      <c r="O12" t="s">
        <v>82</v>
      </c>
      <c r="P12" t="s">
        <v>83</v>
      </c>
      <c r="Q12" t="s">
        <v>66</v>
      </c>
      <c r="R12" t="s">
        <v>84</v>
      </c>
      <c r="S12">
        <v>2</v>
      </c>
      <c r="T12" s="14">
        <v>86.04</v>
      </c>
      <c r="U12" s="7">
        <v>12</v>
      </c>
      <c r="V12" s="7">
        <v>22</v>
      </c>
      <c r="W12" s="14">
        <v>120.04</v>
      </c>
      <c r="X12" s="14">
        <v>286.8</v>
      </c>
      <c r="Y12" s="16">
        <v>5</v>
      </c>
      <c r="Z12" s="12">
        <v>544.91999999999996</v>
      </c>
      <c r="AA12" s="5">
        <v>304.83999999999997</v>
      </c>
      <c r="AB12" s="18">
        <v>55.94</v>
      </c>
      <c r="AC12" t="s">
        <v>111</v>
      </c>
      <c r="AD12" t="s">
        <v>86</v>
      </c>
      <c r="AE12" t="s">
        <v>52</v>
      </c>
      <c r="AF12">
        <v>4</v>
      </c>
      <c r="AG12" t="s">
        <v>53</v>
      </c>
    </row>
    <row r="13" spans="1:37">
      <c r="A13" t="s">
        <v>151</v>
      </c>
      <c r="B13" s="10">
        <v>45679</v>
      </c>
      <c r="C13" s="3" t="s">
        <v>88</v>
      </c>
      <c r="D13" t="s">
        <v>129</v>
      </c>
      <c r="E13" t="s">
        <v>152</v>
      </c>
      <c r="F13" t="s">
        <v>91</v>
      </c>
      <c r="G13" t="s">
        <v>92</v>
      </c>
      <c r="H13" t="s">
        <v>58</v>
      </c>
      <c r="I13" t="s">
        <v>59</v>
      </c>
      <c r="J13" t="s">
        <v>60</v>
      </c>
      <c r="K13" t="s">
        <v>61</v>
      </c>
      <c r="L13" t="s">
        <v>153</v>
      </c>
      <c r="M13" t="s">
        <v>44</v>
      </c>
      <c r="N13" t="s">
        <v>81</v>
      </c>
      <c r="O13" t="s">
        <v>64</v>
      </c>
      <c r="P13" t="s">
        <v>65</v>
      </c>
      <c r="Q13" t="s">
        <v>66</v>
      </c>
      <c r="R13" t="s">
        <v>84</v>
      </c>
      <c r="S13">
        <v>3</v>
      </c>
      <c r="T13" s="14">
        <v>53.64</v>
      </c>
      <c r="U13" s="7">
        <v>12</v>
      </c>
      <c r="V13" s="7">
        <v>22</v>
      </c>
      <c r="W13" s="14">
        <v>87.64</v>
      </c>
      <c r="X13" s="14">
        <v>178.8</v>
      </c>
      <c r="Y13" s="16">
        <v>10</v>
      </c>
      <c r="Z13" s="12">
        <v>482.76</v>
      </c>
      <c r="AA13" s="5">
        <v>219.84</v>
      </c>
      <c r="AB13" s="18">
        <v>45.54</v>
      </c>
      <c r="AC13" t="s">
        <v>2145</v>
      </c>
      <c r="AD13" t="s">
        <v>86</v>
      </c>
      <c r="AE13" t="s">
        <v>105</v>
      </c>
      <c r="AF13">
        <v>3</v>
      </c>
      <c r="AG13" t="s">
        <v>53</v>
      </c>
    </row>
    <row r="14" spans="1:37">
      <c r="A14" t="s">
        <v>154</v>
      </c>
      <c r="B14" s="10">
        <v>45888</v>
      </c>
      <c r="C14" s="3" t="s">
        <v>155</v>
      </c>
      <c r="D14" t="s">
        <v>156</v>
      </c>
      <c r="E14" t="s">
        <v>99</v>
      </c>
      <c r="F14" t="s">
        <v>73</v>
      </c>
      <c r="G14" t="s">
        <v>74</v>
      </c>
      <c r="H14" t="s">
        <v>75</v>
      </c>
      <c r="I14" t="s">
        <v>76</v>
      </c>
      <c r="J14" t="s">
        <v>77</v>
      </c>
      <c r="K14" t="s">
        <v>78</v>
      </c>
      <c r="L14" t="s">
        <v>157</v>
      </c>
      <c r="M14" t="s">
        <v>80</v>
      </c>
      <c r="N14" t="s">
        <v>45</v>
      </c>
      <c r="O14" t="s">
        <v>101</v>
      </c>
      <c r="P14" t="s">
        <v>102</v>
      </c>
      <c r="Q14" t="s">
        <v>103</v>
      </c>
      <c r="R14" t="s">
        <v>84</v>
      </c>
      <c r="S14">
        <v>2</v>
      </c>
      <c r="T14" s="14">
        <v>53.64</v>
      </c>
      <c r="U14" s="7">
        <v>12</v>
      </c>
      <c r="V14" s="7">
        <v>22</v>
      </c>
      <c r="W14" s="14">
        <v>87.64</v>
      </c>
      <c r="X14" s="14">
        <v>178.8</v>
      </c>
      <c r="Y14" s="16">
        <v>0</v>
      </c>
      <c r="Z14" s="12">
        <v>357.6</v>
      </c>
      <c r="AA14" s="5">
        <v>182.32</v>
      </c>
      <c r="AB14" s="18">
        <v>50.98</v>
      </c>
      <c r="AC14" t="s">
        <v>104</v>
      </c>
      <c r="AD14" t="s">
        <v>158</v>
      </c>
      <c r="AE14" t="s">
        <v>52</v>
      </c>
      <c r="AF14">
        <v>4</v>
      </c>
      <c r="AG14" t="s">
        <v>53</v>
      </c>
    </row>
    <row r="15" spans="1:37">
      <c r="A15" t="s">
        <v>159</v>
      </c>
      <c r="B15" s="10">
        <v>45790</v>
      </c>
      <c r="C15" s="3" t="s">
        <v>160</v>
      </c>
      <c r="D15" t="s">
        <v>156</v>
      </c>
      <c r="E15" t="s">
        <v>130</v>
      </c>
      <c r="F15" t="s">
        <v>131</v>
      </c>
      <c r="G15" t="s">
        <v>132</v>
      </c>
      <c r="H15" t="s">
        <v>75</v>
      </c>
      <c r="I15" t="s">
        <v>76</v>
      </c>
      <c r="J15" t="s">
        <v>77</v>
      </c>
      <c r="K15" t="s">
        <v>78</v>
      </c>
      <c r="L15" t="s">
        <v>161</v>
      </c>
      <c r="M15" t="s">
        <v>63</v>
      </c>
      <c r="N15" t="s">
        <v>81</v>
      </c>
      <c r="O15" t="s">
        <v>162</v>
      </c>
      <c r="P15" t="s">
        <v>163</v>
      </c>
      <c r="Q15" t="s">
        <v>48</v>
      </c>
      <c r="R15" t="s">
        <v>84</v>
      </c>
      <c r="S15">
        <v>1</v>
      </c>
      <c r="T15" s="14">
        <v>89.64</v>
      </c>
      <c r="U15" s="7">
        <v>12</v>
      </c>
      <c r="V15" s="7">
        <v>22</v>
      </c>
      <c r="W15" s="14">
        <v>123.64</v>
      </c>
      <c r="X15" s="14">
        <v>298.8</v>
      </c>
      <c r="Y15" s="16">
        <v>0</v>
      </c>
      <c r="Z15" s="12">
        <v>298.8</v>
      </c>
      <c r="AA15" s="5">
        <v>175.16</v>
      </c>
      <c r="AB15" s="18">
        <v>58.62</v>
      </c>
      <c r="AC15" t="s">
        <v>104</v>
      </c>
      <c r="AD15" t="s">
        <v>86</v>
      </c>
      <c r="AE15" t="s">
        <v>96</v>
      </c>
      <c r="AF15">
        <v>5</v>
      </c>
      <c r="AG15" t="s">
        <v>53</v>
      </c>
    </row>
    <row r="16" spans="1:37">
      <c r="A16" t="s">
        <v>164</v>
      </c>
      <c r="B16" s="10">
        <v>45980</v>
      </c>
      <c r="C16" s="3" t="s">
        <v>98</v>
      </c>
      <c r="D16" t="s">
        <v>129</v>
      </c>
      <c r="E16" t="s">
        <v>57</v>
      </c>
      <c r="F16" t="s">
        <v>37</v>
      </c>
      <c r="G16" t="s">
        <v>38</v>
      </c>
      <c r="H16" t="s">
        <v>39</v>
      </c>
      <c r="I16" t="s">
        <v>2143</v>
      </c>
      <c r="J16" t="s">
        <v>41</v>
      </c>
      <c r="K16" t="s">
        <v>42</v>
      </c>
      <c r="L16" t="s">
        <v>165</v>
      </c>
      <c r="M16" t="s">
        <v>44</v>
      </c>
      <c r="N16" t="s">
        <v>45</v>
      </c>
      <c r="O16" t="s">
        <v>119</v>
      </c>
      <c r="P16" t="s">
        <v>120</v>
      </c>
      <c r="Q16" t="s">
        <v>103</v>
      </c>
      <c r="R16" t="s">
        <v>49</v>
      </c>
      <c r="S16">
        <v>3</v>
      </c>
      <c r="T16" s="14">
        <v>54.18</v>
      </c>
      <c r="U16" s="7">
        <v>12</v>
      </c>
      <c r="V16" s="7">
        <v>22</v>
      </c>
      <c r="W16" s="14">
        <v>88.18</v>
      </c>
      <c r="X16" s="14">
        <v>180.6</v>
      </c>
      <c r="Y16" s="16">
        <v>0</v>
      </c>
      <c r="Z16" s="12">
        <v>541.79999999999995</v>
      </c>
      <c r="AA16" s="5">
        <v>277.26</v>
      </c>
      <c r="AB16" s="18">
        <v>51.17</v>
      </c>
      <c r="AC16" t="s">
        <v>50</v>
      </c>
      <c r="AD16" t="s">
        <v>86</v>
      </c>
      <c r="AE16" t="s">
        <v>126</v>
      </c>
      <c r="AF16">
        <v>5</v>
      </c>
      <c r="AG16" t="s">
        <v>53</v>
      </c>
    </row>
    <row r="17" spans="1:33">
      <c r="A17" t="s">
        <v>166</v>
      </c>
      <c r="B17" s="10">
        <v>45672</v>
      </c>
      <c r="C17" s="3" t="s">
        <v>107</v>
      </c>
      <c r="D17" t="s">
        <v>129</v>
      </c>
      <c r="E17" t="s">
        <v>152</v>
      </c>
      <c r="F17" t="s">
        <v>91</v>
      </c>
      <c r="G17" t="s">
        <v>92</v>
      </c>
      <c r="H17" t="s">
        <v>142</v>
      </c>
      <c r="I17" t="s">
        <v>143</v>
      </c>
      <c r="J17" t="s">
        <v>144</v>
      </c>
      <c r="K17" t="s">
        <v>145</v>
      </c>
      <c r="L17" t="s">
        <v>167</v>
      </c>
      <c r="M17" t="s">
        <v>63</v>
      </c>
      <c r="N17" t="s">
        <v>45</v>
      </c>
      <c r="O17" t="s">
        <v>168</v>
      </c>
      <c r="P17" t="s">
        <v>169</v>
      </c>
      <c r="Q17" t="s">
        <v>139</v>
      </c>
      <c r="R17" t="s">
        <v>49</v>
      </c>
      <c r="S17">
        <v>1</v>
      </c>
      <c r="T17" s="14">
        <v>66.78</v>
      </c>
      <c r="U17" s="7">
        <v>12</v>
      </c>
      <c r="V17" s="7">
        <v>22</v>
      </c>
      <c r="W17" s="14">
        <v>100.78</v>
      </c>
      <c r="X17" s="14">
        <v>222.6</v>
      </c>
      <c r="Y17" s="16">
        <v>0</v>
      </c>
      <c r="Z17" s="12">
        <v>222.6</v>
      </c>
      <c r="AA17" s="5">
        <v>121.82</v>
      </c>
      <c r="AB17" s="18">
        <v>54.73</v>
      </c>
      <c r="AC17" t="s">
        <v>104</v>
      </c>
      <c r="AD17" t="s">
        <v>51</v>
      </c>
      <c r="AE17" t="s">
        <v>126</v>
      </c>
      <c r="AF17">
        <v>5</v>
      </c>
      <c r="AG17" t="s">
        <v>53</v>
      </c>
    </row>
    <row r="18" spans="1:33">
      <c r="A18" t="s">
        <v>170</v>
      </c>
      <c r="B18" s="10">
        <v>45666</v>
      </c>
      <c r="C18" s="3" t="s">
        <v>171</v>
      </c>
      <c r="D18" t="s">
        <v>56</v>
      </c>
      <c r="E18" t="s">
        <v>152</v>
      </c>
      <c r="F18" t="s">
        <v>91</v>
      </c>
      <c r="G18" t="s">
        <v>92</v>
      </c>
      <c r="H18" t="s">
        <v>142</v>
      </c>
      <c r="I18" t="s">
        <v>143</v>
      </c>
      <c r="J18" t="s">
        <v>144</v>
      </c>
      <c r="K18" t="s">
        <v>145</v>
      </c>
      <c r="L18" t="s">
        <v>172</v>
      </c>
      <c r="M18" t="s">
        <v>44</v>
      </c>
      <c r="N18" t="s">
        <v>81</v>
      </c>
      <c r="O18" t="s">
        <v>101</v>
      </c>
      <c r="P18" t="s">
        <v>102</v>
      </c>
      <c r="Q18" t="s">
        <v>103</v>
      </c>
      <c r="R18" t="s">
        <v>84</v>
      </c>
      <c r="S18">
        <v>2</v>
      </c>
      <c r="T18" s="14">
        <v>53.64</v>
      </c>
      <c r="U18" s="7">
        <v>12</v>
      </c>
      <c r="V18" s="7">
        <v>22</v>
      </c>
      <c r="W18" s="14">
        <v>87.64</v>
      </c>
      <c r="X18" s="14">
        <v>178.8</v>
      </c>
      <c r="Y18" s="16">
        <v>0</v>
      </c>
      <c r="Z18" s="12">
        <v>357.6</v>
      </c>
      <c r="AA18" s="5">
        <v>182.32</v>
      </c>
      <c r="AB18" s="18">
        <v>50.98</v>
      </c>
      <c r="AC18" t="s">
        <v>50</v>
      </c>
      <c r="AD18" t="s">
        <v>51</v>
      </c>
      <c r="AE18" t="s">
        <v>105</v>
      </c>
      <c r="AF18">
        <v>5</v>
      </c>
      <c r="AG18" t="s">
        <v>53</v>
      </c>
    </row>
    <row r="19" spans="1:33">
      <c r="A19" t="s">
        <v>173</v>
      </c>
      <c r="B19" s="10">
        <v>45812</v>
      </c>
      <c r="C19" s="3" t="s">
        <v>160</v>
      </c>
      <c r="D19" t="s">
        <v>129</v>
      </c>
      <c r="E19" t="s">
        <v>174</v>
      </c>
      <c r="F19" t="s">
        <v>131</v>
      </c>
      <c r="G19" t="s">
        <v>132</v>
      </c>
      <c r="H19" t="s">
        <v>133</v>
      </c>
      <c r="I19" t="s">
        <v>134</v>
      </c>
      <c r="J19" t="s">
        <v>135</v>
      </c>
      <c r="K19" t="s">
        <v>42</v>
      </c>
      <c r="L19" t="s">
        <v>175</v>
      </c>
      <c r="M19" t="s">
        <v>80</v>
      </c>
      <c r="N19" t="s">
        <v>81</v>
      </c>
      <c r="O19" t="s">
        <v>176</v>
      </c>
      <c r="P19" t="s">
        <v>177</v>
      </c>
      <c r="Q19" t="s">
        <v>66</v>
      </c>
      <c r="R19" t="s">
        <v>84</v>
      </c>
      <c r="S19">
        <v>3</v>
      </c>
      <c r="T19" s="14">
        <v>60.84</v>
      </c>
      <c r="U19" s="7">
        <v>12</v>
      </c>
      <c r="V19" s="7">
        <v>22</v>
      </c>
      <c r="W19" s="14">
        <v>94.84</v>
      </c>
      <c r="X19" s="14">
        <v>202.8</v>
      </c>
      <c r="Y19" s="16">
        <v>0</v>
      </c>
      <c r="Z19" s="12">
        <v>608.4</v>
      </c>
      <c r="AA19" s="5">
        <v>323.88</v>
      </c>
      <c r="AB19" s="18">
        <v>53.23</v>
      </c>
      <c r="AC19" t="s">
        <v>104</v>
      </c>
      <c r="AD19" t="s">
        <v>51</v>
      </c>
      <c r="AE19" t="s">
        <v>126</v>
      </c>
      <c r="AF19">
        <v>5</v>
      </c>
      <c r="AG19" t="s">
        <v>53</v>
      </c>
    </row>
    <row r="20" spans="1:33">
      <c r="A20" t="s">
        <v>178</v>
      </c>
      <c r="B20" s="10">
        <v>45695</v>
      </c>
      <c r="C20" s="3" t="s">
        <v>179</v>
      </c>
      <c r="D20" t="s">
        <v>35</v>
      </c>
      <c r="E20" t="s">
        <v>90</v>
      </c>
      <c r="F20" t="s">
        <v>91</v>
      </c>
      <c r="G20" t="s">
        <v>92</v>
      </c>
      <c r="H20" t="s">
        <v>39</v>
      </c>
      <c r="I20" t="s">
        <v>2143</v>
      </c>
      <c r="J20" t="s">
        <v>41</v>
      </c>
      <c r="K20" t="s">
        <v>42</v>
      </c>
      <c r="L20" t="s">
        <v>180</v>
      </c>
      <c r="M20" t="s">
        <v>44</v>
      </c>
      <c r="N20" t="s">
        <v>110</v>
      </c>
      <c r="O20" t="s">
        <v>82</v>
      </c>
      <c r="P20" t="s">
        <v>83</v>
      </c>
      <c r="Q20" t="s">
        <v>66</v>
      </c>
      <c r="R20" t="s">
        <v>67</v>
      </c>
      <c r="S20">
        <v>3</v>
      </c>
      <c r="T20" s="14">
        <v>71.7</v>
      </c>
      <c r="U20" s="7">
        <v>12</v>
      </c>
      <c r="V20" s="7">
        <v>22</v>
      </c>
      <c r="W20" s="14">
        <v>105.7</v>
      </c>
      <c r="X20" s="14">
        <v>239</v>
      </c>
      <c r="Y20" s="16">
        <v>0</v>
      </c>
      <c r="Z20" s="12">
        <v>717</v>
      </c>
      <c r="AA20" s="5">
        <v>399.9</v>
      </c>
      <c r="AB20" s="18">
        <v>55.77</v>
      </c>
      <c r="AC20" t="s">
        <v>111</v>
      </c>
      <c r="AD20" t="s">
        <v>86</v>
      </c>
      <c r="AE20" t="s">
        <v>105</v>
      </c>
      <c r="AF20">
        <v>4</v>
      </c>
      <c r="AG20" t="s">
        <v>53</v>
      </c>
    </row>
    <row r="21" spans="1:33">
      <c r="A21" t="s">
        <v>181</v>
      </c>
      <c r="B21" s="10">
        <v>45778</v>
      </c>
      <c r="C21" s="3" t="s">
        <v>182</v>
      </c>
      <c r="D21" t="s">
        <v>56</v>
      </c>
      <c r="E21" t="s">
        <v>130</v>
      </c>
      <c r="F21" t="s">
        <v>131</v>
      </c>
      <c r="G21" t="s">
        <v>132</v>
      </c>
      <c r="H21" t="s">
        <v>75</v>
      </c>
      <c r="I21" t="s">
        <v>76</v>
      </c>
      <c r="J21" t="s">
        <v>77</v>
      </c>
      <c r="K21" t="s">
        <v>78</v>
      </c>
      <c r="L21" t="s">
        <v>183</v>
      </c>
      <c r="M21" t="s">
        <v>44</v>
      </c>
      <c r="N21" t="s">
        <v>110</v>
      </c>
      <c r="O21" t="s">
        <v>46</v>
      </c>
      <c r="P21" t="s">
        <v>47</v>
      </c>
      <c r="Q21" t="s">
        <v>48</v>
      </c>
      <c r="R21" t="s">
        <v>84</v>
      </c>
      <c r="S21">
        <v>3</v>
      </c>
      <c r="T21" s="14">
        <v>93.24</v>
      </c>
      <c r="U21" s="7">
        <v>12</v>
      </c>
      <c r="V21" s="7">
        <v>22</v>
      </c>
      <c r="W21" s="14">
        <v>127.24</v>
      </c>
      <c r="X21" s="14">
        <v>310.8</v>
      </c>
      <c r="Y21" s="16">
        <v>5</v>
      </c>
      <c r="Z21" s="12">
        <v>885.78</v>
      </c>
      <c r="AA21" s="5">
        <v>504.06</v>
      </c>
      <c r="AB21" s="18">
        <v>56.91</v>
      </c>
      <c r="AC21" t="s">
        <v>85</v>
      </c>
      <c r="AD21" t="s">
        <v>51</v>
      </c>
      <c r="AE21" t="s">
        <v>105</v>
      </c>
      <c r="AF21">
        <v>5</v>
      </c>
      <c r="AG21" t="s">
        <v>53</v>
      </c>
    </row>
    <row r="22" spans="1:33">
      <c r="A22" t="s">
        <v>184</v>
      </c>
      <c r="B22" s="10">
        <v>45723</v>
      </c>
      <c r="C22" s="3" t="s">
        <v>185</v>
      </c>
      <c r="D22" t="s">
        <v>35</v>
      </c>
      <c r="E22" t="s">
        <v>108</v>
      </c>
      <c r="F22" t="s">
        <v>91</v>
      </c>
      <c r="G22" t="s">
        <v>38</v>
      </c>
      <c r="H22" t="s">
        <v>142</v>
      </c>
      <c r="I22" t="s">
        <v>143</v>
      </c>
      <c r="J22" t="s">
        <v>144</v>
      </c>
      <c r="K22" t="s">
        <v>145</v>
      </c>
      <c r="L22" t="s">
        <v>186</v>
      </c>
      <c r="M22" t="s">
        <v>44</v>
      </c>
      <c r="N22" t="s">
        <v>110</v>
      </c>
      <c r="O22" t="s">
        <v>94</v>
      </c>
      <c r="P22" t="s">
        <v>95</v>
      </c>
      <c r="Q22" t="s">
        <v>66</v>
      </c>
      <c r="R22" t="s">
        <v>84</v>
      </c>
      <c r="S22">
        <v>3</v>
      </c>
      <c r="T22" s="14">
        <v>78.84</v>
      </c>
      <c r="U22" s="7">
        <v>12</v>
      </c>
      <c r="V22" s="7">
        <v>22</v>
      </c>
      <c r="W22" s="14">
        <v>112.84</v>
      </c>
      <c r="X22" s="14">
        <v>262.8</v>
      </c>
      <c r="Y22" s="16">
        <v>0</v>
      </c>
      <c r="Z22" s="12">
        <v>788.4</v>
      </c>
      <c r="AA22" s="5">
        <v>449.88</v>
      </c>
      <c r="AB22" s="18">
        <v>57.06</v>
      </c>
      <c r="AC22" t="s">
        <v>111</v>
      </c>
      <c r="AD22" t="s">
        <v>51</v>
      </c>
      <c r="AE22" t="s">
        <v>105</v>
      </c>
      <c r="AF22" t="s">
        <v>2124</v>
      </c>
      <c r="AG22" t="s">
        <v>53</v>
      </c>
    </row>
    <row r="23" spans="1:33">
      <c r="A23" t="s">
        <v>187</v>
      </c>
      <c r="B23" s="10">
        <v>45836</v>
      </c>
      <c r="C23" s="3" t="s">
        <v>141</v>
      </c>
      <c r="D23" t="s">
        <v>71</v>
      </c>
      <c r="E23" t="s">
        <v>174</v>
      </c>
      <c r="F23" t="s">
        <v>131</v>
      </c>
      <c r="G23" t="s">
        <v>132</v>
      </c>
      <c r="H23" t="s">
        <v>133</v>
      </c>
      <c r="I23" t="s">
        <v>134</v>
      </c>
      <c r="J23" t="s">
        <v>135</v>
      </c>
      <c r="K23" t="s">
        <v>42</v>
      </c>
      <c r="L23" t="s">
        <v>188</v>
      </c>
      <c r="M23" t="s">
        <v>63</v>
      </c>
      <c r="N23" t="s">
        <v>110</v>
      </c>
      <c r="O23" t="s">
        <v>189</v>
      </c>
      <c r="P23" t="s">
        <v>190</v>
      </c>
      <c r="Q23" t="s">
        <v>48</v>
      </c>
      <c r="R23" t="s">
        <v>67</v>
      </c>
      <c r="S23">
        <v>1</v>
      </c>
      <c r="T23" s="14">
        <v>47.7</v>
      </c>
      <c r="U23" s="7">
        <v>12</v>
      </c>
      <c r="V23" s="7">
        <v>22</v>
      </c>
      <c r="W23" s="14">
        <v>81.7</v>
      </c>
      <c r="X23" s="14">
        <v>159</v>
      </c>
      <c r="Y23" s="16">
        <v>10</v>
      </c>
      <c r="Z23" s="12">
        <v>143.1</v>
      </c>
      <c r="AA23" s="5">
        <v>61.4</v>
      </c>
      <c r="AB23" s="18">
        <v>42.91</v>
      </c>
      <c r="AC23" t="s">
        <v>85</v>
      </c>
      <c r="AD23" t="s">
        <v>158</v>
      </c>
      <c r="AE23" t="s">
        <v>68</v>
      </c>
      <c r="AF23">
        <v>5</v>
      </c>
      <c r="AG23" t="s">
        <v>53</v>
      </c>
    </row>
    <row r="24" spans="1:33">
      <c r="A24" t="s">
        <v>191</v>
      </c>
      <c r="B24" s="10">
        <v>45981</v>
      </c>
      <c r="C24" s="3" t="s">
        <v>113</v>
      </c>
      <c r="D24" t="s">
        <v>56</v>
      </c>
      <c r="E24" t="s">
        <v>57</v>
      </c>
      <c r="F24" t="s">
        <v>37</v>
      </c>
      <c r="G24" t="s">
        <v>38</v>
      </c>
      <c r="H24" t="s">
        <v>115</v>
      </c>
      <c r="I24" t="s">
        <v>116</v>
      </c>
      <c r="J24" t="s">
        <v>117</v>
      </c>
      <c r="K24" t="s">
        <v>61</v>
      </c>
      <c r="L24" t="s">
        <v>192</v>
      </c>
      <c r="M24" t="s">
        <v>44</v>
      </c>
      <c r="N24" t="s">
        <v>81</v>
      </c>
      <c r="O24" t="s">
        <v>176</v>
      </c>
      <c r="P24" t="s">
        <v>177</v>
      </c>
      <c r="Q24" t="s">
        <v>66</v>
      </c>
      <c r="R24" t="s">
        <v>84</v>
      </c>
      <c r="S24">
        <v>3</v>
      </c>
      <c r="T24" s="14">
        <v>60.84</v>
      </c>
      <c r="U24" s="7">
        <v>12</v>
      </c>
      <c r="V24" s="7">
        <v>22</v>
      </c>
      <c r="W24" s="14">
        <v>94.84</v>
      </c>
      <c r="X24" s="14">
        <v>202.8</v>
      </c>
      <c r="Y24" s="16">
        <v>0</v>
      </c>
      <c r="Z24" s="12">
        <v>608.4</v>
      </c>
      <c r="AA24" s="5">
        <v>323.88</v>
      </c>
      <c r="AB24" s="18">
        <v>53.23</v>
      </c>
      <c r="AC24" t="s">
        <v>111</v>
      </c>
      <c r="AD24" t="s">
        <v>158</v>
      </c>
      <c r="AE24" t="s">
        <v>52</v>
      </c>
      <c r="AF24">
        <v>3</v>
      </c>
      <c r="AG24" t="s">
        <v>53</v>
      </c>
    </row>
    <row r="25" spans="1:33">
      <c r="A25" t="s">
        <v>193</v>
      </c>
      <c r="B25" s="10">
        <v>45790</v>
      </c>
      <c r="C25" s="3" t="s">
        <v>194</v>
      </c>
      <c r="D25" t="s">
        <v>156</v>
      </c>
      <c r="E25" t="s">
        <v>130</v>
      </c>
      <c r="F25" t="s">
        <v>131</v>
      </c>
      <c r="G25" t="s">
        <v>132</v>
      </c>
      <c r="H25" t="s">
        <v>142</v>
      </c>
      <c r="I25" t="s">
        <v>143</v>
      </c>
      <c r="J25" t="s">
        <v>144</v>
      </c>
      <c r="K25" t="s">
        <v>145</v>
      </c>
      <c r="L25" t="s">
        <v>195</v>
      </c>
      <c r="M25" t="s">
        <v>80</v>
      </c>
      <c r="N25" t="s">
        <v>45</v>
      </c>
      <c r="O25" t="s">
        <v>176</v>
      </c>
      <c r="P25" t="s">
        <v>177</v>
      </c>
      <c r="Q25" t="s">
        <v>66</v>
      </c>
      <c r="R25" t="s">
        <v>84</v>
      </c>
      <c r="S25">
        <v>3</v>
      </c>
      <c r="T25" s="14">
        <v>60.84</v>
      </c>
      <c r="U25" s="7">
        <v>12</v>
      </c>
      <c r="V25" s="7">
        <v>22</v>
      </c>
      <c r="W25" s="14">
        <v>94.84</v>
      </c>
      <c r="X25" s="14">
        <v>202.8</v>
      </c>
      <c r="Y25" s="16">
        <v>0</v>
      </c>
      <c r="Z25" s="12">
        <v>608.4</v>
      </c>
      <c r="AA25" s="5">
        <v>323.88</v>
      </c>
      <c r="AB25" s="18">
        <v>53.23</v>
      </c>
      <c r="AC25" t="s">
        <v>85</v>
      </c>
      <c r="AD25" t="s">
        <v>158</v>
      </c>
      <c r="AE25" t="s">
        <v>96</v>
      </c>
      <c r="AF25">
        <v>5</v>
      </c>
      <c r="AG25" t="s">
        <v>53</v>
      </c>
    </row>
    <row r="26" spans="1:33">
      <c r="A26" t="s">
        <v>196</v>
      </c>
      <c r="B26" s="10">
        <v>45716</v>
      </c>
      <c r="C26" s="3" t="s">
        <v>70</v>
      </c>
      <c r="D26" t="s">
        <v>35</v>
      </c>
      <c r="E26" t="s">
        <v>90</v>
      </c>
      <c r="F26" t="s">
        <v>91</v>
      </c>
      <c r="G26" t="s">
        <v>92</v>
      </c>
      <c r="H26" t="s">
        <v>58</v>
      </c>
      <c r="I26" t="s">
        <v>59</v>
      </c>
      <c r="J26" t="s">
        <v>60</v>
      </c>
      <c r="K26" t="s">
        <v>61</v>
      </c>
      <c r="L26" t="s">
        <v>197</v>
      </c>
      <c r="M26" t="s">
        <v>44</v>
      </c>
      <c r="N26" t="s">
        <v>110</v>
      </c>
      <c r="O26" t="s">
        <v>64</v>
      </c>
      <c r="P26" t="s">
        <v>65</v>
      </c>
      <c r="Q26" t="s">
        <v>66</v>
      </c>
      <c r="R26" t="s">
        <v>67</v>
      </c>
      <c r="S26">
        <v>2</v>
      </c>
      <c r="T26" s="14">
        <v>44.7</v>
      </c>
      <c r="U26" s="7">
        <v>12</v>
      </c>
      <c r="V26" s="7">
        <v>22</v>
      </c>
      <c r="W26" s="14">
        <v>78.7</v>
      </c>
      <c r="X26" s="14">
        <v>149</v>
      </c>
      <c r="Y26" s="16">
        <v>0</v>
      </c>
      <c r="Z26" s="12">
        <v>298</v>
      </c>
      <c r="AA26" s="5">
        <v>140.6</v>
      </c>
      <c r="AB26" s="18">
        <v>47.18</v>
      </c>
      <c r="AC26" t="s">
        <v>50</v>
      </c>
      <c r="AD26" t="s">
        <v>86</v>
      </c>
      <c r="AE26" t="s">
        <v>52</v>
      </c>
      <c r="AF26">
        <v>4</v>
      </c>
      <c r="AG26" t="s">
        <v>53</v>
      </c>
    </row>
    <row r="27" spans="1:33">
      <c r="A27" t="s">
        <v>198</v>
      </c>
      <c r="B27" s="10">
        <v>45739</v>
      </c>
      <c r="C27" s="3" t="s">
        <v>199</v>
      </c>
      <c r="D27" t="s">
        <v>89</v>
      </c>
      <c r="E27" t="s">
        <v>108</v>
      </c>
      <c r="F27" t="s">
        <v>91</v>
      </c>
      <c r="G27" t="s">
        <v>38</v>
      </c>
      <c r="H27" t="s">
        <v>39</v>
      </c>
      <c r="I27" t="s">
        <v>2143</v>
      </c>
      <c r="J27" t="s">
        <v>41</v>
      </c>
      <c r="K27" t="s">
        <v>42</v>
      </c>
      <c r="L27" t="s">
        <v>200</v>
      </c>
      <c r="M27" t="s">
        <v>63</v>
      </c>
      <c r="N27" t="s">
        <v>45</v>
      </c>
      <c r="O27" t="s">
        <v>189</v>
      </c>
      <c r="P27" t="s">
        <v>190</v>
      </c>
      <c r="Q27" t="s">
        <v>48</v>
      </c>
      <c r="R27" t="s">
        <v>49</v>
      </c>
      <c r="S27">
        <v>1</v>
      </c>
      <c r="T27" s="14">
        <v>66.78</v>
      </c>
      <c r="U27" s="7">
        <v>12</v>
      </c>
      <c r="V27" s="7">
        <v>22</v>
      </c>
      <c r="W27" s="14">
        <v>100.78</v>
      </c>
      <c r="X27" s="14">
        <v>222.6</v>
      </c>
      <c r="Y27" s="16">
        <v>15</v>
      </c>
      <c r="Z27" s="12">
        <v>189.21</v>
      </c>
      <c r="AA27" s="5">
        <v>88.43</v>
      </c>
      <c r="AB27" s="18">
        <v>46.74</v>
      </c>
      <c r="AC27" t="s">
        <v>104</v>
      </c>
      <c r="AD27" t="s">
        <v>51</v>
      </c>
      <c r="AE27" t="s">
        <v>96</v>
      </c>
      <c r="AF27">
        <v>4</v>
      </c>
      <c r="AG27" t="s">
        <v>53</v>
      </c>
    </row>
    <row r="28" spans="1:33">
      <c r="A28" t="s">
        <v>201</v>
      </c>
      <c r="B28" s="10">
        <v>45896</v>
      </c>
      <c r="C28" s="3" t="s">
        <v>113</v>
      </c>
      <c r="D28" t="s">
        <v>129</v>
      </c>
      <c r="E28" t="s">
        <v>99</v>
      </c>
      <c r="F28" t="s">
        <v>73</v>
      </c>
      <c r="G28" t="s">
        <v>74</v>
      </c>
      <c r="H28" t="s">
        <v>142</v>
      </c>
      <c r="I28" t="s">
        <v>143</v>
      </c>
      <c r="J28" t="s">
        <v>144</v>
      </c>
      <c r="K28" t="s">
        <v>145</v>
      </c>
      <c r="L28" t="s">
        <v>202</v>
      </c>
      <c r="M28" t="s">
        <v>80</v>
      </c>
      <c r="N28" t="s">
        <v>81</v>
      </c>
      <c r="O28" t="s">
        <v>176</v>
      </c>
      <c r="P28" t="s">
        <v>177</v>
      </c>
      <c r="Q28" t="s">
        <v>66</v>
      </c>
      <c r="R28" t="s">
        <v>49</v>
      </c>
      <c r="S28">
        <v>2</v>
      </c>
      <c r="T28" s="14">
        <v>70.98</v>
      </c>
      <c r="U28" s="7">
        <v>12</v>
      </c>
      <c r="V28" s="7">
        <v>22</v>
      </c>
      <c r="W28" s="14">
        <v>104.98</v>
      </c>
      <c r="X28" s="14">
        <v>236.6</v>
      </c>
      <c r="Y28" s="16">
        <v>10</v>
      </c>
      <c r="Z28" s="12">
        <v>425.88</v>
      </c>
      <c r="AA28" s="5">
        <v>215.92</v>
      </c>
      <c r="AB28" s="18">
        <v>50.7</v>
      </c>
      <c r="AC28" t="s">
        <v>85</v>
      </c>
      <c r="AD28" t="s">
        <v>86</v>
      </c>
      <c r="AE28" t="s">
        <v>52</v>
      </c>
      <c r="AF28">
        <v>4</v>
      </c>
      <c r="AG28" t="s">
        <v>53</v>
      </c>
    </row>
    <row r="29" spans="1:33">
      <c r="A29" t="s">
        <v>203</v>
      </c>
      <c r="B29" s="10">
        <v>45895</v>
      </c>
      <c r="C29" s="3" t="s">
        <v>141</v>
      </c>
      <c r="D29" t="s">
        <v>156</v>
      </c>
      <c r="E29" t="s">
        <v>99</v>
      </c>
      <c r="F29" t="s">
        <v>73</v>
      </c>
      <c r="G29" t="s">
        <v>74</v>
      </c>
      <c r="H29" t="s">
        <v>39</v>
      </c>
      <c r="I29" t="s">
        <v>2143</v>
      </c>
      <c r="J29" t="s">
        <v>41</v>
      </c>
      <c r="K29" t="s">
        <v>42</v>
      </c>
      <c r="L29" t="s">
        <v>204</v>
      </c>
      <c r="M29" t="s">
        <v>63</v>
      </c>
      <c r="N29" t="s">
        <v>45</v>
      </c>
      <c r="O29" t="s">
        <v>82</v>
      </c>
      <c r="P29" t="s">
        <v>83</v>
      </c>
      <c r="Q29" t="s">
        <v>66</v>
      </c>
      <c r="R29" t="s">
        <v>84</v>
      </c>
      <c r="S29">
        <v>1</v>
      </c>
      <c r="T29" s="14">
        <v>86.04</v>
      </c>
      <c r="U29" s="7">
        <v>12</v>
      </c>
      <c r="V29" s="7">
        <v>22</v>
      </c>
      <c r="W29" s="14">
        <v>120.04</v>
      </c>
      <c r="X29" s="14">
        <v>286.8</v>
      </c>
      <c r="Y29" s="16">
        <v>0</v>
      </c>
      <c r="Z29" s="12">
        <v>286.8</v>
      </c>
      <c r="AA29" s="5">
        <v>166.76</v>
      </c>
      <c r="AB29" s="18">
        <v>58.15</v>
      </c>
      <c r="AC29" t="s">
        <v>104</v>
      </c>
      <c r="AD29" t="s">
        <v>51</v>
      </c>
      <c r="AE29" t="s">
        <v>96</v>
      </c>
      <c r="AF29">
        <v>5</v>
      </c>
      <c r="AG29" t="s">
        <v>53</v>
      </c>
    </row>
    <row r="30" spans="1:33">
      <c r="A30" t="s">
        <v>205</v>
      </c>
      <c r="B30" s="10">
        <v>45901</v>
      </c>
      <c r="C30" s="3" t="s">
        <v>194</v>
      </c>
      <c r="D30" t="s">
        <v>206</v>
      </c>
      <c r="E30" t="s">
        <v>72</v>
      </c>
      <c r="F30" t="s">
        <v>73</v>
      </c>
      <c r="G30" t="s">
        <v>74</v>
      </c>
      <c r="H30" t="s">
        <v>39</v>
      </c>
      <c r="I30" t="s">
        <v>2143</v>
      </c>
      <c r="J30" t="s">
        <v>41</v>
      </c>
      <c r="K30" t="s">
        <v>42</v>
      </c>
      <c r="L30" t="s">
        <v>207</v>
      </c>
      <c r="M30" t="s">
        <v>80</v>
      </c>
      <c r="N30" t="s">
        <v>45</v>
      </c>
      <c r="O30" t="s">
        <v>82</v>
      </c>
      <c r="P30" t="s">
        <v>83</v>
      </c>
      <c r="Q30" t="s">
        <v>66</v>
      </c>
      <c r="R30" t="s">
        <v>49</v>
      </c>
      <c r="S30">
        <v>3</v>
      </c>
      <c r="T30" s="14">
        <v>100.38</v>
      </c>
      <c r="U30" s="7">
        <v>12</v>
      </c>
      <c r="V30" s="7">
        <v>22</v>
      </c>
      <c r="W30" s="14">
        <v>134.38</v>
      </c>
      <c r="X30" s="14">
        <v>334.6</v>
      </c>
      <c r="Y30" s="16">
        <v>10</v>
      </c>
      <c r="Z30" s="12">
        <v>903.42</v>
      </c>
      <c r="AA30" s="5">
        <v>500.28</v>
      </c>
      <c r="AB30" s="18">
        <v>55.38</v>
      </c>
      <c r="AC30" t="s">
        <v>85</v>
      </c>
      <c r="AD30" t="s">
        <v>86</v>
      </c>
      <c r="AE30" t="s">
        <v>68</v>
      </c>
      <c r="AF30">
        <v>5</v>
      </c>
      <c r="AG30" t="s">
        <v>53</v>
      </c>
    </row>
    <row r="31" spans="1:33">
      <c r="A31" t="s">
        <v>208</v>
      </c>
      <c r="B31" s="10">
        <v>45808</v>
      </c>
      <c r="C31" s="3" t="s">
        <v>148</v>
      </c>
      <c r="D31" t="s">
        <v>71</v>
      </c>
      <c r="E31" t="s">
        <v>130</v>
      </c>
      <c r="F31" t="s">
        <v>131</v>
      </c>
      <c r="G31" t="s">
        <v>132</v>
      </c>
      <c r="H31" t="s">
        <v>115</v>
      </c>
      <c r="I31" t="s">
        <v>116</v>
      </c>
      <c r="J31" t="s">
        <v>117</v>
      </c>
      <c r="K31" t="s">
        <v>61</v>
      </c>
      <c r="L31" t="s">
        <v>209</v>
      </c>
      <c r="M31" t="s">
        <v>63</v>
      </c>
      <c r="N31" t="s">
        <v>110</v>
      </c>
      <c r="O31" t="s">
        <v>176</v>
      </c>
      <c r="P31" t="s">
        <v>177</v>
      </c>
      <c r="Q31" t="s">
        <v>66</v>
      </c>
      <c r="R31" t="s">
        <v>49</v>
      </c>
      <c r="S31">
        <v>3</v>
      </c>
      <c r="T31" s="14">
        <v>70.98</v>
      </c>
      <c r="U31" s="7">
        <v>12</v>
      </c>
      <c r="V31" s="7">
        <v>22</v>
      </c>
      <c r="W31" s="14">
        <v>104.98</v>
      </c>
      <c r="X31" s="14">
        <v>236.6</v>
      </c>
      <c r="Y31" s="16">
        <v>10</v>
      </c>
      <c r="Z31" s="12">
        <v>638.82000000000005</v>
      </c>
      <c r="AA31" s="5">
        <v>323.88</v>
      </c>
      <c r="AB31" s="18">
        <v>50.7</v>
      </c>
      <c r="AC31" t="s">
        <v>111</v>
      </c>
      <c r="AD31" t="s">
        <v>86</v>
      </c>
      <c r="AE31" t="s">
        <v>96</v>
      </c>
      <c r="AF31">
        <v>4</v>
      </c>
      <c r="AG31" t="s">
        <v>53</v>
      </c>
    </row>
    <row r="32" spans="1:33">
      <c r="A32" t="s">
        <v>210</v>
      </c>
      <c r="B32" s="10">
        <v>45815</v>
      </c>
      <c r="C32" s="3" t="s">
        <v>211</v>
      </c>
      <c r="D32" t="s">
        <v>71</v>
      </c>
      <c r="E32" t="s">
        <v>174</v>
      </c>
      <c r="F32" t="s">
        <v>131</v>
      </c>
      <c r="G32" t="s">
        <v>132</v>
      </c>
      <c r="H32" t="s">
        <v>142</v>
      </c>
      <c r="I32" t="s">
        <v>143</v>
      </c>
      <c r="J32" t="s">
        <v>144</v>
      </c>
      <c r="K32" t="s">
        <v>145</v>
      </c>
      <c r="L32" t="s">
        <v>212</v>
      </c>
      <c r="M32" t="s">
        <v>63</v>
      </c>
      <c r="N32" t="s">
        <v>81</v>
      </c>
      <c r="O32" t="s">
        <v>213</v>
      </c>
      <c r="P32" t="s">
        <v>214</v>
      </c>
      <c r="Q32" t="s">
        <v>215</v>
      </c>
      <c r="R32" t="s">
        <v>67</v>
      </c>
      <c r="S32">
        <v>2</v>
      </c>
      <c r="T32" s="14">
        <v>89.7</v>
      </c>
      <c r="U32" s="7">
        <v>12</v>
      </c>
      <c r="V32" s="7">
        <v>22</v>
      </c>
      <c r="W32" s="14">
        <v>123.7</v>
      </c>
      <c r="X32" s="14">
        <v>299</v>
      </c>
      <c r="Y32" s="16">
        <v>10</v>
      </c>
      <c r="Z32" s="12">
        <v>538.20000000000005</v>
      </c>
      <c r="AA32" s="5">
        <v>290.8</v>
      </c>
      <c r="AB32" s="18">
        <v>54.03</v>
      </c>
      <c r="AC32" t="s">
        <v>85</v>
      </c>
      <c r="AD32" t="s">
        <v>158</v>
      </c>
      <c r="AE32" t="s">
        <v>96</v>
      </c>
      <c r="AF32">
        <v>5</v>
      </c>
      <c r="AG32" t="s">
        <v>53</v>
      </c>
    </row>
    <row r="33" spans="1:33">
      <c r="A33" t="s">
        <v>216</v>
      </c>
      <c r="B33" s="10">
        <v>45944</v>
      </c>
      <c r="C33" s="3" t="s">
        <v>113</v>
      </c>
      <c r="D33" t="s">
        <v>156</v>
      </c>
      <c r="E33" t="s">
        <v>36</v>
      </c>
      <c r="F33" t="s">
        <v>37</v>
      </c>
      <c r="G33" t="s">
        <v>38</v>
      </c>
      <c r="H33" t="s">
        <v>39</v>
      </c>
      <c r="I33" t="s">
        <v>2143</v>
      </c>
      <c r="J33" t="s">
        <v>41</v>
      </c>
      <c r="K33" t="s">
        <v>42</v>
      </c>
      <c r="L33" t="s">
        <v>217</v>
      </c>
      <c r="M33" t="s">
        <v>80</v>
      </c>
      <c r="N33" t="s">
        <v>81</v>
      </c>
      <c r="O33" t="s">
        <v>176</v>
      </c>
      <c r="P33" t="s">
        <v>177</v>
      </c>
      <c r="Q33" t="s">
        <v>66</v>
      </c>
      <c r="R33" t="s">
        <v>84</v>
      </c>
      <c r="S33">
        <v>2</v>
      </c>
      <c r="T33" s="14">
        <v>60.84</v>
      </c>
      <c r="U33" s="7">
        <v>12</v>
      </c>
      <c r="V33" s="7">
        <v>22</v>
      </c>
      <c r="W33" s="14">
        <v>94.84</v>
      </c>
      <c r="X33" s="14">
        <v>202.8</v>
      </c>
      <c r="Y33" s="16">
        <v>10</v>
      </c>
      <c r="Z33" s="12">
        <v>365.04</v>
      </c>
      <c r="AA33" s="5">
        <v>175.36</v>
      </c>
      <c r="AB33" s="18">
        <v>48.04</v>
      </c>
      <c r="AC33" t="s">
        <v>104</v>
      </c>
      <c r="AD33" t="s">
        <v>51</v>
      </c>
      <c r="AE33" t="s">
        <v>68</v>
      </c>
      <c r="AF33">
        <v>5</v>
      </c>
      <c r="AG33" t="s">
        <v>53</v>
      </c>
    </row>
    <row r="34" spans="1:33">
      <c r="A34" t="s">
        <v>218</v>
      </c>
      <c r="B34" s="10">
        <v>45679</v>
      </c>
      <c r="C34" s="3" t="s">
        <v>219</v>
      </c>
      <c r="D34" t="s">
        <v>129</v>
      </c>
      <c r="E34" t="s">
        <v>152</v>
      </c>
      <c r="F34" t="s">
        <v>91</v>
      </c>
      <c r="G34" t="s">
        <v>92</v>
      </c>
      <c r="H34" t="s">
        <v>142</v>
      </c>
      <c r="I34" t="s">
        <v>143</v>
      </c>
      <c r="J34" t="s">
        <v>144</v>
      </c>
      <c r="K34" t="s">
        <v>145</v>
      </c>
      <c r="L34" t="s">
        <v>220</v>
      </c>
      <c r="M34" t="s">
        <v>80</v>
      </c>
      <c r="N34" t="s">
        <v>81</v>
      </c>
      <c r="O34" t="s">
        <v>94</v>
      </c>
      <c r="P34" t="s">
        <v>95</v>
      </c>
      <c r="Q34" t="s">
        <v>66</v>
      </c>
      <c r="R34" t="s">
        <v>49</v>
      </c>
      <c r="S34">
        <v>3</v>
      </c>
      <c r="T34" s="14">
        <v>91.98</v>
      </c>
      <c r="U34" s="7">
        <v>12</v>
      </c>
      <c r="V34" s="7">
        <v>22</v>
      </c>
      <c r="W34" s="14">
        <v>125.98</v>
      </c>
      <c r="X34" s="14">
        <v>306.60000000000002</v>
      </c>
      <c r="Y34" s="16">
        <v>10</v>
      </c>
      <c r="Z34" s="12">
        <v>827.82</v>
      </c>
      <c r="AA34" s="5">
        <v>449.88</v>
      </c>
      <c r="AB34" s="18">
        <v>54.35</v>
      </c>
      <c r="AC34" t="s">
        <v>50</v>
      </c>
      <c r="AD34" t="s">
        <v>51</v>
      </c>
      <c r="AE34" t="s">
        <v>96</v>
      </c>
      <c r="AF34">
        <v>5</v>
      </c>
      <c r="AG34" t="s">
        <v>53</v>
      </c>
    </row>
    <row r="35" spans="1:33">
      <c r="A35" t="s">
        <v>221</v>
      </c>
      <c r="B35" s="10">
        <v>45886</v>
      </c>
      <c r="C35" s="3" t="s">
        <v>182</v>
      </c>
      <c r="D35" t="s">
        <v>89</v>
      </c>
      <c r="E35" t="s">
        <v>99</v>
      </c>
      <c r="F35" t="s">
        <v>73</v>
      </c>
      <c r="G35" t="s">
        <v>74</v>
      </c>
      <c r="H35" t="s">
        <v>133</v>
      </c>
      <c r="I35" t="s">
        <v>134</v>
      </c>
      <c r="J35" t="s">
        <v>135</v>
      </c>
      <c r="K35" t="s">
        <v>42</v>
      </c>
      <c r="L35" t="s">
        <v>222</v>
      </c>
      <c r="M35" t="s">
        <v>44</v>
      </c>
      <c r="N35" t="s">
        <v>81</v>
      </c>
      <c r="O35" t="s">
        <v>119</v>
      </c>
      <c r="P35" t="s">
        <v>120</v>
      </c>
      <c r="Q35" t="s">
        <v>103</v>
      </c>
      <c r="R35" t="s">
        <v>84</v>
      </c>
      <c r="S35">
        <v>3</v>
      </c>
      <c r="T35" s="14">
        <v>46.44</v>
      </c>
      <c r="U35" s="7">
        <v>12</v>
      </c>
      <c r="V35" s="7">
        <v>22</v>
      </c>
      <c r="W35" s="14">
        <v>80.44</v>
      </c>
      <c r="X35" s="14">
        <v>154.80000000000001</v>
      </c>
      <c r="Y35" s="16">
        <v>15</v>
      </c>
      <c r="Z35" s="12">
        <v>394.74</v>
      </c>
      <c r="AA35" s="5">
        <v>153.41999999999999</v>
      </c>
      <c r="AB35" s="18">
        <v>38.869999999999997</v>
      </c>
      <c r="AC35" t="s">
        <v>111</v>
      </c>
      <c r="AD35" t="s">
        <v>51</v>
      </c>
      <c r="AE35" t="s">
        <v>126</v>
      </c>
      <c r="AF35">
        <v>4</v>
      </c>
      <c r="AG35" t="s">
        <v>53</v>
      </c>
    </row>
    <row r="36" spans="1:33">
      <c r="A36" t="s">
        <v>223</v>
      </c>
      <c r="B36" s="10">
        <v>45990</v>
      </c>
      <c r="C36" s="3" t="s">
        <v>70</v>
      </c>
      <c r="D36" t="s">
        <v>71</v>
      </c>
      <c r="E36" t="s">
        <v>57</v>
      </c>
      <c r="F36" t="s">
        <v>37</v>
      </c>
      <c r="G36" t="s">
        <v>38</v>
      </c>
      <c r="H36" t="s">
        <v>133</v>
      </c>
      <c r="I36" t="s">
        <v>134</v>
      </c>
      <c r="J36" t="s">
        <v>135</v>
      </c>
      <c r="K36" t="s">
        <v>42</v>
      </c>
      <c r="L36" t="s">
        <v>224</v>
      </c>
      <c r="M36" t="s">
        <v>44</v>
      </c>
      <c r="N36" t="s">
        <v>110</v>
      </c>
      <c r="O36" t="s">
        <v>176</v>
      </c>
      <c r="P36" t="s">
        <v>177</v>
      </c>
      <c r="Q36" t="s">
        <v>66</v>
      </c>
      <c r="R36" t="s">
        <v>67</v>
      </c>
      <c r="S36">
        <v>1</v>
      </c>
      <c r="T36" s="14">
        <v>50.7</v>
      </c>
      <c r="U36" s="7">
        <v>12</v>
      </c>
      <c r="V36" s="7">
        <v>22</v>
      </c>
      <c r="W36" s="14">
        <v>84.7</v>
      </c>
      <c r="X36" s="14">
        <v>169</v>
      </c>
      <c r="Y36" s="16">
        <v>15</v>
      </c>
      <c r="Z36" s="12">
        <v>143.65</v>
      </c>
      <c r="AA36" s="5">
        <v>58.95</v>
      </c>
      <c r="AB36" s="18">
        <v>41.04</v>
      </c>
      <c r="AC36" t="s">
        <v>85</v>
      </c>
      <c r="AD36" t="s">
        <v>158</v>
      </c>
      <c r="AE36" t="s">
        <v>68</v>
      </c>
      <c r="AF36">
        <v>3</v>
      </c>
      <c r="AG36" t="s">
        <v>53</v>
      </c>
    </row>
    <row r="37" spans="1:33">
      <c r="A37" t="s">
        <v>225</v>
      </c>
      <c r="B37" s="10">
        <v>45995</v>
      </c>
      <c r="C37" s="3" t="s">
        <v>141</v>
      </c>
      <c r="D37" t="s">
        <v>56</v>
      </c>
      <c r="E37" t="s">
        <v>149</v>
      </c>
      <c r="F37" t="s">
        <v>37</v>
      </c>
      <c r="G37" t="s">
        <v>92</v>
      </c>
      <c r="H37" t="s">
        <v>58</v>
      </c>
      <c r="I37" t="s">
        <v>59</v>
      </c>
      <c r="J37" t="s">
        <v>60</v>
      </c>
      <c r="K37" t="s">
        <v>61</v>
      </c>
      <c r="L37" t="s">
        <v>226</v>
      </c>
      <c r="M37" t="s">
        <v>80</v>
      </c>
      <c r="N37" t="s">
        <v>45</v>
      </c>
      <c r="O37" t="s">
        <v>176</v>
      </c>
      <c r="P37" t="s">
        <v>177</v>
      </c>
      <c r="Q37" t="s">
        <v>66</v>
      </c>
      <c r="R37" t="s">
        <v>67</v>
      </c>
      <c r="S37">
        <v>2</v>
      </c>
      <c r="T37" s="14">
        <v>50.7</v>
      </c>
      <c r="U37" s="7">
        <v>12</v>
      </c>
      <c r="V37" s="7">
        <v>22</v>
      </c>
      <c r="W37" s="14">
        <v>84.7</v>
      </c>
      <c r="X37" s="14">
        <v>169</v>
      </c>
      <c r="Y37" s="16">
        <v>0</v>
      </c>
      <c r="Z37" s="12">
        <v>338</v>
      </c>
      <c r="AA37" s="5">
        <v>168.6</v>
      </c>
      <c r="AB37" s="18">
        <v>49.88</v>
      </c>
      <c r="AC37" t="s">
        <v>111</v>
      </c>
      <c r="AD37" t="s">
        <v>158</v>
      </c>
      <c r="AE37" t="s">
        <v>52</v>
      </c>
      <c r="AF37">
        <v>4</v>
      </c>
      <c r="AG37" t="s">
        <v>53</v>
      </c>
    </row>
    <row r="38" spans="1:33">
      <c r="A38" t="s">
        <v>227</v>
      </c>
      <c r="B38" s="10">
        <v>45950</v>
      </c>
      <c r="C38" s="3" t="s">
        <v>155</v>
      </c>
      <c r="D38" t="s">
        <v>206</v>
      </c>
      <c r="E38" t="s">
        <v>36</v>
      </c>
      <c r="F38" t="s">
        <v>37</v>
      </c>
      <c r="G38" t="s">
        <v>38</v>
      </c>
      <c r="H38" t="s">
        <v>58</v>
      </c>
      <c r="I38" t="s">
        <v>59</v>
      </c>
      <c r="J38" t="s">
        <v>60</v>
      </c>
      <c r="K38" t="s">
        <v>61</v>
      </c>
      <c r="L38" t="s">
        <v>228</v>
      </c>
      <c r="M38" t="s">
        <v>63</v>
      </c>
      <c r="N38" t="s">
        <v>45</v>
      </c>
      <c r="O38" t="s">
        <v>94</v>
      </c>
      <c r="P38" t="s">
        <v>95</v>
      </c>
      <c r="Q38" t="s">
        <v>66</v>
      </c>
      <c r="R38" t="s">
        <v>84</v>
      </c>
      <c r="S38">
        <v>1</v>
      </c>
      <c r="T38" s="14">
        <v>78.84</v>
      </c>
      <c r="U38" s="7">
        <v>12</v>
      </c>
      <c r="V38" s="7">
        <v>22</v>
      </c>
      <c r="W38" s="14">
        <v>112.84</v>
      </c>
      <c r="X38" s="14">
        <v>262.8</v>
      </c>
      <c r="Y38" s="16">
        <v>10</v>
      </c>
      <c r="Z38" s="12">
        <v>236.52</v>
      </c>
      <c r="AA38" s="5">
        <v>123.68</v>
      </c>
      <c r="AB38" s="18">
        <v>52.29</v>
      </c>
      <c r="AC38" t="s">
        <v>104</v>
      </c>
      <c r="AD38" t="s">
        <v>86</v>
      </c>
      <c r="AE38" t="s">
        <v>96</v>
      </c>
      <c r="AF38">
        <v>4</v>
      </c>
      <c r="AG38" t="s">
        <v>53</v>
      </c>
    </row>
    <row r="39" spans="1:33">
      <c r="A39" t="s">
        <v>229</v>
      </c>
      <c r="B39" s="10">
        <v>45660</v>
      </c>
      <c r="C39" s="3" t="s">
        <v>113</v>
      </c>
      <c r="D39" t="s">
        <v>35</v>
      </c>
      <c r="E39" t="s">
        <v>152</v>
      </c>
      <c r="F39" t="s">
        <v>91</v>
      </c>
      <c r="G39" t="s">
        <v>92</v>
      </c>
      <c r="H39" t="s">
        <v>133</v>
      </c>
      <c r="I39" t="s">
        <v>134</v>
      </c>
      <c r="J39" t="s">
        <v>135</v>
      </c>
      <c r="K39" t="s">
        <v>42</v>
      </c>
      <c r="L39" t="s">
        <v>230</v>
      </c>
      <c r="M39" t="s">
        <v>80</v>
      </c>
      <c r="N39" t="s">
        <v>110</v>
      </c>
      <c r="O39" t="s">
        <v>176</v>
      </c>
      <c r="P39" t="s">
        <v>177</v>
      </c>
      <c r="Q39" t="s">
        <v>66</v>
      </c>
      <c r="R39" t="s">
        <v>49</v>
      </c>
      <c r="S39">
        <v>1</v>
      </c>
      <c r="T39" s="14">
        <v>70.98</v>
      </c>
      <c r="U39" s="7">
        <v>12</v>
      </c>
      <c r="V39" s="7">
        <v>22</v>
      </c>
      <c r="W39" s="14">
        <v>104.98</v>
      </c>
      <c r="X39" s="14">
        <v>236.6</v>
      </c>
      <c r="Y39" s="16">
        <v>0</v>
      </c>
      <c r="Z39" s="12">
        <v>236.6</v>
      </c>
      <c r="AA39" s="5">
        <v>131.62</v>
      </c>
      <c r="AB39" s="18">
        <v>55.63</v>
      </c>
      <c r="AC39" t="s">
        <v>85</v>
      </c>
      <c r="AD39" t="s">
        <v>86</v>
      </c>
      <c r="AE39" t="s">
        <v>105</v>
      </c>
      <c r="AF39">
        <v>3</v>
      </c>
      <c r="AG39" t="s">
        <v>53</v>
      </c>
    </row>
    <row r="40" spans="1:33">
      <c r="A40" t="s">
        <v>231</v>
      </c>
      <c r="B40" s="10">
        <v>45922</v>
      </c>
      <c r="C40" s="3" t="s">
        <v>179</v>
      </c>
      <c r="D40" t="s">
        <v>206</v>
      </c>
      <c r="E40" t="s">
        <v>72</v>
      </c>
      <c r="F40" t="s">
        <v>73</v>
      </c>
      <c r="G40" t="s">
        <v>74</v>
      </c>
      <c r="H40" t="s">
        <v>75</v>
      </c>
      <c r="I40" t="s">
        <v>76</v>
      </c>
      <c r="J40" t="s">
        <v>77</v>
      </c>
      <c r="K40" t="s">
        <v>78</v>
      </c>
      <c r="L40" t="s">
        <v>232</v>
      </c>
      <c r="M40" t="s">
        <v>80</v>
      </c>
      <c r="N40" t="s">
        <v>45</v>
      </c>
      <c r="O40" t="s">
        <v>119</v>
      </c>
      <c r="P40" t="s">
        <v>120</v>
      </c>
      <c r="Q40" t="s">
        <v>103</v>
      </c>
      <c r="R40" t="s">
        <v>49</v>
      </c>
      <c r="S40">
        <v>1</v>
      </c>
      <c r="T40" s="14">
        <v>54.18</v>
      </c>
      <c r="U40" s="7">
        <v>12</v>
      </c>
      <c r="V40" s="7">
        <v>22</v>
      </c>
      <c r="W40" s="14">
        <v>88.18</v>
      </c>
      <c r="X40" s="14">
        <v>180.6</v>
      </c>
      <c r="Y40" s="16">
        <v>5</v>
      </c>
      <c r="Z40" s="12">
        <v>171.57</v>
      </c>
      <c r="AA40" s="5">
        <v>83.39</v>
      </c>
      <c r="AB40" s="18">
        <v>48.6</v>
      </c>
      <c r="AC40" t="s">
        <v>111</v>
      </c>
      <c r="AD40" t="s">
        <v>51</v>
      </c>
      <c r="AE40" t="s">
        <v>52</v>
      </c>
      <c r="AF40">
        <v>3</v>
      </c>
      <c r="AG40" t="s">
        <v>53</v>
      </c>
    </row>
    <row r="41" spans="1:33">
      <c r="A41" t="s">
        <v>233</v>
      </c>
      <c r="B41" s="10">
        <v>45873</v>
      </c>
      <c r="C41" s="3" t="s">
        <v>88</v>
      </c>
      <c r="D41" t="s">
        <v>206</v>
      </c>
      <c r="E41" t="s">
        <v>99</v>
      </c>
      <c r="F41" t="s">
        <v>73</v>
      </c>
      <c r="G41" t="s">
        <v>74</v>
      </c>
      <c r="H41" t="s">
        <v>115</v>
      </c>
      <c r="I41" t="s">
        <v>116</v>
      </c>
      <c r="J41" t="s">
        <v>117</v>
      </c>
      <c r="K41" t="s">
        <v>61</v>
      </c>
      <c r="L41" t="s">
        <v>234</v>
      </c>
      <c r="M41" t="s">
        <v>80</v>
      </c>
      <c r="N41" t="s">
        <v>45</v>
      </c>
      <c r="O41" t="s">
        <v>46</v>
      </c>
      <c r="P41" t="s">
        <v>47</v>
      </c>
      <c r="Q41" t="s">
        <v>48</v>
      </c>
      <c r="R41" t="s">
        <v>49</v>
      </c>
      <c r="S41">
        <v>2</v>
      </c>
      <c r="T41" s="14">
        <v>108.78</v>
      </c>
      <c r="U41" s="7">
        <v>12</v>
      </c>
      <c r="V41" s="7">
        <v>22</v>
      </c>
      <c r="W41" s="14">
        <v>142.78</v>
      </c>
      <c r="X41" s="14">
        <v>362.6</v>
      </c>
      <c r="Y41" s="16">
        <v>0</v>
      </c>
      <c r="Z41" s="12">
        <v>725.2</v>
      </c>
      <c r="AA41" s="5">
        <v>439.64</v>
      </c>
      <c r="AB41" s="18">
        <v>60.62</v>
      </c>
      <c r="AC41" t="s">
        <v>85</v>
      </c>
      <c r="AD41" t="s">
        <v>51</v>
      </c>
      <c r="AE41" t="s">
        <v>96</v>
      </c>
      <c r="AF41">
        <v>5</v>
      </c>
      <c r="AG41" t="s">
        <v>53</v>
      </c>
    </row>
    <row r="42" spans="1:33">
      <c r="A42" t="s">
        <v>235</v>
      </c>
      <c r="B42" s="10">
        <v>45691</v>
      </c>
      <c r="C42" s="3" t="s">
        <v>34</v>
      </c>
      <c r="D42" t="s">
        <v>206</v>
      </c>
      <c r="E42" t="s">
        <v>90</v>
      </c>
      <c r="F42" t="s">
        <v>91</v>
      </c>
      <c r="G42" t="s">
        <v>92</v>
      </c>
      <c r="H42" t="s">
        <v>39</v>
      </c>
      <c r="I42" t="s">
        <v>2143</v>
      </c>
      <c r="J42" t="s">
        <v>41</v>
      </c>
      <c r="K42" t="s">
        <v>42</v>
      </c>
      <c r="L42" t="s">
        <v>236</v>
      </c>
      <c r="M42" t="s">
        <v>63</v>
      </c>
      <c r="N42" t="s">
        <v>110</v>
      </c>
      <c r="O42" t="s">
        <v>82</v>
      </c>
      <c r="P42" t="s">
        <v>83</v>
      </c>
      <c r="Q42" t="s">
        <v>66</v>
      </c>
      <c r="R42" t="s">
        <v>84</v>
      </c>
      <c r="S42">
        <v>2</v>
      </c>
      <c r="T42" s="14">
        <v>86.04</v>
      </c>
      <c r="U42" s="7">
        <v>12</v>
      </c>
      <c r="V42" s="7">
        <v>22</v>
      </c>
      <c r="W42" s="14">
        <v>120.04</v>
      </c>
      <c r="X42" s="14">
        <v>286.8</v>
      </c>
      <c r="Y42" s="16">
        <v>10</v>
      </c>
      <c r="Z42" s="12">
        <v>516.24</v>
      </c>
      <c r="AA42" s="5">
        <v>276.16000000000003</v>
      </c>
      <c r="AB42" s="18">
        <v>53.49</v>
      </c>
      <c r="AC42" t="s">
        <v>104</v>
      </c>
      <c r="AD42" t="s">
        <v>86</v>
      </c>
      <c r="AE42" t="s">
        <v>96</v>
      </c>
      <c r="AF42">
        <v>5</v>
      </c>
      <c r="AG42" t="s">
        <v>53</v>
      </c>
    </row>
    <row r="43" spans="1:33">
      <c r="A43" t="s">
        <v>237</v>
      </c>
      <c r="B43" s="10">
        <v>45730</v>
      </c>
      <c r="C43" s="3" t="s">
        <v>194</v>
      </c>
      <c r="D43" t="s">
        <v>35</v>
      </c>
      <c r="E43" t="s">
        <v>108</v>
      </c>
      <c r="F43" t="s">
        <v>91</v>
      </c>
      <c r="G43" t="s">
        <v>38</v>
      </c>
      <c r="H43" t="s">
        <v>58</v>
      </c>
      <c r="I43" t="s">
        <v>59</v>
      </c>
      <c r="J43" t="s">
        <v>60</v>
      </c>
      <c r="K43" t="s">
        <v>61</v>
      </c>
      <c r="L43" t="s">
        <v>238</v>
      </c>
      <c r="M43" t="s">
        <v>44</v>
      </c>
      <c r="N43" t="s">
        <v>81</v>
      </c>
      <c r="O43" t="s">
        <v>176</v>
      </c>
      <c r="P43" t="s">
        <v>177</v>
      </c>
      <c r="Q43" t="s">
        <v>66</v>
      </c>
      <c r="R43" t="s">
        <v>84</v>
      </c>
      <c r="S43">
        <v>3</v>
      </c>
      <c r="T43" s="14">
        <v>60.84</v>
      </c>
      <c r="U43" s="7">
        <v>12</v>
      </c>
      <c r="V43" s="7">
        <v>22</v>
      </c>
      <c r="W43" s="14">
        <v>94.84</v>
      </c>
      <c r="X43" s="14">
        <v>202.8</v>
      </c>
      <c r="Y43" s="16">
        <v>10</v>
      </c>
      <c r="Z43" s="12">
        <v>547.55999999999995</v>
      </c>
      <c r="AA43" s="5">
        <v>263.04000000000002</v>
      </c>
      <c r="AB43" s="18">
        <v>48.04</v>
      </c>
      <c r="AC43" t="s">
        <v>85</v>
      </c>
      <c r="AD43" t="s">
        <v>86</v>
      </c>
      <c r="AE43" t="s">
        <v>126</v>
      </c>
      <c r="AF43">
        <v>4</v>
      </c>
      <c r="AG43" t="s">
        <v>53</v>
      </c>
    </row>
    <row r="44" spans="1:33">
      <c r="A44" t="s">
        <v>239</v>
      </c>
      <c r="B44" s="10">
        <v>45675</v>
      </c>
      <c r="C44" s="3" t="s">
        <v>148</v>
      </c>
      <c r="D44" t="s">
        <v>71</v>
      </c>
      <c r="E44" t="s">
        <v>152</v>
      </c>
      <c r="F44" t="s">
        <v>91</v>
      </c>
      <c r="G44" t="s">
        <v>92</v>
      </c>
      <c r="H44" t="s">
        <v>58</v>
      </c>
      <c r="I44" t="s">
        <v>59</v>
      </c>
      <c r="J44" t="s">
        <v>60</v>
      </c>
      <c r="K44" t="s">
        <v>61</v>
      </c>
      <c r="L44" t="s">
        <v>240</v>
      </c>
      <c r="M44" t="s">
        <v>63</v>
      </c>
      <c r="N44" t="s">
        <v>81</v>
      </c>
      <c r="O44" t="s">
        <v>94</v>
      </c>
      <c r="P44" t="s">
        <v>95</v>
      </c>
      <c r="Q44" t="s">
        <v>66</v>
      </c>
      <c r="R44" t="s">
        <v>49</v>
      </c>
      <c r="S44">
        <v>1</v>
      </c>
      <c r="T44" s="14">
        <v>91.98</v>
      </c>
      <c r="U44" s="7">
        <v>12</v>
      </c>
      <c r="V44" s="7">
        <v>22</v>
      </c>
      <c r="W44" s="14">
        <v>125.98</v>
      </c>
      <c r="X44" s="14">
        <v>306.60000000000002</v>
      </c>
      <c r="Y44" s="16">
        <v>10</v>
      </c>
      <c r="Z44" s="12">
        <v>275.94</v>
      </c>
      <c r="AA44" s="5">
        <v>149.96</v>
      </c>
      <c r="AB44" s="18">
        <v>54.35</v>
      </c>
      <c r="AC44" t="s">
        <v>2145</v>
      </c>
      <c r="AD44" t="s">
        <v>86</v>
      </c>
      <c r="AE44" t="s">
        <v>126</v>
      </c>
      <c r="AF44">
        <v>5</v>
      </c>
      <c r="AG44" t="s">
        <v>53</v>
      </c>
    </row>
    <row r="45" spans="1:33">
      <c r="A45" t="s">
        <v>241</v>
      </c>
      <c r="B45" s="10">
        <v>45917</v>
      </c>
      <c r="C45" s="3" t="s">
        <v>55</v>
      </c>
      <c r="D45" t="s">
        <v>129</v>
      </c>
      <c r="E45" t="s">
        <v>72</v>
      </c>
      <c r="F45" t="s">
        <v>73</v>
      </c>
      <c r="G45" t="s">
        <v>74</v>
      </c>
      <c r="H45" t="s">
        <v>142</v>
      </c>
      <c r="I45" t="s">
        <v>143</v>
      </c>
      <c r="J45" t="s">
        <v>144</v>
      </c>
      <c r="K45" t="s">
        <v>145</v>
      </c>
      <c r="L45" t="s">
        <v>242</v>
      </c>
      <c r="M45" t="s">
        <v>44</v>
      </c>
      <c r="N45" t="s">
        <v>45</v>
      </c>
      <c r="O45" t="s">
        <v>64</v>
      </c>
      <c r="P45" t="s">
        <v>65</v>
      </c>
      <c r="Q45" t="s">
        <v>66</v>
      </c>
      <c r="R45" t="s">
        <v>49</v>
      </c>
      <c r="S45">
        <v>2</v>
      </c>
      <c r="T45" s="14">
        <v>62.58</v>
      </c>
      <c r="U45" s="7">
        <v>12</v>
      </c>
      <c r="V45" s="7">
        <v>22</v>
      </c>
      <c r="W45" s="14">
        <v>96.58</v>
      </c>
      <c r="X45" s="14">
        <v>208.6</v>
      </c>
      <c r="Y45" s="16">
        <v>5</v>
      </c>
      <c r="Z45" s="12">
        <v>396.34</v>
      </c>
      <c r="AA45" s="5">
        <v>203.18</v>
      </c>
      <c r="AB45" s="18">
        <v>51.26</v>
      </c>
      <c r="AC45" t="s">
        <v>50</v>
      </c>
      <c r="AD45" t="s">
        <v>51</v>
      </c>
      <c r="AE45" t="s">
        <v>96</v>
      </c>
      <c r="AF45">
        <v>5</v>
      </c>
      <c r="AG45" t="s">
        <v>53</v>
      </c>
    </row>
    <row r="46" spans="1:33">
      <c r="A46" t="s">
        <v>243</v>
      </c>
      <c r="B46" s="10">
        <v>45702</v>
      </c>
      <c r="C46" s="3" t="s">
        <v>194</v>
      </c>
      <c r="D46" t="s">
        <v>35</v>
      </c>
      <c r="E46" t="s">
        <v>90</v>
      </c>
      <c r="F46" t="s">
        <v>91</v>
      </c>
      <c r="G46" t="s">
        <v>92</v>
      </c>
      <c r="H46" t="s">
        <v>115</v>
      </c>
      <c r="I46" t="s">
        <v>116</v>
      </c>
      <c r="J46" t="s">
        <v>117</v>
      </c>
      <c r="K46" t="s">
        <v>61</v>
      </c>
      <c r="L46" t="s">
        <v>244</v>
      </c>
      <c r="M46" t="s">
        <v>80</v>
      </c>
      <c r="N46" t="s">
        <v>81</v>
      </c>
      <c r="O46" t="s">
        <v>82</v>
      </c>
      <c r="P46" t="s">
        <v>83</v>
      </c>
      <c r="Q46" t="s">
        <v>66</v>
      </c>
      <c r="R46" t="s">
        <v>49</v>
      </c>
      <c r="S46">
        <v>1</v>
      </c>
      <c r="T46" s="14">
        <v>100.38</v>
      </c>
      <c r="U46" s="7">
        <v>12</v>
      </c>
      <c r="V46" s="7">
        <v>22</v>
      </c>
      <c r="W46" s="14">
        <v>134.38</v>
      </c>
      <c r="X46" s="14">
        <v>334.6</v>
      </c>
      <c r="Y46" s="16">
        <v>0</v>
      </c>
      <c r="Z46" s="12">
        <v>334.6</v>
      </c>
      <c r="AA46" s="5">
        <v>200.22</v>
      </c>
      <c r="AB46" s="18">
        <v>59.84</v>
      </c>
      <c r="AC46" t="s">
        <v>50</v>
      </c>
      <c r="AD46" t="s">
        <v>86</v>
      </c>
      <c r="AE46" t="s">
        <v>68</v>
      </c>
      <c r="AF46">
        <v>5</v>
      </c>
      <c r="AG46" t="s">
        <v>53</v>
      </c>
    </row>
    <row r="47" spans="1:33">
      <c r="A47" t="s">
        <v>245</v>
      </c>
      <c r="B47" s="10">
        <v>45881</v>
      </c>
      <c r="C47" s="3" t="s">
        <v>211</v>
      </c>
      <c r="D47" t="s">
        <v>156</v>
      </c>
      <c r="E47" t="s">
        <v>99</v>
      </c>
      <c r="F47" t="s">
        <v>73</v>
      </c>
      <c r="G47" t="s">
        <v>74</v>
      </c>
      <c r="H47" t="s">
        <v>58</v>
      </c>
      <c r="I47" t="s">
        <v>59</v>
      </c>
      <c r="J47" t="s">
        <v>60</v>
      </c>
      <c r="K47" t="s">
        <v>61</v>
      </c>
      <c r="L47" t="s">
        <v>246</v>
      </c>
      <c r="M47" t="s">
        <v>80</v>
      </c>
      <c r="N47" t="s">
        <v>81</v>
      </c>
      <c r="O47" t="s">
        <v>82</v>
      </c>
      <c r="P47" t="s">
        <v>83</v>
      </c>
      <c r="Q47" t="s">
        <v>66</v>
      </c>
      <c r="R47" t="s">
        <v>49</v>
      </c>
      <c r="S47">
        <v>3</v>
      </c>
      <c r="T47" s="14">
        <v>100.38</v>
      </c>
      <c r="U47" s="7">
        <v>12</v>
      </c>
      <c r="V47" s="7">
        <v>22</v>
      </c>
      <c r="W47" s="14">
        <v>134.38</v>
      </c>
      <c r="X47" s="14">
        <v>334.6</v>
      </c>
      <c r="Y47" s="16">
        <v>0</v>
      </c>
      <c r="Z47" s="12">
        <v>1003.8</v>
      </c>
      <c r="AA47" s="5">
        <v>600.66</v>
      </c>
      <c r="AB47" s="18">
        <v>59.84</v>
      </c>
      <c r="AC47" t="s">
        <v>85</v>
      </c>
      <c r="AD47" t="s">
        <v>51</v>
      </c>
      <c r="AE47" t="s">
        <v>105</v>
      </c>
      <c r="AF47">
        <v>5</v>
      </c>
      <c r="AG47" t="s">
        <v>53</v>
      </c>
    </row>
    <row r="48" spans="1:33">
      <c r="A48" t="s">
        <v>247</v>
      </c>
      <c r="B48" s="10">
        <v>45701</v>
      </c>
      <c r="C48" s="3" t="s">
        <v>141</v>
      </c>
      <c r="D48" t="s">
        <v>56</v>
      </c>
      <c r="E48" t="s">
        <v>90</v>
      </c>
      <c r="F48" t="s">
        <v>91</v>
      </c>
      <c r="G48" t="s">
        <v>92</v>
      </c>
      <c r="H48" t="s">
        <v>39</v>
      </c>
      <c r="I48" t="s">
        <v>2143</v>
      </c>
      <c r="J48" t="s">
        <v>41</v>
      </c>
      <c r="K48" t="s">
        <v>42</v>
      </c>
      <c r="L48" t="s">
        <v>248</v>
      </c>
      <c r="M48" t="s">
        <v>63</v>
      </c>
      <c r="N48" t="s">
        <v>110</v>
      </c>
      <c r="O48" t="s">
        <v>137</v>
      </c>
      <c r="P48" t="s">
        <v>138</v>
      </c>
      <c r="Q48" t="s">
        <v>139</v>
      </c>
      <c r="R48" t="s">
        <v>49</v>
      </c>
      <c r="S48">
        <v>2</v>
      </c>
      <c r="T48" s="14">
        <v>83.58</v>
      </c>
      <c r="U48" s="7">
        <v>12</v>
      </c>
      <c r="V48" s="7">
        <v>22</v>
      </c>
      <c r="W48" s="14">
        <v>117.58</v>
      </c>
      <c r="X48" s="14">
        <v>278.60000000000002</v>
      </c>
      <c r="Y48" s="16">
        <v>0</v>
      </c>
      <c r="Z48" s="12">
        <v>557.20000000000005</v>
      </c>
      <c r="AA48" s="5">
        <v>322.04000000000002</v>
      </c>
      <c r="AB48" s="18">
        <v>57.8</v>
      </c>
      <c r="AC48" t="s">
        <v>50</v>
      </c>
      <c r="AD48" t="s">
        <v>158</v>
      </c>
      <c r="AE48" t="s">
        <v>68</v>
      </c>
      <c r="AF48">
        <v>4</v>
      </c>
      <c r="AG48" t="s">
        <v>53</v>
      </c>
    </row>
    <row r="49" spans="1:33">
      <c r="A49" t="s">
        <v>249</v>
      </c>
      <c r="B49" s="10">
        <v>45851</v>
      </c>
      <c r="C49" s="3" t="s">
        <v>171</v>
      </c>
      <c r="D49" t="s">
        <v>89</v>
      </c>
      <c r="E49" t="s">
        <v>114</v>
      </c>
      <c r="F49" t="s">
        <v>73</v>
      </c>
      <c r="G49" t="s">
        <v>74</v>
      </c>
      <c r="H49" t="s">
        <v>115</v>
      </c>
      <c r="I49" t="s">
        <v>116</v>
      </c>
      <c r="J49" t="s">
        <v>117</v>
      </c>
      <c r="K49" t="s">
        <v>61</v>
      </c>
      <c r="L49" t="s">
        <v>250</v>
      </c>
      <c r="M49" t="s">
        <v>63</v>
      </c>
      <c r="N49" t="s">
        <v>81</v>
      </c>
      <c r="O49" t="s">
        <v>82</v>
      </c>
      <c r="P49" t="s">
        <v>83</v>
      </c>
      <c r="Q49" t="s">
        <v>66</v>
      </c>
      <c r="R49" t="s">
        <v>84</v>
      </c>
      <c r="S49">
        <v>3</v>
      </c>
      <c r="T49" s="14">
        <v>86.04</v>
      </c>
      <c r="U49" s="7">
        <v>12</v>
      </c>
      <c r="V49" s="7">
        <v>22</v>
      </c>
      <c r="W49" s="14">
        <v>120.04</v>
      </c>
      <c r="X49" s="14">
        <v>286.8</v>
      </c>
      <c r="Y49" s="16">
        <v>15</v>
      </c>
      <c r="Z49" s="12">
        <v>731.34</v>
      </c>
      <c r="AA49" s="5">
        <v>371.22</v>
      </c>
      <c r="AB49" s="18">
        <v>50.76</v>
      </c>
      <c r="AC49" t="s">
        <v>111</v>
      </c>
      <c r="AD49" t="s">
        <v>86</v>
      </c>
      <c r="AE49" t="s">
        <v>52</v>
      </c>
      <c r="AF49">
        <v>4</v>
      </c>
      <c r="AG49" t="s">
        <v>53</v>
      </c>
    </row>
    <row r="50" spans="1:33">
      <c r="A50" t="s">
        <v>251</v>
      </c>
      <c r="B50" s="10">
        <v>45913</v>
      </c>
      <c r="C50" s="3" t="s">
        <v>194</v>
      </c>
      <c r="D50" t="s">
        <v>71</v>
      </c>
      <c r="E50" t="s">
        <v>72</v>
      </c>
      <c r="F50" t="s">
        <v>73</v>
      </c>
      <c r="G50" t="s">
        <v>74</v>
      </c>
      <c r="H50" t="s">
        <v>39</v>
      </c>
      <c r="I50" t="s">
        <v>2143</v>
      </c>
      <c r="J50" t="s">
        <v>41</v>
      </c>
      <c r="K50" t="s">
        <v>42</v>
      </c>
      <c r="L50" t="s">
        <v>252</v>
      </c>
      <c r="M50" t="s">
        <v>44</v>
      </c>
      <c r="N50" t="s">
        <v>81</v>
      </c>
      <c r="O50" t="s">
        <v>64</v>
      </c>
      <c r="P50" t="s">
        <v>65</v>
      </c>
      <c r="Q50" t="s">
        <v>66</v>
      </c>
      <c r="R50" t="s">
        <v>49</v>
      </c>
      <c r="S50">
        <v>1</v>
      </c>
      <c r="T50" s="14">
        <v>62.58</v>
      </c>
      <c r="U50" s="7">
        <v>12</v>
      </c>
      <c r="V50" s="7">
        <v>22</v>
      </c>
      <c r="W50" s="14">
        <v>96.58</v>
      </c>
      <c r="X50" s="14">
        <v>208.6</v>
      </c>
      <c r="Y50" s="16">
        <v>15</v>
      </c>
      <c r="Z50" s="12">
        <v>177.31</v>
      </c>
      <c r="AA50" s="5">
        <v>80.73</v>
      </c>
      <c r="AB50" s="18">
        <v>45.53</v>
      </c>
      <c r="AC50" t="s">
        <v>50</v>
      </c>
      <c r="AD50" t="s">
        <v>86</v>
      </c>
      <c r="AE50" t="s">
        <v>52</v>
      </c>
      <c r="AF50">
        <v>5</v>
      </c>
      <c r="AG50" t="s">
        <v>53</v>
      </c>
    </row>
    <row r="51" spans="1:33">
      <c r="A51" t="s">
        <v>253</v>
      </c>
      <c r="B51" s="10">
        <v>45702</v>
      </c>
      <c r="C51" s="3" t="s">
        <v>171</v>
      </c>
      <c r="D51" t="s">
        <v>35</v>
      </c>
      <c r="E51" t="s">
        <v>90</v>
      </c>
      <c r="F51" t="s">
        <v>91</v>
      </c>
      <c r="G51" t="s">
        <v>92</v>
      </c>
      <c r="H51" t="s">
        <v>39</v>
      </c>
      <c r="I51" t="s">
        <v>2143</v>
      </c>
      <c r="J51" t="s">
        <v>41</v>
      </c>
      <c r="K51" t="s">
        <v>42</v>
      </c>
      <c r="L51" t="s">
        <v>254</v>
      </c>
      <c r="M51" t="s">
        <v>44</v>
      </c>
      <c r="N51" t="s">
        <v>81</v>
      </c>
      <c r="O51" t="s">
        <v>82</v>
      </c>
      <c r="P51" t="s">
        <v>83</v>
      </c>
      <c r="Q51" t="s">
        <v>66</v>
      </c>
      <c r="R51" t="s">
        <v>49</v>
      </c>
      <c r="S51">
        <v>2</v>
      </c>
      <c r="T51" s="14">
        <v>100.38</v>
      </c>
      <c r="U51" s="7">
        <v>12</v>
      </c>
      <c r="V51" s="7">
        <v>22</v>
      </c>
      <c r="W51" s="14">
        <v>134.38</v>
      </c>
      <c r="X51" s="14">
        <v>334.6</v>
      </c>
      <c r="Y51" s="16">
        <v>0</v>
      </c>
      <c r="Z51" s="12">
        <v>669.2</v>
      </c>
      <c r="AA51" s="5">
        <v>400.44</v>
      </c>
      <c r="AB51" s="18">
        <v>59.84</v>
      </c>
      <c r="AC51" t="s">
        <v>50</v>
      </c>
      <c r="AD51" t="s">
        <v>51</v>
      </c>
      <c r="AE51" t="s">
        <v>105</v>
      </c>
      <c r="AF51">
        <v>4</v>
      </c>
      <c r="AG51" t="s">
        <v>53</v>
      </c>
    </row>
    <row r="52" spans="1:33">
      <c r="A52" t="s">
        <v>255</v>
      </c>
      <c r="B52" s="10">
        <v>45965</v>
      </c>
      <c r="C52" s="3" t="s">
        <v>55</v>
      </c>
      <c r="D52" t="s">
        <v>156</v>
      </c>
      <c r="E52" t="s">
        <v>57</v>
      </c>
      <c r="F52" t="s">
        <v>37</v>
      </c>
      <c r="G52" t="s">
        <v>38</v>
      </c>
      <c r="H52" t="s">
        <v>133</v>
      </c>
      <c r="I52" t="s">
        <v>134</v>
      </c>
      <c r="J52" t="s">
        <v>135</v>
      </c>
      <c r="K52" t="s">
        <v>42</v>
      </c>
      <c r="L52" t="s">
        <v>256</v>
      </c>
      <c r="M52" t="s">
        <v>44</v>
      </c>
      <c r="N52" t="s">
        <v>81</v>
      </c>
      <c r="O52" t="s">
        <v>94</v>
      </c>
      <c r="P52" t="s">
        <v>95</v>
      </c>
      <c r="Q52" t="s">
        <v>66</v>
      </c>
      <c r="R52" t="s">
        <v>67</v>
      </c>
      <c r="S52">
        <v>3</v>
      </c>
      <c r="T52" s="14">
        <v>65.7</v>
      </c>
      <c r="U52" s="7">
        <v>12</v>
      </c>
      <c r="V52" s="7">
        <v>22</v>
      </c>
      <c r="W52" s="14">
        <v>99.7</v>
      </c>
      <c r="X52" s="14">
        <v>219</v>
      </c>
      <c r="Y52" s="16">
        <v>10</v>
      </c>
      <c r="Z52" s="12">
        <v>591.29999999999995</v>
      </c>
      <c r="AA52" s="5">
        <v>292.2</v>
      </c>
      <c r="AB52" s="18">
        <v>49.42</v>
      </c>
      <c r="AC52" t="s">
        <v>111</v>
      </c>
      <c r="AD52" t="s">
        <v>158</v>
      </c>
      <c r="AE52" t="s">
        <v>126</v>
      </c>
      <c r="AF52">
        <v>5</v>
      </c>
      <c r="AG52" t="s">
        <v>53</v>
      </c>
    </row>
    <row r="53" spans="1:33">
      <c r="A53" t="s">
        <v>257</v>
      </c>
      <c r="B53" s="10">
        <v>45733</v>
      </c>
      <c r="C53" s="3" t="s">
        <v>194</v>
      </c>
      <c r="D53" t="s">
        <v>206</v>
      </c>
      <c r="E53" t="s">
        <v>108</v>
      </c>
      <c r="F53" t="s">
        <v>91</v>
      </c>
      <c r="G53" t="s">
        <v>38</v>
      </c>
      <c r="H53" t="s">
        <v>58</v>
      </c>
      <c r="I53" t="s">
        <v>59</v>
      </c>
      <c r="J53" t="s">
        <v>60</v>
      </c>
      <c r="K53" t="s">
        <v>61</v>
      </c>
      <c r="L53" t="s">
        <v>258</v>
      </c>
      <c r="M53" t="s">
        <v>44</v>
      </c>
      <c r="N53" t="s">
        <v>110</v>
      </c>
      <c r="O53" t="s">
        <v>101</v>
      </c>
      <c r="P53" t="s">
        <v>102</v>
      </c>
      <c r="Q53" t="s">
        <v>103</v>
      </c>
      <c r="R53" t="s">
        <v>67</v>
      </c>
      <c r="S53">
        <v>3</v>
      </c>
      <c r="T53" s="14">
        <v>44.7</v>
      </c>
      <c r="U53" s="7">
        <v>12</v>
      </c>
      <c r="V53" s="7">
        <v>22</v>
      </c>
      <c r="W53" s="14">
        <v>78.7</v>
      </c>
      <c r="X53" s="14">
        <v>149</v>
      </c>
      <c r="Y53" s="16">
        <v>0</v>
      </c>
      <c r="Z53" s="12">
        <v>447</v>
      </c>
      <c r="AA53" s="5">
        <v>210.9</v>
      </c>
      <c r="AB53" s="18">
        <v>47.18</v>
      </c>
      <c r="AC53" t="s">
        <v>2145</v>
      </c>
      <c r="AD53" t="s">
        <v>51</v>
      </c>
      <c r="AE53" t="s">
        <v>68</v>
      </c>
      <c r="AF53">
        <v>5</v>
      </c>
      <c r="AG53" t="s">
        <v>53</v>
      </c>
    </row>
    <row r="54" spans="1:33">
      <c r="A54" t="s">
        <v>259</v>
      </c>
      <c r="B54" s="10">
        <v>45783</v>
      </c>
      <c r="C54" s="3" t="s">
        <v>171</v>
      </c>
      <c r="D54" t="s">
        <v>156</v>
      </c>
      <c r="E54" t="s">
        <v>130</v>
      </c>
      <c r="F54" t="s">
        <v>131</v>
      </c>
      <c r="G54" t="s">
        <v>132</v>
      </c>
      <c r="H54" t="s">
        <v>58</v>
      </c>
      <c r="I54" t="s">
        <v>59</v>
      </c>
      <c r="J54" t="s">
        <v>60</v>
      </c>
      <c r="K54" t="s">
        <v>61</v>
      </c>
      <c r="L54" t="s">
        <v>260</v>
      </c>
      <c r="M54" t="s">
        <v>80</v>
      </c>
      <c r="N54" t="s">
        <v>45</v>
      </c>
      <c r="O54" t="s">
        <v>176</v>
      </c>
      <c r="P54" t="s">
        <v>177</v>
      </c>
      <c r="Q54" t="s">
        <v>66</v>
      </c>
      <c r="R54" t="s">
        <v>49</v>
      </c>
      <c r="S54">
        <v>3</v>
      </c>
      <c r="T54" s="14">
        <v>70.98</v>
      </c>
      <c r="U54" s="7">
        <v>12</v>
      </c>
      <c r="V54" s="7">
        <v>22</v>
      </c>
      <c r="W54" s="14">
        <v>104.98</v>
      </c>
      <c r="X54" s="14">
        <v>236.6</v>
      </c>
      <c r="Y54" s="16">
        <v>5</v>
      </c>
      <c r="Z54" s="12">
        <v>674.31</v>
      </c>
      <c r="AA54" s="5">
        <v>359.37</v>
      </c>
      <c r="AB54" s="18">
        <v>53.29</v>
      </c>
      <c r="AC54" t="s">
        <v>111</v>
      </c>
      <c r="AD54" t="s">
        <v>158</v>
      </c>
      <c r="AE54" t="s">
        <v>68</v>
      </c>
      <c r="AF54">
        <v>5</v>
      </c>
      <c r="AG54" t="s">
        <v>53</v>
      </c>
    </row>
    <row r="55" spans="1:33">
      <c r="A55" t="s">
        <v>261</v>
      </c>
      <c r="B55" s="10">
        <v>45852</v>
      </c>
      <c r="C55" s="3" t="s">
        <v>88</v>
      </c>
      <c r="D55" t="s">
        <v>206</v>
      </c>
      <c r="E55" t="s">
        <v>114</v>
      </c>
      <c r="F55" t="s">
        <v>73</v>
      </c>
      <c r="G55" t="s">
        <v>74</v>
      </c>
      <c r="H55" t="s">
        <v>133</v>
      </c>
      <c r="I55" t="s">
        <v>134</v>
      </c>
      <c r="J55" t="s">
        <v>135</v>
      </c>
      <c r="K55" t="s">
        <v>42</v>
      </c>
      <c r="L55" t="s">
        <v>262</v>
      </c>
      <c r="M55" t="s">
        <v>80</v>
      </c>
      <c r="N55" t="s">
        <v>110</v>
      </c>
      <c r="O55" t="s">
        <v>101</v>
      </c>
      <c r="P55" t="s">
        <v>102</v>
      </c>
      <c r="Q55" t="s">
        <v>103</v>
      </c>
      <c r="R55" t="s">
        <v>49</v>
      </c>
      <c r="S55">
        <v>2</v>
      </c>
      <c r="T55" s="14">
        <v>62.58</v>
      </c>
      <c r="U55" s="7">
        <v>12</v>
      </c>
      <c r="V55" s="7">
        <v>22</v>
      </c>
      <c r="W55" s="14">
        <v>96.58</v>
      </c>
      <c r="X55" s="14">
        <v>208.6</v>
      </c>
      <c r="Y55" s="16">
        <v>10</v>
      </c>
      <c r="Z55" s="12">
        <v>375.48</v>
      </c>
      <c r="AA55" s="5">
        <v>182.32</v>
      </c>
      <c r="AB55" s="18">
        <v>48.56</v>
      </c>
      <c r="AC55" t="s">
        <v>50</v>
      </c>
      <c r="AD55" t="s">
        <v>158</v>
      </c>
      <c r="AE55" t="s">
        <v>52</v>
      </c>
      <c r="AF55">
        <v>3</v>
      </c>
      <c r="AG55" t="s">
        <v>53</v>
      </c>
    </row>
    <row r="56" spans="1:33">
      <c r="A56" t="s">
        <v>263</v>
      </c>
      <c r="B56" s="10">
        <v>45980</v>
      </c>
      <c r="C56" s="3" t="s">
        <v>160</v>
      </c>
      <c r="D56" t="s">
        <v>129</v>
      </c>
      <c r="E56" t="s">
        <v>57</v>
      </c>
      <c r="F56" t="s">
        <v>37</v>
      </c>
      <c r="G56" t="s">
        <v>38</v>
      </c>
      <c r="H56" t="s">
        <v>142</v>
      </c>
      <c r="I56" t="s">
        <v>143</v>
      </c>
      <c r="J56" t="s">
        <v>144</v>
      </c>
      <c r="K56" t="s">
        <v>145</v>
      </c>
      <c r="L56" t="s">
        <v>264</v>
      </c>
      <c r="M56" t="s">
        <v>80</v>
      </c>
      <c r="N56" t="s">
        <v>81</v>
      </c>
      <c r="O56" t="s">
        <v>64</v>
      </c>
      <c r="P56" t="s">
        <v>65</v>
      </c>
      <c r="Q56" t="s">
        <v>66</v>
      </c>
      <c r="R56" t="s">
        <v>49</v>
      </c>
      <c r="S56">
        <v>2</v>
      </c>
      <c r="T56" s="14">
        <v>62.58</v>
      </c>
      <c r="U56" s="7">
        <v>12</v>
      </c>
      <c r="V56" s="7">
        <v>22</v>
      </c>
      <c r="W56" s="14">
        <v>96.58</v>
      </c>
      <c r="X56" s="14">
        <v>208.6</v>
      </c>
      <c r="Y56" s="16">
        <v>5</v>
      </c>
      <c r="Z56" s="12">
        <v>396.34</v>
      </c>
      <c r="AA56" s="5">
        <v>203.18</v>
      </c>
      <c r="AB56" s="18">
        <v>51.26</v>
      </c>
      <c r="AC56" t="s">
        <v>50</v>
      </c>
      <c r="AD56" t="s">
        <v>86</v>
      </c>
      <c r="AE56" t="s">
        <v>52</v>
      </c>
      <c r="AF56">
        <v>5</v>
      </c>
      <c r="AG56" t="s">
        <v>53</v>
      </c>
    </row>
    <row r="57" spans="1:33">
      <c r="A57" t="s">
        <v>265</v>
      </c>
      <c r="B57" s="10">
        <v>45847</v>
      </c>
      <c r="C57" s="3" t="s">
        <v>199</v>
      </c>
      <c r="D57" t="s">
        <v>129</v>
      </c>
      <c r="E57" t="s">
        <v>114</v>
      </c>
      <c r="F57" t="s">
        <v>73</v>
      </c>
      <c r="G57" t="s">
        <v>74</v>
      </c>
      <c r="H57" t="s">
        <v>133</v>
      </c>
      <c r="I57" t="s">
        <v>134</v>
      </c>
      <c r="J57" t="s">
        <v>135</v>
      </c>
      <c r="K57" t="s">
        <v>42</v>
      </c>
      <c r="L57" t="s">
        <v>266</v>
      </c>
      <c r="M57" t="s">
        <v>80</v>
      </c>
      <c r="N57" t="s">
        <v>110</v>
      </c>
      <c r="O57" t="s">
        <v>119</v>
      </c>
      <c r="P57" t="s">
        <v>120</v>
      </c>
      <c r="Q57" t="s">
        <v>103</v>
      </c>
      <c r="R57" t="s">
        <v>49</v>
      </c>
      <c r="S57">
        <v>1</v>
      </c>
      <c r="T57" s="14">
        <v>54.18</v>
      </c>
      <c r="U57" s="7">
        <v>12</v>
      </c>
      <c r="V57" s="7">
        <v>22</v>
      </c>
      <c r="W57" s="14">
        <v>88.18</v>
      </c>
      <c r="X57" s="14">
        <v>180.6</v>
      </c>
      <c r="Y57" s="16">
        <v>10</v>
      </c>
      <c r="Z57" s="12">
        <v>162.54</v>
      </c>
      <c r="AA57" s="5">
        <v>74.36</v>
      </c>
      <c r="AB57" s="18">
        <v>45.75</v>
      </c>
      <c r="AC57" t="s">
        <v>104</v>
      </c>
      <c r="AD57" t="s">
        <v>86</v>
      </c>
      <c r="AE57" t="s">
        <v>68</v>
      </c>
      <c r="AF57">
        <v>4</v>
      </c>
      <c r="AG57" t="s">
        <v>53</v>
      </c>
    </row>
    <row r="58" spans="1:33">
      <c r="A58" t="s">
        <v>267</v>
      </c>
      <c r="B58" s="10">
        <v>45863</v>
      </c>
      <c r="C58" s="3" t="s">
        <v>107</v>
      </c>
      <c r="D58" t="s">
        <v>35</v>
      </c>
      <c r="E58" t="s">
        <v>114</v>
      </c>
      <c r="F58" t="s">
        <v>73</v>
      </c>
      <c r="G58" t="s">
        <v>74</v>
      </c>
      <c r="H58" t="s">
        <v>142</v>
      </c>
      <c r="I58" t="s">
        <v>143</v>
      </c>
      <c r="J58" t="s">
        <v>144</v>
      </c>
      <c r="K58" t="s">
        <v>145</v>
      </c>
      <c r="L58" t="s">
        <v>268</v>
      </c>
      <c r="M58" t="s">
        <v>63</v>
      </c>
      <c r="N58" t="s">
        <v>110</v>
      </c>
      <c r="O58" t="s">
        <v>94</v>
      </c>
      <c r="P58" t="s">
        <v>95</v>
      </c>
      <c r="Q58" t="s">
        <v>66</v>
      </c>
      <c r="R58" t="s">
        <v>49</v>
      </c>
      <c r="S58">
        <v>3</v>
      </c>
      <c r="T58" s="14">
        <v>91.98</v>
      </c>
      <c r="U58" s="7">
        <v>12</v>
      </c>
      <c r="V58" s="7">
        <v>22</v>
      </c>
      <c r="W58" s="14">
        <v>125.98</v>
      </c>
      <c r="X58" s="14">
        <v>306.60000000000002</v>
      </c>
      <c r="Y58" s="16">
        <v>0</v>
      </c>
      <c r="Z58" s="12">
        <v>919.8</v>
      </c>
      <c r="AA58" s="5">
        <v>541.86</v>
      </c>
      <c r="AB58" s="18">
        <v>58.91</v>
      </c>
      <c r="AC58" t="s">
        <v>85</v>
      </c>
      <c r="AD58" t="s">
        <v>51</v>
      </c>
      <c r="AE58" t="s">
        <v>96</v>
      </c>
      <c r="AF58">
        <v>4</v>
      </c>
      <c r="AG58" t="s">
        <v>53</v>
      </c>
    </row>
    <row r="59" spans="1:33">
      <c r="A59" t="s">
        <v>269</v>
      </c>
      <c r="B59" s="10">
        <v>45831</v>
      </c>
      <c r="C59" s="3" t="s">
        <v>211</v>
      </c>
      <c r="D59" t="s">
        <v>206</v>
      </c>
      <c r="E59" t="s">
        <v>174</v>
      </c>
      <c r="F59" t="s">
        <v>131</v>
      </c>
      <c r="G59" t="s">
        <v>132</v>
      </c>
      <c r="H59" t="s">
        <v>115</v>
      </c>
      <c r="I59" t="s">
        <v>116</v>
      </c>
      <c r="J59" t="s">
        <v>117</v>
      </c>
      <c r="K59" t="s">
        <v>61</v>
      </c>
      <c r="L59" t="s">
        <v>270</v>
      </c>
      <c r="M59" t="s">
        <v>44</v>
      </c>
      <c r="N59" t="s">
        <v>45</v>
      </c>
      <c r="O59" t="s">
        <v>162</v>
      </c>
      <c r="P59" t="s">
        <v>163</v>
      </c>
      <c r="Q59" t="s">
        <v>48</v>
      </c>
      <c r="R59" t="s">
        <v>49</v>
      </c>
      <c r="S59">
        <v>1</v>
      </c>
      <c r="T59" s="14">
        <v>104.58</v>
      </c>
      <c r="U59" s="7">
        <v>12</v>
      </c>
      <c r="V59" s="7">
        <v>22</v>
      </c>
      <c r="W59" s="14">
        <v>138.58000000000001</v>
      </c>
      <c r="X59" s="14">
        <v>348.6</v>
      </c>
      <c r="Y59" s="16">
        <v>5</v>
      </c>
      <c r="Z59" s="12">
        <v>331.17</v>
      </c>
      <c r="AA59" s="5">
        <v>192.59</v>
      </c>
      <c r="AB59" s="18">
        <v>58.15</v>
      </c>
      <c r="AC59" t="s">
        <v>104</v>
      </c>
      <c r="AD59" t="s">
        <v>51</v>
      </c>
      <c r="AE59" t="s">
        <v>52</v>
      </c>
      <c r="AF59">
        <v>5</v>
      </c>
      <c r="AG59" t="s">
        <v>53</v>
      </c>
    </row>
    <row r="60" spans="1:33">
      <c r="A60" t="s">
        <v>271</v>
      </c>
      <c r="B60" s="10">
        <v>45699</v>
      </c>
      <c r="C60" s="3" t="s">
        <v>55</v>
      </c>
      <c r="D60" t="s">
        <v>156</v>
      </c>
      <c r="E60" t="s">
        <v>90</v>
      </c>
      <c r="F60" t="s">
        <v>91</v>
      </c>
      <c r="G60" t="s">
        <v>92</v>
      </c>
      <c r="H60" t="s">
        <v>75</v>
      </c>
      <c r="I60" t="s">
        <v>76</v>
      </c>
      <c r="J60" t="s">
        <v>77</v>
      </c>
      <c r="K60" t="s">
        <v>78</v>
      </c>
      <c r="L60" t="s">
        <v>272</v>
      </c>
      <c r="M60" t="s">
        <v>44</v>
      </c>
      <c r="N60" t="s">
        <v>45</v>
      </c>
      <c r="O60" t="s">
        <v>64</v>
      </c>
      <c r="P60" t="s">
        <v>65</v>
      </c>
      <c r="Q60" t="s">
        <v>66</v>
      </c>
      <c r="R60" t="s">
        <v>49</v>
      </c>
      <c r="S60">
        <v>1</v>
      </c>
      <c r="T60" s="14">
        <v>62.58</v>
      </c>
      <c r="U60" s="7">
        <v>12</v>
      </c>
      <c r="V60" s="7">
        <v>22</v>
      </c>
      <c r="W60" s="14">
        <v>96.58</v>
      </c>
      <c r="X60" s="14">
        <v>208.6</v>
      </c>
      <c r="Y60" s="16">
        <v>0</v>
      </c>
      <c r="Z60" s="12">
        <v>208.6</v>
      </c>
      <c r="AA60" s="5">
        <v>112.02</v>
      </c>
      <c r="AB60" s="18">
        <v>53.7</v>
      </c>
      <c r="AC60" t="s">
        <v>104</v>
      </c>
      <c r="AD60" t="s">
        <v>51</v>
      </c>
      <c r="AE60" t="s">
        <v>68</v>
      </c>
      <c r="AF60">
        <v>4</v>
      </c>
      <c r="AG60" t="s">
        <v>53</v>
      </c>
    </row>
    <row r="61" spans="1:33">
      <c r="A61" t="s">
        <v>273</v>
      </c>
      <c r="B61" s="10">
        <v>45783</v>
      </c>
      <c r="C61" s="3" t="s">
        <v>160</v>
      </c>
      <c r="D61" t="s">
        <v>156</v>
      </c>
      <c r="E61" t="s">
        <v>130</v>
      </c>
      <c r="F61" t="s">
        <v>131</v>
      </c>
      <c r="G61" t="s">
        <v>132</v>
      </c>
      <c r="H61" t="s">
        <v>75</v>
      </c>
      <c r="I61" t="s">
        <v>76</v>
      </c>
      <c r="J61" t="s">
        <v>77</v>
      </c>
      <c r="K61" t="s">
        <v>78</v>
      </c>
      <c r="L61" t="s">
        <v>274</v>
      </c>
      <c r="M61" t="s">
        <v>63</v>
      </c>
      <c r="N61" t="s">
        <v>110</v>
      </c>
      <c r="O61" t="s">
        <v>275</v>
      </c>
      <c r="P61" t="s">
        <v>276</v>
      </c>
      <c r="Q61" t="s">
        <v>125</v>
      </c>
      <c r="R61" t="s">
        <v>67</v>
      </c>
      <c r="S61">
        <v>3</v>
      </c>
      <c r="T61" s="14">
        <v>68.7</v>
      </c>
      <c r="U61" s="7">
        <v>12</v>
      </c>
      <c r="V61" s="7">
        <v>22</v>
      </c>
      <c r="W61" s="14">
        <v>102.7</v>
      </c>
      <c r="X61" s="14">
        <v>229</v>
      </c>
      <c r="Y61" s="16">
        <v>0</v>
      </c>
      <c r="Z61" s="12">
        <v>687</v>
      </c>
      <c r="AA61" s="5">
        <v>378.9</v>
      </c>
      <c r="AB61" s="18">
        <v>55.15</v>
      </c>
      <c r="AC61" t="s">
        <v>85</v>
      </c>
      <c r="AD61" t="s">
        <v>86</v>
      </c>
      <c r="AE61" t="s">
        <v>96</v>
      </c>
      <c r="AF61">
        <v>5</v>
      </c>
      <c r="AG61" t="s">
        <v>53</v>
      </c>
    </row>
    <row r="62" spans="1:33">
      <c r="A62" t="s">
        <v>277</v>
      </c>
      <c r="B62" s="10">
        <v>46002</v>
      </c>
      <c r="C62" s="3" t="s">
        <v>148</v>
      </c>
      <c r="D62" t="s">
        <v>56</v>
      </c>
      <c r="E62" t="s">
        <v>149</v>
      </c>
      <c r="F62" t="s">
        <v>37</v>
      </c>
      <c r="G62" t="s">
        <v>92</v>
      </c>
      <c r="H62" t="s">
        <v>39</v>
      </c>
      <c r="I62" t="s">
        <v>2143</v>
      </c>
      <c r="J62" t="s">
        <v>41</v>
      </c>
      <c r="K62" t="s">
        <v>42</v>
      </c>
      <c r="L62" t="s">
        <v>278</v>
      </c>
      <c r="M62" t="s">
        <v>44</v>
      </c>
      <c r="N62" t="s">
        <v>81</v>
      </c>
      <c r="O62" t="s">
        <v>64</v>
      </c>
      <c r="P62" t="s">
        <v>65</v>
      </c>
      <c r="Q62" t="s">
        <v>66</v>
      </c>
      <c r="R62" t="s">
        <v>49</v>
      </c>
      <c r="S62">
        <v>2</v>
      </c>
      <c r="T62" s="14">
        <v>62.58</v>
      </c>
      <c r="U62" s="7">
        <v>12</v>
      </c>
      <c r="V62" s="7">
        <v>22</v>
      </c>
      <c r="W62" s="14">
        <v>96.58</v>
      </c>
      <c r="X62" s="14">
        <v>208.6</v>
      </c>
      <c r="Y62" s="16">
        <v>5</v>
      </c>
      <c r="Z62" s="12">
        <v>396.34</v>
      </c>
      <c r="AA62" s="5">
        <v>203.18</v>
      </c>
      <c r="AB62" s="18">
        <v>51.26</v>
      </c>
      <c r="AC62" t="s">
        <v>111</v>
      </c>
      <c r="AD62" t="s">
        <v>158</v>
      </c>
      <c r="AE62" t="s">
        <v>52</v>
      </c>
      <c r="AF62">
        <v>4</v>
      </c>
      <c r="AG62" t="s">
        <v>53</v>
      </c>
    </row>
    <row r="63" spans="1:33">
      <c r="A63" t="s">
        <v>279</v>
      </c>
      <c r="B63" s="10">
        <v>45757</v>
      </c>
      <c r="C63" s="3" t="s">
        <v>199</v>
      </c>
      <c r="D63" t="s">
        <v>56</v>
      </c>
      <c r="E63" t="s">
        <v>280</v>
      </c>
      <c r="F63" t="s">
        <v>131</v>
      </c>
      <c r="G63" t="s">
        <v>132</v>
      </c>
      <c r="H63" t="s">
        <v>142</v>
      </c>
      <c r="I63" t="s">
        <v>143</v>
      </c>
      <c r="J63" t="s">
        <v>144</v>
      </c>
      <c r="K63" t="s">
        <v>145</v>
      </c>
      <c r="L63" t="s">
        <v>281</v>
      </c>
      <c r="M63" t="s">
        <v>63</v>
      </c>
      <c r="N63" t="s">
        <v>81</v>
      </c>
      <c r="O63" t="s">
        <v>162</v>
      </c>
      <c r="P63" t="s">
        <v>163</v>
      </c>
      <c r="Q63" t="s">
        <v>48</v>
      </c>
      <c r="R63" t="s">
        <v>49</v>
      </c>
      <c r="S63">
        <v>3</v>
      </c>
      <c r="T63" s="14">
        <v>104.58</v>
      </c>
      <c r="U63" s="7">
        <v>12</v>
      </c>
      <c r="V63" s="7">
        <v>22</v>
      </c>
      <c r="W63" s="14">
        <v>138.58000000000001</v>
      </c>
      <c r="X63" s="14">
        <v>348.6</v>
      </c>
      <c r="Y63" s="16">
        <v>0</v>
      </c>
      <c r="Z63" s="12">
        <v>1045.8</v>
      </c>
      <c r="AA63" s="5">
        <v>630.05999999999995</v>
      </c>
      <c r="AB63" s="18">
        <v>60.25</v>
      </c>
      <c r="AC63" t="s">
        <v>104</v>
      </c>
      <c r="AD63" t="s">
        <v>86</v>
      </c>
      <c r="AE63" t="s">
        <v>126</v>
      </c>
      <c r="AF63">
        <v>5</v>
      </c>
      <c r="AG63" t="s">
        <v>53</v>
      </c>
    </row>
    <row r="64" spans="1:33">
      <c r="A64" t="s">
        <v>282</v>
      </c>
      <c r="B64" s="10">
        <v>45905</v>
      </c>
      <c r="C64" s="3" t="s">
        <v>107</v>
      </c>
      <c r="D64" t="s">
        <v>35</v>
      </c>
      <c r="E64" t="s">
        <v>72</v>
      </c>
      <c r="F64" t="s">
        <v>73</v>
      </c>
      <c r="G64" t="s">
        <v>74</v>
      </c>
      <c r="H64" t="s">
        <v>75</v>
      </c>
      <c r="I64" t="s">
        <v>76</v>
      </c>
      <c r="J64" t="s">
        <v>77</v>
      </c>
      <c r="K64" t="s">
        <v>78</v>
      </c>
      <c r="L64" t="s">
        <v>283</v>
      </c>
      <c r="M64" t="s">
        <v>80</v>
      </c>
      <c r="N64" t="s">
        <v>110</v>
      </c>
      <c r="O64" t="s">
        <v>101</v>
      </c>
      <c r="P64" t="s">
        <v>102</v>
      </c>
      <c r="Q64" t="s">
        <v>103</v>
      </c>
      <c r="R64" t="s">
        <v>49</v>
      </c>
      <c r="S64">
        <v>3</v>
      </c>
      <c r="T64" s="14">
        <v>62.58</v>
      </c>
      <c r="U64" s="7">
        <v>12</v>
      </c>
      <c r="V64" s="7">
        <v>22</v>
      </c>
      <c r="W64" s="14">
        <v>96.58</v>
      </c>
      <c r="X64" s="14">
        <v>208.6</v>
      </c>
      <c r="Y64" s="16">
        <v>5</v>
      </c>
      <c r="Z64" s="12">
        <v>594.51</v>
      </c>
      <c r="AA64" s="5">
        <v>304.77</v>
      </c>
      <c r="AB64" s="18">
        <v>51.26</v>
      </c>
      <c r="AC64" t="s">
        <v>85</v>
      </c>
      <c r="AD64" t="s">
        <v>51</v>
      </c>
      <c r="AE64" t="s">
        <v>96</v>
      </c>
      <c r="AF64">
        <v>5</v>
      </c>
      <c r="AG64" t="s">
        <v>53</v>
      </c>
    </row>
    <row r="65" spans="1:33">
      <c r="A65" t="s">
        <v>284</v>
      </c>
      <c r="B65" s="10">
        <v>45861</v>
      </c>
      <c r="C65" s="3" t="s">
        <v>171</v>
      </c>
      <c r="D65" t="s">
        <v>129</v>
      </c>
      <c r="E65" t="s">
        <v>114</v>
      </c>
      <c r="F65" t="s">
        <v>73</v>
      </c>
      <c r="G65" t="s">
        <v>74</v>
      </c>
      <c r="H65" t="s">
        <v>115</v>
      </c>
      <c r="I65" t="s">
        <v>116</v>
      </c>
      <c r="J65" t="s">
        <v>117</v>
      </c>
      <c r="K65" t="s">
        <v>61</v>
      </c>
      <c r="L65" t="s">
        <v>285</v>
      </c>
      <c r="M65" t="s">
        <v>44</v>
      </c>
      <c r="N65" t="s">
        <v>45</v>
      </c>
      <c r="O65" t="s">
        <v>101</v>
      </c>
      <c r="P65" t="s">
        <v>102</v>
      </c>
      <c r="Q65" t="s">
        <v>103</v>
      </c>
      <c r="R65" t="s">
        <v>84</v>
      </c>
      <c r="S65">
        <v>3</v>
      </c>
      <c r="T65" s="14">
        <v>53.64</v>
      </c>
      <c r="U65" s="7">
        <v>12</v>
      </c>
      <c r="V65" s="7">
        <v>22</v>
      </c>
      <c r="W65" s="14">
        <v>87.64</v>
      </c>
      <c r="X65" s="14">
        <v>178.8</v>
      </c>
      <c r="Y65" s="16">
        <v>10</v>
      </c>
      <c r="Z65" s="12">
        <v>482.76</v>
      </c>
      <c r="AA65" s="5">
        <v>219.84</v>
      </c>
      <c r="AB65" s="18">
        <v>45.54</v>
      </c>
      <c r="AC65" t="s">
        <v>111</v>
      </c>
      <c r="AD65" t="s">
        <v>86</v>
      </c>
      <c r="AE65" t="s">
        <v>68</v>
      </c>
      <c r="AF65">
        <v>4</v>
      </c>
      <c r="AG65" t="s">
        <v>53</v>
      </c>
    </row>
    <row r="66" spans="1:33">
      <c r="A66" t="s">
        <v>286</v>
      </c>
      <c r="B66" s="10">
        <v>45927</v>
      </c>
      <c r="C66" s="3" t="s">
        <v>113</v>
      </c>
      <c r="D66" t="s">
        <v>71</v>
      </c>
      <c r="E66" t="s">
        <v>72</v>
      </c>
      <c r="F66" t="s">
        <v>73</v>
      </c>
      <c r="G66" t="s">
        <v>74</v>
      </c>
      <c r="H66" t="s">
        <v>75</v>
      </c>
      <c r="I66" t="s">
        <v>76</v>
      </c>
      <c r="J66" t="s">
        <v>77</v>
      </c>
      <c r="K66" t="s">
        <v>78</v>
      </c>
      <c r="L66" t="s">
        <v>287</v>
      </c>
      <c r="M66" t="s">
        <v>80</v>
      </c>
      <c r="N66" t="s">
        <v>45</v>
      </c>
      <c r="O66" t="s">
        <v>101</v>
      </c>
      <c r="P66" t="s">
        <v>102</v>
      </c>
      <c r="Q66" t="s">
        <v>103</v>
      </c>
      <c r="R66" t="s">
        <v>84</v>
      </c>
      <c r="S66">
        <v>3</v>
      </c>
      <c r="T66" s="14">
        <v>53.64</v>
      </c>
      <c r="U66" s="7">
        <v>12</v>
      </c>
      <c r="V66" s="7">
        <v>22</v>
      </c>
      <c r="W66" s="14">
        <v>87.64</v>
      </c>
      <c r="X66" s="14">
        <v>178.8</v>
      </c>
      <c r="Y66" s="16">
        <v>10</v>
      </c>
      <c r="Z66" s="12">
        <v>482.76</v>
      </c>
      <c r="AA66" s="5">
        <v>219.84</v>
      </c>
      <c r="AB66" s="18">
        <v>45.54</v>
      </c>
      <c r="AC66" t="s">
        <v>104</v>
      </c>
      <c r="AD66" t="s">
        <v>86</v>
      </c>
      <c r="AE66" t="s">
        <v>68</v>
      </c>
      <c r="AF66">
        <v>4</v>
      </c>
      <c r="AG66" t="s">
        <v>53</v>
      </c>
    </row>
    <row r="67" spans="1:33">
      <c r="A67" t="s">
        <v>288</v>
      </c>
      <c r="B67" s="10">
        <v>45733</v>
      </c>
      <c r="C67" s="3" t="s">
        <v>107</v>
      </c>
      <c r="D67" t="s">
        <v>206</v>
      </c>
      <c r="E67" t="s">
        <v>108</v>
      </c>
      <c r="F67" t="s">
        <v>91</v>
      </c>
      <c r="G67" t="s">
        <v>38</v>
      </c>
      <c r="H67" t="s">
        <v>58</v>
      </c>
      <c r="I67" t="s">
        <v>59</v>
      </c>
      <c r="J67" t="s">
        <v>60</v>
      </c>
      <c r="K67" t="s">
        <v>61</v>
      </c>
      <c r="L67" t="s">
        <v>289</v>
      </c>
      <c r="M67" t="s">
        <v>63</v>
      </c>
      <c r="N67" t="s">
        <v>45</v>
      </c>
      <c r="O67" t="s">
        <v>94</v>
      </c>
      <c r="P67" t="s">
        <v>95</v>
      </c>
      <c r="Q67" t="s">
        <v>66</v>
      </c>
      <c r="R67" t="s">
        <v>49</v>
      </c>
      <c r="S67">
        <v>1</v>
      </c>
      <c r="T67" s="14">
        <v>91.98</v>
      </c>
      <c r="U67" s="7">
        <v>12</v>
      </c>
      <c r="V67" s="7">
        <v>22</v>
      </c>
      <c r="W67" s="14">
        <v>125.98</v>
      </c>
      <c r="X67" s="14">
        <v>306.60000000000002</v>
      </c>
      <c r="Y67" s="16">
        <v>10</v>
      </c>
      <c r="Z67" s="12">
        <v>275.94</v>
      </c>
      <c r="AA67" s="5">
        <v>149.96</v>
      </c>
      <c r="AB67" s="18">
        <v>54.35</v>
      </c>
      <c r="AC67" t="s">
        <v>111</v>
      </c>
      <c r="AD67" t="s">
        <v>158</v>
      </c>
      <c r="AE67" t="s">
        <v>96</v>
      </c>
      <c r="AF67">
        <v>4</v>
      </c>
      <c r="AG67" t="s">
        <v>53</v>
      </c>
    </row>
    <row r="68" spans="1:33">
      <c r="A68" t="s">
        <v>290</v>
      </c>
      <c r="B68" s="10">
        <v>45746</v>
      </c>
      <c r="C68" s="3" t="s">
        <v>55</v>
      </c>
      <c r="D68" t="s">
        <v>89</v>
      </c>
      <c r="E68" t="s">
        <v>108</v>
      </c>
      <c r="F68" t="s">
        <v>91</v>
      </c>
      <c r="G68" t="s">
        <v>38</v>
      </c>
      <c r="H68" t="s">
        <v>115</v>
      </c>
      <c r="I68" t="s">
        <v>116</v>
      </c>
      <c r="J68" t="s">
        <v>117</v>
      </c>
      <c r="K68" t="s">
        <v>61</v>
      </c>
      <c r="L68" t="s">
        <v>291</v>
      </c>
      <c r="M68" t="s">
        <v>44</v>
      </c>
      <c r="N68" t="s">
        <v>110</v>
      </c>
      <c r="O68" t="s">
        <v>82</v>
      </c>
      <c r="P68" t="s">
        <v>83</v>
      </c>
      <c r="Q68" t="s">
        <v>66</v>
      </c>
      <c r="R68" t="s">
        <v>49</v>
      </c>
      <c r="S68">
        <v>2</v>
      </c>
      <c r="T68" s="14">
        <v>100.38</v>
      </c>
      <c r="U68" s="7">
        <v>12</v>
      </c>
      <c r="V68" s="7">
        <v>22</v>
      </c>
      <c r="W68" s="14">
        <v>134.38</v>
      </c>
      <c r="X68" s="14">
        <v>334.6</v>
      </c>
      <c r="Y68" s="16">
        <v>10</v>
      </c>
      <c r="Z68" s="12">
        <v>602.28</v>
      </c>
      <c r="AA68" s="5">
        <v>333.52</v>
      </c>
      <c r="AB68" s="18">
        <v>55.38</v>
      </c>
      <c r="AC68" t="s">
        <v>104</v>
      </c>
      <c r="AD68" t="s">
        <v>51</v>
      </c>
      <c r="AE68" t="s">
        <v>68</v>
      </c>
      <c r="AF68">
        <v>5</v>
      </c>
      <c r="AG68" t="s">
        <v>53</v>
      </c>
    </row>
    <row r="69" spans="1:33">
      <c r="A69" t="s">
        <v>292</v>
      </c>
      <c r="B69" s="10">
        <v>45790</v>
      </c>
      <c r="C69" s="3" t="s">
        <v>211</v>
      </c>
      <c r="D69" t="s">
        <v>156</v>
      </c>
      <c r="E69" t="s">
        <v>130</v>
      </c>
      <c r="F69" t="s">
        <v>131</v>
      </c>
      <c r="G69" t="s">
        <v>132</v>
      </c>
      <c r="H69" t="s">
        <v>58</v>
      </c>
      <c r="I69" t="s">
        <v>59</v>
      </c>
      <c r="J69" t="s">
        <v>60</v>
      </c>
      <c r="K69" t="s">
        <v>61</v>
      </c>
      <c r="L69" t="s">
        <v>293</v>
      </c>
      <c r="M69" t="s">
        <v>80</v>
      </c>
      <c r="N69" t="s">
        <v>81</v>
      </c>
      <c r="O69" t="s">
        <v>46</v>
      </c>
      <c r="P69" t="s">
        <v>47</v>
      </c>
      <c r="Q69" t="s">
        <v>48</v>
      </c>
      <c r="R69" t="s">
        <v>84</v>
      </c>
      <c r="S69">
        <v>1</v>
      </c>
      <c r="T69" s="14">
        <v>93.24</v>
      </c>
      <c r="U69" s="7">
        <v>12</v>
      </c>
      <c r="V69" s="7">
        <v>22</v>
      </c>
      <c r="W69" s="14">
        <v>127.24</v>
      </c>
      <c r="X69" s="14">
        <v>310.8</v>
      </c>
      <c r="Y69" s="16">
        <v>5</v>
      </c>
      <c r="Z69" s="12">
        <v>295.26</v>
      </c>
      <c r="AA69" s="5">
        <v>168.02</v>
      </c>
      <c r="AB69" s="18">
        <v>56.91</v>
      </c>
      <c r="AC69" t="s">
        <v>85</v>
      </c>
      <c r="AD69" t="s">
        <v>51</v>
      </c>
      <c r="AE69" t="s">
        <v>105</v>
      </c>
      <c r="AF69">
        <v>5</v>
      </c>
      <c r="AG69" t="s">
        <v>53</v>
      </c>
    </row>
    <row r="70" spans="1:33">
      <c r="A70" t="s">
        <v>294</v>
      </c>
      <c r="B70" s="10">
        <v>45720</v>
      </c>
      <c r="C70" s="3" t="s">
        <v>128</v>
      </c>
      <c r="D70" t="s">
        <v>156</v>
      </c>
      <c r="E70" t="s">
        <v>108</v>
      </c>
      <c r="F70" t="s">
        <v>91</v>
      </c>
      <c r="G70" t="s">
        <v>38</v>
      </c>
      <c r="H70" t="s">
        <v>75</v>
      </c>
      <c r="I70" t="s">
        <v>76</v>
      </c>
      <c r="J70" t="s">
        <v>77</v>
      </c>
      <c r="K70" t="s">
        <v>78</v>
      </c>
      <c r="L70" t="s">
        <v>295</v>
      </c>
      <c r="M70" t="s">
        <v>63</v>
      </c>
      <c r="N70" t="s">
        <v>45</v>
      </c>
      <c r="O70" t="s">
        <v>137</v>
      </c>
      <c r="P70" t="s">
        <v>138</v>
      </c>
      <c r="Q70" t="s">
        <v>139</v>
      </c>
      <c r="R70" t="s">
        <v>84</v>
      </c>
      <c r="S70">
        <v>2</v>
      </c>
      <c r="T70" s="14">
        <v>71.64</v>
      </c>
      <c r="U70" s="7">
        <v>12</v>
      </c>
      <c r="V70" s="7">
        <v>22</v>
      </c>
      <c r="W70" s="14">
        <v>105.64</v>
      </c>
      <c r="X70" s="14">
        <v>238.8</v>
      </c>
      <c r="Y70" s="16">
        <v>0</v>
      </c>
      <c r="Z70" s="12">
        <v>477.6</v>
      </c>
      <c r="AA70" s="5">
        <v>266.32</v>
      </c>
      <c r="AB70" s="18">
        <v>55.76</v>
      </c>
      <c r="AC70" t="s">
        <v>50</v>
      </c>
      <c r="AD70" t="s">
        <v>158</v>
      </c>
      <c r="AE70" t="s">
        <v>126</v>
      </c>
      <c r="AF70">
        <v>5</v>
      </c>
      <c r="AG70" t="s">
        <v>53</v>
      </c>
    </row>
    <row r="71" spans="1:33">
      <c r="A71" t="s">
        <v>296</v>
      </c>
      <c r="B71" s="10">
        <v>45810</v>
      </c>
      <c r="C71" s="3" t="s">
        <v>148</v>
      </c>
      <c r="D71" t="s">
        <v>206</v>
      </c>
      <c r="E71" t="s">
        <v>174</v>
      </c>
      <c r="F71" t="s">
        <v>131</v>
      </c>
      <c r="G71" t="s">
        <v>132</v>
      </c>
      <c r="H71" t="s">
        <v>58</v>
      </c>
      <c r="I71" t="s">
        <v>59</v>
      </c>
      <c r="J71" t="s">
        <v>60</v>
      </c>
      <c r="K71" t="s">
        <v>61</v>
      </c>
      <c r="L71" t="s">
        <v>297</v>
      </c>
      <c r="M71" t="s">
        <v>80</v>
      </c>
      <c r="N71" t="s">
        <v>110</v>
      </c>
      <c r="O71" t="s">
        <v>94</v>
      </c>
      <c r="P71" t="s">
        <v>95</v>
      </c>
      <c r="Q71" t="s">
        <v>66</v>
      </c>
      <c r="R71" t="s">
        <v>49</v>
      </c>
      <c r="S71">
        <v>1</v>
      </c>
      <c r="T71" s="14">
        <v>91.98</v>
      </c>
      <c r="U71" s="7">
        <v>12</v>
      </c>
      <c r="V71" s="7">
        <v>22</v>
      </c>
      <c r="W71" s="14">
        <v>125.98</v>
      </c>
      <c r="X71" s="14">
        <v>306.60000000000002</v>
      </c>
      <c r="Y71" s="16">
        <v>0</v>
      </c>
      <c r="Z71" s="12">
        <v>306.60000000000002</v>
      </c>
      <c r="AA71" s="5">
        <v>180.62</v>
      </c>
      <c r="AB71" s="18">
        <v>58.91</v>
      </c>
      <c r="AC71" t="s">
        <v>50</v>
      </c>
      <c r="AD71" t="s">
        <v>86</v>
      </c>
      <c r="AE71" t="s">
        <v>126</v>
      </c>
      <c r="AF71">
        <v>4</v>
      </c>
      <c r="AG71" t="s">
        <v>53</v>
      </c>
    </row>
    <row r="72" spans="1:33">
      <c r="A72" t="s">
        <v>298</v>
      </c>
      <c r="B72" s="10">
        <v>45914</v>
      </c>
      <c r="C72" s="3" t="s">
        <v>34</v>
      </c>
      <c r="D72" t="s">
        <v>89</v>
      </c>
      <c r="E72" t="s">
        <v>72</v>
      </c>
      <c r="F72" t="s">
        <v>73</v>
      </c>
      <c r="G72" t="s">
        <v>74</v>
      </c>
      <c r="H72" t="s">
        <v>75</v>
      </c>
      <c r="I72" t="s">
        <v>76</v>
      </c>
      <c r="J72" t="s">
        <v>77</v>
      </c>
      <c r="K72" t="s">
        <v>78</v>
      </c>
      <c r="L72" t="s">
        <v>299</v>
      </c>
      <c r="M72" t="s">
        <v>44</v>
      </c>
      <c r="N72" t="s">
        <v>81</v>
      </c>
      <c r="O72" t="s">
        <v>275</v>
      </c>
      <c r="P72" t="s">
        <v>276</v>
      </c>
      <c r="Q72" t="s">
        <v>125</v>
      </c>
      <c r="R72" t="s">
        <v>49</v>
      </c>
      <c r="S72">
        <v>2</v>
      </c>
      <c r="T72" s="14">
        <v>96.18</v>
      </c>
      <c r="U72" s="7">
        <v>12</v>
      </c>
      <c r="V72" s="7">
        <v>22</v>
      </c>
      <c r="W72" s="14">
        <v>130.18</v>
      </c>
      <c r="X72" s="14">
        <v>320.60000000000002</v>
      </c>
      <c r="Y72" s="16">
        <v>10</v>
      </c>
      <c r="Z72" s="12">
        <v>577.08000000000004</v>
      </c>
      <c r="AA72" s="5">
        <v>316.72000000000003</v>
      </c>
      <c r="AB72" s="18">
        <v>54.88</v>
      </c>
      <c r="AC72" t="s">
        <v>85</v>
      </c>
      <c r="AD72" t="s">
        <v>51</v>
      </c>
      <c r="AE72" t="s">
        <v>105</v>
      </c>
      <c r="AF72">
        <v>5</v>
      </c>
      <c r="AG72" t="s">
        <v>53</v>
      </c>
    </row>
    <row r="73" spans="1:33">
      <c r="A73" t="s">
        <v>300</v>
      </c>
      <c r="B73" s="10">
        <v>45920</v>
      </c>
      <c r="C73" s="3" t="s">
        <v>211</v>
      </c>
      <c r="D73" t="s">
        <v>71</v>
      </c>
      <c r="E73" t="s">
        <v>72</v>
      </c>
      <c r="F73" t="s">
        <v>73</v>
      </c>
      <c r="G73" t="s">
        <v>74</v>
      </c>
      <c r="H73" t="s">
        <v>133</v>
      </c>
      <c r="I73" t="s">
        <v>134</v>
      </c>
      <c r="J73" t="s">
        <v>135</v>
      </c>
      <c r="K73" t="s">
        <v>42</v>
      </c>
      <c r="L73" t="s">
        <v>301</v>
      </c>
      <c r="M73" t="s">
        <v>80</v>
      </c>
      <c r="N73" t="s">
        <v>45</v>
      </c>
      <c r="O73" t="s">
        <v>176</v>
      </c>
      <c r="P73" t="s">
        <v>177</v>
      </c>
      <c r="Q73" t="s">
        <v>66</v>
      </c>
      <c r="R73" t="s">
        <v>67</v>
      </c>
      <c r="S73">
        <v>4</v>
      </c>
      <c r="T73" s="14">
        <v>50.7</v>
      </c>
      <c r="U73" s="7">
        <v>12</v>
      </c>
      <c r="V73" s="7">
        <v>22</v>
      </c>
      <c r="W73" s="14">
        <v>84.7</v>
      </c>
      <c r="X73" s="14">
        <v>169</v>
      </c>
      <c r="Y73" s="16">
        <v>10</v>
      </c>
      <c r="Z73" s="12">
        <v>608.4</v>
      </c>
      <c r="AA73" s="5">
        <v>269.60000000000002</v>
      </c>
      <c r="AB73" s="18">
        <v>44.31</v>
      </c>
      <c r="AC73" t="s">
        <v>104</v>
      </c>
      <c r="AD73" t="s">
        <v>158</v>
      </c>
      <c r="AE73" t="s">
        <v>105</v>
      </c>
      <c r="AF73">
        <v>5</v>
      </c>
      <c r="AG73" t="s">
        <v>53</v>
      </c>
    </row>
    <row r="74" spans="1:33">
      <c r="A74" t="s">
        <v>302</v>
      </c>
      <c r="B74" s="10">
        <v>45875</v>
      </c>
      <c r="C74" s="3" t="s">
        <v>70</v>
      </c>
      <c r="D74" t="s">
        <v>129</v>
      </c>
      <c r="E74" t="s">
        <v>99</v>
      </c>
      <c r="F74" t="s">
        <v>73</v>
      </c>
      <c r="G74" t="s">
        <v>74</v>
      </c>
      <c r="H74" t="s">
        <v>75</v>
      </c>
      <c r="I74" t="s">
        <v>76</v>
      </c>
      <c r="J74" t="s">
        <v>77</v>
      </c>
      <c r="K74" t="s">
        <v>78</v>
      </c>
      <c r="L74" t="s">
        <v>303</v>
      </c>
      <c r="M74" t="s">
        <v>63</v>
      </c>
      <c r="N74" t="s">
        <v>81</v>
      </c>
      <c r="O74" t="s">
        <v>64</v>
      </c>
      <c r="P74" t="s">
        <v>65</v>
      </c>
      <c r="Q74" t="s">
        <v>66</v>
      </c>
      <c r="R74" t="s">
        <v>84</v>
      </c>
      <c r="S74">
        <v>3</v>
      </c>
      <c r="T74" s="14">
        <v>53.64</v>
      </c>
      <c r="U74" s="7">
        <v>12</v>
      </c>
      <c r="V74" s="7">
        <v>22</v>
      </c>
      <c r="W74" s="14">
        <v>87.64</v>
      </c>
      <c r="X74" s="14">
        <v>178.8</v>
      </c>
      <c r="Y74" s="16">
        <v>0</v>
      </c>
      <c r="Z74" s="12">
        <v>536.4</v>
      </c>
      <c r="AA74" s="5">
        <v>273.48</v>
      </c>
      <c r="AB74" s="18">
        <v>50.98</v>
      </c>
      <c r="AC74" t="s">
        <v>85</v>
      </c>
      <c r="AD74" t="s">
        <v>51</v>
      </c>
      <c r="AE74" t="s">
        <v>96</v>
      </c>
      <c r="AF74">
        <v>5</v>
      </c>
      <c r="AG74" t="s">
        <v>53</v>
      </c>
    </row>
    <row r="75" spans="1:33">
      <c r="A75" t="s">
        <v>304</v>
      </c>
      <c r="B75" s="10">
        <v>45747</v>
      </c>
      <c r="C75" s="3" t="s">
        <v>55</v>
      </c>
      <c r="D75" t="s">
        <v>206</v>
      </c>
      <c r="E75" t="s">
        <v>108</v>
      </c>
      <c r="F75" t="s">
        <v>91</v>
      </c>
      <c r="G75" t="s">
        <v>38</v>
      </c>
      <c r="H75" t="s">
        <v>58</v>
      </c>
      <c r="I75" t="s">
        <v>59</v>
      </c>
      <c r="J75" t="s">
        <v>60</v>
      </c>
      <c r="K75" t="s">
        <v>61</v>
      </c>
      <c r="L75" t="s">
        <v>305</v>
      </c>
      <c r="M75" t="s">
        <v>80</v>
      </c>
      <c r="N75" t="s">
        <v>45</v>
      </c>
      <c r="O75" t="s">
        <v>168</v>
      </c>
      <c r="P75" t="s">
        <v>169</v>
      </c>
      <c r="Q75" t="s">
        <v>139</v>
      </c>
      <c r="R75" t="s">
        <v>67</v>
      </c>
      <c r="S75">
        <v>3</v>
      </c>
      <c r="T75" s="14">
        <v>47.7</v>
      </c>
      <c r="U75" s="7">
        <v>12</v>
      </c>
      <c r="V75" s="7">
        <v>22</v>
      </c>
      <c r="W75" s="14">
        <v>81.7</v>
      </c>
      <c r="X75" s="14">
        <v>159</v>
      </c>
      <c r="Y75" s="16">
        <v>10</v>
      </c>
      <c r="Z75" s="12">
        <v>429.3</v>
      </c>
      <c r="AA75" s="5">
        <v>184.2</v>
      </c>
      <c r="AB75" s="18">
        <v>42.91</v>
      </c>
      <c r="AC75" t="s">
        <v>104</v>
      </c>
      <c r="AD75" t="s">
        <v>158</v>
      </c>
      <c r="AE75" t="s">
        <v>68</v>
      </c>
      <c r="AF75">
        <v>4</v>
      </c>
      <c r="AG75" t="s">
        <v>53</v>
      </c>
    </row>
    <row r="76" spans="1:33">
      <c r="A76" t="s">
        <v>306</v>
      </c>
      <c r="B76" s="10">
        <v>45965</v>
      </c>
      <c r="C76" s="3" t="s">
        <v>307</v>
      </c>
      <c r="D76" t="s">
        <v>156</v>
      </c>
      <c r="E76" t="s">
        <v>57</v>
      </c>
      <c r="F76" t="s">
        <v>37</v>
      </c>
      <c r="G76" t="s">
        <v>38</v>
      </c>
      <c r="H76" t="s">
        <v>133</v>
      </c>
      <c r="I76" t="s">
        <v>134</v>
      </c>
      <c r="J76" t="s">
        <v>135</v>
      </c>
      <c r="K76" t="s">
        <v>42</v>
      </c>
      <c r="L76" t="s">
        <v>308</v>
      </c>
      <c r="M76" t="s">
        <v>44</v>
      </c>
      <c r="N76" t="s">
        <v>110</v>
      </c>
      <c r="O76" t="s">
        <v>64</v>
      </c>
      <c r="P76" t="s">
        <v>65</v>
      </c>
      <c r="Q76" t="s">
        <v>66</v>
      </c>
      <c r="R76" t="s">
        <v>84</v>
      </c>
      <c r="S76">
        <v>1</v>
      </c>
      <c r="T76" s="14">
        <v>53.64</v>
      </c>
      <c r="U76" s="7">
        <v>12</v>
      </c>
      <c r="V76" s="7">
        <v>22</v>
      </c>
      <c r="W76" s="14">
        <v>87.64</v>
      </c>
      <c r="X76" s="14">
        <v>178.8</v>
      </c>
      <c r="Y76" s="16">
        <v>0</v>
      </c>
      <c r="Z76" s="12">
        <v>178.8</v>
      </c>
      <c r="AA76" s="5">
        <v>91.16</v>
      </c>
      <c r="AB76" s="18">
        <v>50.98</v>
      </c>
      <c r="AC76" t="s">
        <v>85</v>
      </c>
      <c r="AD76" t="s">
        <v>86</v>
      </c>
      <c r="AE76" t="s">
        <v>52</v>
      </c>
      <c r="AF76">
        <v>5</v>
      </c>
      <c r="AG76" t="s">
        <v>53</v>
      </c>
    </row>
    <row r="77" spans="1:33">
      <c r="A77" t="s">
        <v>309</v>
      </c>
      <c r="B77" s="10">
        <v>45919</v>
      </c>
      <c r="C77" s="3" t="s">
        <v>310</v>
      </c>
      <c r="D77" t="s">
        <v>35</v>
      </c>
      <c r="E77" t="s">
        <v>72</v>
      </c>
      <c r="F77" t="s">
        <v>73</v>
      </c>
      <c r="G77" t="s">
        <v>74</v>
      </c>
      <c r="H77" t="s">
        <v>58</v>
      </c>
      <c r="I77" t="s">
        <v>59</v>
      </c>
      <c r="J77" t="s">
        <v>60</v>
      </c>
      <c r="K77" t="s">
        <v>61</v>
      </c>
      <c r="L77" t="s">
        <v>311</v>
      </c>
      <c r="M77" t="s">
        <v>80</v>
      </c>
      <c r="N77" t="s">
        <v>45</v>
      </c>
      <c r="O77" t="s">
        <v>176</v>
      </c>
      <c r="P77" t="s">
        <v>177</v>
      </c>
      <c r="Q77" t="s">
        <v>66</v>
      </c>
      <c r="R77" t="s">
        <v>67</v>
      </c>
      <c r="S77">
        <v>3</v>
      </c>
      <c r="T77" s="14">
        <v>50.7</v>
      </c>
      <c r="U77" s="7">
        <v>12</v>
      </c>
      <c r="V77" s="7">
        <v>22</v>
      </c>
      <c r="W77" s="14">
        <v>84.7</v>
      </c>
      <c r="X77" s="14">
        <v>169</v>
      </c>
      <c r="Y77" s="16">
        <v>0</v>
      </c>
      <c r="Z77" s="12">
        <v>507</v>
      </c>
      <c r="AA77" s="5">
        <v>252.9</v>
      </c>
      <c r="AB77" s="18">
        <v>49.88</v>
      </c>
      <c r="AC77" t="s">
        <v>85</v>
      </c>
      <c r="AD77" t="s">
        <v>51</v>
      </c>
      <c r="AE77" t="s">
        <v>126</v>
      </c>
      <c r="AF77">
        <v>5</v>
      </c>
      <c r="AG77" t="s">
        <v>53</v>
      </c>
    </row>
    <row r="78" spans="1:33">
      <c r="A78" t="s">
        <v>312</v>
      </c>
      <c r="B78" s="10">
        <v>45700</v>
      </c>
      <c r="C78" s="3" t="s">
        <v>113</v>
      </c>
      <c r="D78" t="s">
        <v>129</v>
      </c>
      <c r="E78" t="s">
        <v>90</v>
      </c>
      <c r="F78" t="s">
        <v>91</v>
      </c>
      <c r="G78" t="s">
        <v>92</v>
      </c>
      <c r="H78" t="s">
        <v>58</v>
      </c>
      <c r="I78" t="s">
        <v>59</v>
      </c>
      <c r="J78" t="s">
        <v>60</v>
      </c>
      <c r="K78" t="s">
        <v>61</v>
      </c>
      <c r="L78" t="s">
        <v>313</v>
      </c>
      <c r="M78" t="s">
        <v>44</v>
      </c>
      <c r="N78" t="s">
        <v>110</v>
      </c>
      <c r="O78" t="s">
        <v>176</v>
      </c>
      <c r="P78" t="s">
        <v>177</v>
      </c>
      <c r="Q78" t="s">
        <v>66</v>
      </c>
      <c r="R78" t="s">
        <v>49</v>
      </c>
      <c r="S78">
        <v>1</v>
      </c>
      <c r="T78" s="14">
        <v>70.98</v>
      </c>
      <c r="U78" s="7">
        <v>12</v>
      </c>
      <c r="V78" s="7">
        <v>22</v>
      </c>
      <c r="W78" s="14">
        <v>104.98</v>
      </c>
      <c r="X78" s="14">
        <v>236.6</v>
      </c>
      <c r="Y78" s="16">
        <v>0</v>
      </c>
      <c r="Z78" s="12">
        <v>236.6</v>
      </c>
      <c r="AA78" s="5">
        <v>131.62</v>
      </c>
      <c r="AB78" s="18">
        <v>55.63</v>
      </c>
      <c r="AC78" t="s">
        <v>50</v>
      </c>
      <c r="AD78" t="s">
        <v>86</v>
      </c>
      <c r="AE78" t="s">
        <v>105</v>
      </c>
      <c r="AF78">
        <v>5</v>
      </c>
      <c r="AG78" t="s">
        <v>53</v>
      </c>
    </row>
    <row r="79" spans="1:33">
      <c r="A79" t="s">
        <v>314</v>
      </c>
      <c r="B79" s="10">
        <v>45784</v>
      </c>
      <c r="C79" s="3" t="s">
        <v>160</v>
      </c>
      <c r="D79" t="s">
        <v>129</v>
      </c>
      <c r="E79" t="s">
        <v>130</v>
      </c>
      <c r="F79" t="s">
        <v>131</v>
      </c>
      <c r="G79" t="s">
        <v>132</v>
      </c>
      <c r="H79" t="s">
        <v>142</v>
      </c>
      <c r="I79" t="s">
        <v>143</v>
      </c>
      <c r="J79" t="s">
        <v>144</v>
      </c>
      <c r="K79" t="s">
        <v>145</v>
      </c>
      <c r="L79" t="s">
        <v>315</v>
      </c>
      <c r="M79" t="s">
        <v>80</v>
      </c>
      <c r="N79" t="s">
        <v>45</v>
      </c>
      <c r="O79" t="s">
        <v>82</v>
      </c>
      <c r="P79" t="s">
        <v>83</v>
      </c>
      <c r="Q79" t="s">
        <v>66</v>
      </c>
      <c r="R79" t="s">
        <v>67</v>
      </c>
      <c r="S79">
        <v>3</v>
      </c>
      <c r="T79" s="14">
        <v>71.7</v>
      </c>
      <c r="U79" s="7">
        <v>12</v>
      </c>
      <c r="V79" s="7">
        <v>22</v>
      </c>
      <c r="W79" s="14">
        <v>105.7</v>
      </c>
      <c r="X79" s="14">
        <v>239</v>
      </c>
      <c r="Y79" s="16">
        <v>0</v>
      </c>
      <c r="Z79" s="12">
        <v>717</v>
      </c>
      <c r="AA79" s="5">
        <v>399.9</v>
      </c>
      <c r="AB79" s="18">
        <v>55.77</v>
      </c>
      <c r="AC79" t="s">
        <v>104</v>
      </c>
      <c r="AD79" t="s">
        <v>158</v>
      </c>
      <c r="AE79" t="s">
        <v>68</v>
      </c>
      <c r="AF79">
        <v>3</v>
      </c>
      <c r="AG79" t="s">
        <v>53</v>
      </c>
    </row>
    <row r="80" spans="1:33">
      <c r="A80" t="s">
        <v>316</v>
      </c>
      <c r="B80" s="10">
        <v>45749</v>
      </c>
      <c r="C80" s="3" t="s">
        <v>211</v>
      </c>
      <c r="D80" t="s">
        <v>129</v>
      </c>
      <c r="E80" t="s">
        <v>280</v>
      </c>
      <c r="F80" t="s">
        <v>131</v>
      </c>
      <c r="G80" t="s">
        <v>132</v>
      </c>
      <c r="H80" t="s">
        <v>58</v>
      </c>
      <c r="I80" t="s">
        <v>59</v>
      </c>
      <c r="J80" t="s">
        <v>60</v>
      </c>
      <c r="K80" t="s">
        <v>61</v>
      </c>
      <c r="L80" t="s">
        <v>317</v>
      </c>
      <c r="M80" t="s">
        <v>80</v>
      </c>
      <c r="N80" t="s">
        <v>45</v>
      </c>
      <c r="O80" t="s">
        <v>64</v>
      </c>
      <c r="P80" t="s">
        <v>65</v>
      </c>
      <c r="Q80" t="s">
        <v>66</v>
      </c>
      <c r="R80" t="s">
        <v>49</v>
      </c>
      <c r="S80">
        <v>3</v>
      </c>
      <c r="T80" s="14">
        <v>62.58</v>
      </c>
      <c r="U80" s="7">
        <v>12</v>
      </c>
      <c r="V80" s="7">
        <v>22</v>
      </c>
      <c r="W80" s="14">
        <v>96.58</v>
      </c>
      <c r="X80" s="14">
        <v>208.6</v>
      </c>
      <c r="Y80" s="16">
        <v>0</v>
      </c>
      <c r="Z80" s="12">
        <v>625.79999999999995</v>
      </c>
      <c r="AA80" s="5">
        <v>336.06</v>
      </c>
      <c r="AB80" s="18">
        <v>53.7</v>
      </c>
      <c r="AC80" t="s">
        <v>104</v>
      </c>
      <c r="AD80" t="s">
        <v>51</v>
      </c>
      <c r="AE80" t="s">
        <v>105</v>
      </c>
      <c r="AF80">
        <v>4</v>
      </c>
      <c r="AG80" t="s">
        <v>53</v>
      </c>
    </row>
    <row r="81" spans="1:33">
      <c r="A81" t="s">
        <v>318</v>
      </c>
      <c r="B81" s="10">
        <v>45785</v>
      </c>
      <c r="C81" s="3" t="s">
        <v>179</v>
      </c>
      <c r="D81" t="s">
        <v>56</v>
      </c>
      <c r="E81" t="s">
        <v>130</v>
      </c>
      <c r="F81" t="s">
        <v>131</v>
      </c>
      <c r="G81" t="s">
        <v>132</v>
      </c>
      <c r="H81" t="s">
        <v>133</v>
      </c>
      <c r="I81" t="s">
        <v>134</v>
      </c>
      <c r="J81" t="s">
        <v>135</v>
      </c>
      <c r="K81" t="s">
        <v>42</v>
      </c>
      <c r="L81" t="s">
        <v>319</v>
      </c>
      <c r="M81" t="s">
        <v>63</v>
      </c>
      <c r="N81" t="s">
        <v>110</v>
      </c>
      <c r="O81" t="s">
        <v>64</v>
      </c>
      <c r="P81" t="s">
        <v>65</v>
      </c>
      <c r="Q81" t="s">
        <v>66</v>
      </c>
      <c r="R81" t="s">
        <v>84</v>
      </c>
      <c r="S81">
        <v>1</v>
      </c>
      <c r="T81" s="14">
        <v>53.64</v>
      </c>
      <c r="U81" s="7">
        <v>12</v>
      </c>
      <c r="V81" s="7">
        <v>22</v>
      </c>
      <c r="W81" s="14">
        <v>87.64</v>
      </c>
      <c r="X81" s="14">
        <v>178.8</v>
      </c>
      <c r="Y81" s="16">
        <v>5</v>
      </c>
      <c r="Z81" s="12">
        <v>169.86</v>
      </c>
      <c r="AA81" s="5">
        <v>82.22</v>
      </c>
      <c r="AB81" s="18">
        <v>48.4</v>
      </c>
      <c r="AC81" t="s">
        <v>111</v>
      </c>
      <c r="AD81" t="s">
        <v>86</v>
      </c>
      <c r="AE81" t="s">
        <v>126</v>
      </c>
      <c r="AF81">
        <v>3</v>
      </c>
      <c r="AG81" t="s">
        <v>53</v>
      </c>
    </row>
    <row r="82" spans="1:33">
      <c r="A82" t="s">
        <v>320</v>
      </c>
      <c r="B82" s="10">
        <v>46004</v>
      </c>
      <c r="C82" s="3" t="s">
        <v>34</v>
      </c>
      <c r="D82" t="s">
        <v>71</v>
      </c>
      <c r="E82" t="s">
        <v>149</v>
      </c>
      <c r="F82" t="s">
        <v>37</v>
      </c>
      <c r="G82" t="s">
        <v>92</v>
      </c>
      <c r="H82" t="s">
        <v>58</v>
      </c>
      <c r="I82" t="s">
        <v>59</v>
      </c>
      <c r="J82" t="s">
        <v>60</v>
      </c>
      <c r="K82" t="s">
        <v>61</v>
      </c>
      <c r="L82" t="s">
        <v>321</v>
      </c>
      <c r="M82" t="s">
        <v>63</v>
      </c>
      <c r="N82" t="s">
        <v>81</v>
      </c>
      <c r="O82" t="s">
        <v>213</v>
      </c>
      <c r="P82" t="s">
        <v>214</v>
      </c>
      <c r="Q82" t="s">
        <v>215</v>
      </c>
      <c r="R82" t="s">
        <v>67</v>
      </c>
      <c r="S82">
        <v>1</v>
      </c>
      <c r="T82" s="14">
        <v>89.7</v>
      </c>
      <c r="U82" s="7">
        <v>12</v>
      </c>
      <c r="V82" s="7">
        <v>22</v>
      </c>
      <c r="W82" s="14">
        <v>123.7</v>
      </c>
      <c r="X82" s="14">
        <v>299</v>
      </c>
      <c r="Y82" s="16">
        <v>10</v>
      </c>
      <c r="Z82" s="12">
        <v>269.10000000000002</v>
      </c>
      <c r="AA82" s="5">
        <v>145.4</v>
      </c>
      <c r="AB82" s="18">
        <v>54.03</v>
      </c>
      <c r="AC82" t="s">
        <v>104</v>
      </c>
      <c r="AD82" t="s">
        <v>158</v>
      </c>
      <c r="AE82" t="s">
        <v>52</v>
      </c>
      <c r="AF82">
        <v>4</v>
      </c>
      <c r="AG82" t="s">
        <v>53</v>
      </c>
    </row>
    <row r="83" spans="1:33">
      <c r="A83" t="s">
        <v>322</v>
      </c>
      <c r="B83" s="10">
        <v>45845</v>
      </c>
      <c r="C83" s="3" t="s">
        <v>98</v>
      </c>
      <c r="D83" t="s">
        <v>206</v>
      </c>
      <c r="E83" t="s">
        <v>114</v>
      </c>
      <c r="F83" t="s">
        <v>73</v>
      </c>
      <c r="G83" t="s">
        <v>74</v>
      </c>
      <c r="H83" t="s">
        <v>75</v>
      </c>
      <c r="I83" t="s">
        <v>76</v>
      </c>
      <c r="J83" t="s">
        <v>77</v>
      </c>
      <c r="K83" t="s">
        <v>78</v>
      </c>
      <c r="L83" t="s">
        <v>323</v>
      </c>
      <c r="M83" t="s">
        <v>44</v>
      </c>
      <c r="N83" t="s">
        <v>45</v>
      </c>
      <c r="O83" t="s">
        <v>94</v>
      </c>
      <c r="P83" t="s">
        <v>95</v>
      </c>
      <c r="Q83" t="s">
        <v>66</v>
      </c>
      <c r="R83" t="s">
        <v>67</v>
      </c>
      <c r="S83">
        <v>3</v>
      </c>
      <c r="T83" s="14">
        <v>65.7</v>
      </c>
      <c r="U83" s="7">
        <v>12</v>
      </c>
      <c r="V83" s="7">
        <v>22</v>
      </c>
      <c r="W83" s="14">
        <v>99.7</v>
      </c>
      <c r="X83" s="14">
        <v>219</v>
      </c>
      <c r="Y83" s="16">
        <v>10</v>
      </c>
      <c r="Z83" s="12">
        <v>591.29999999999995</v>
      </c>
      <c r="AA83" s="5">
        <v>292.2</v>
      </c>
      <c r="AB83" s="18">
        <v>49.42</v>
      </c>
      <c r="AC83" t="s">
        <v>50</v>
      </c>
      <c r="AD83" t="s">
        <v>86</v>
      </c>
      <c r="AE83" t="s">
        <v>96</v>
      </c>
      <c r="AF83">
        <v>4</v>
      </c>
      <c r="AG83" t="s">
        <v>53</v>
      </c>
    </row>
    <row r="84" spans="1:33">
      <c r="A84" t="s">
        <v>324</v>
      </c>
      <c r="B84" s="10">
        <v>46010</v>
      </c>
      <c r="C84" s="3" t="s">
        <v>98</v>
      </c>
      <c r="D84" t="s">
        <v>35</v>
      </c>
      <c r="E84" t="s">
        <v>149</v>
      </c>
      <c r="F84" t="s">
        <v>37</v>
      </c>
      <c r="G84" t="s">
        <v>92</v>
      </c>
      <c r="H84" t="s">
        <v>133</v>
      </c>
      <c r="I84" t="s">
        <v>134</v>
      </c>
      <c r="J84" t="s">
        <v>135</v>
      </c>
      <c r="K84" t="s">
        <v>42</v>
      </c>
      <c r="L84" t="s">
        <v>325</v>
      </c>
      <c r="M84" t="s">
        <v>44</v>
      </c>
      <c r="N84" t="s">
        <v>110</v>
      </c>
      <c r="O84" t="s">
        <v>82</v>
      </c>
      <c r="P84" t="s">
        <v>83</v>
      </c>
      <c r="Q84" t="s">
        <v>66</v>
      </c>
      <c r="R84" t="s">
        <v>67</v>
      </c>
      <c r="S84">
        <v>2</v>
      </c>
      <c r="T84" s="14">
        <v>71.7</v>
      </c>
      <c r="U84" s="7">
        <v>12</v>
      </c>
      <c r="V84" s="7">
        <v>22</v>
      </c>
      <c r="W84" s="14">
        <v>105.7</v>
      </c>
      <c r="X84" s="14">
        <v>239</v>
      </c>
      <c r="Y84" s="16">
        <v>0</v>
      </c>
      <c r="Z84" s="12">
        <v>478</v>
      </c>
      <c r="AA84" s="5">
        <v>266.60000000000002</v>
      </c>
      <c r="AB84" s="18">
        <v>55.77</v>
      </c>
      <c r="AC84" t="s">
        <v>104</v>
      </c>
      <c r="AD84" t="s">
        <v>51</v>
      </c>
      <c r="AE84" t="s">
        <v>52</v>
      </c>
      <c r="AF84">
        <v>5</v>
      </c>
      <c r="AG84" t="s">
        <v>53</v>
      </c>
    </row>
    <row r="85" spans="1:33">
      <c r="A85" t="s">
        <v>326</v>
      </c>
      <c r="B85" s="10">
        <v>45951</v>
      </c>
      <c r="C85" s="3" t="s">
        <v>219</v>
      </c>
      <c r="D85" t="s">
        <v>156</v>
      </c>
      <c r="E85" t="s">
        <v>36</v>
      </c>
      <c r="F85" t="s">
        <v>37</v>
      </c>
      <c r="G85" t="s">
        <v>38</v>
      </c>
      <c r="H85" t="s">
        <v>39</v>
      </c>
      <c r="I85" t="s">
        <v>2143</v>
      </c>
      <c r="J85" t="s">
        <v>41</v>
      </c>
      <c r="K85" t="s">
        <v>42</v>
      </c>
      <c r="L85" t="s">
        <v>327</v>
      </c>
      <c r="M85" t="s">
        <v>63</v>
      </c>
      <c r="N85" t="s">
        <v>110</v>
      </c>
      <c r="O85" t="s">
        <v>176</v>
      </c>
      <c r="P85" t="s">
        <v>177</v>
      </c>
      <c r="Q85" t="s">
        <v>66</v>
      </c>
      <c r="R85" t="s">
        <v>67</v>
      </c>
      <c r="S85">
        <v>3</v>
      </c>
      <c r="T85" s="14">
        <v>50.7</v>
      </c>
      <c r="U85" s="7">
        <v>12</v>
      </c>
      <c r="V85" s="7">
        <v>22</v>
      </c>
      <c r="W85" s="14">
        <v>84.7</v>
      </c>
      <c r="X85" s="14">
        <v>169</v>
      </c>
      <c r="Y85" s="16">
        <v>10</v>
      </c>
      <c r="Z85" s="12">
        <v>456.3</v>
      </c>
      <c r="AA85" s="5">
        <v>202.2</v>
      </c>
      <c r="AB85" s="18">
        <v>44.31</v>
      </c>
      <c r="AC85" t="s">
        <v>104</v>
      </c>
      <c r="AD85" t="s">
        <v>86</v>
      </c>
      <c r="AE85" t="s">
        <v>96</v>
      </c>
      <c r="AF85">
        <v>5</v>
      </c>
      <c r="AG85" t="s">
        <v>53</v>
      </c>
    </row>
    <row r="86" spans="1:33">
      <c r="A86" t="s">
        <v>328</v>
      </c>
      <c r="B86" s="10">
        <v>45859</v>
      </c>
      <c r="C86" s="3" t="s">
        <v>128</v>
      </c>
      <c r="D86" t="s">
        <v>206</v>
      </c>
      <c r="E86" t="s">
        <v>114</v>
      </c>
      <c r="F86" t="s">
        <v>73</v>
      </c>
      <c r="G86" t="s">
        <v>74</v>
      </c>
      <c r="H86" t="s">
        <v>133</v>
      </c>
      <c r="I86" t="s">
        <v>134</v>
      </c>
      <c r="J86" t="s">
        <v>135</v>
      </c>
      <c r="K86" t="s">
        <v>42</v>
      </c>
      <c r="L86" t="s">
        <v>329</v>
      </c>
      <c r="M86" t="s">
        <v>44</v>
      </c>
      <c r="N86" t="s">
        <v>81</v>
      </c>
      <c r="O86" t="s">
        <v>176</v>
      </c>
      <c r="P86" t="s">
        <v>177</v>
      </c>
      <c r="Q86" t="s">
        <v>66</v>
      </c>
      <c r="R86" t="s">
        <v>49</v>
      </c>
      <c r="S86">
        <v>3</v>
      </c>
      <c r="T86" s="14">
        <v>70.98</v>
      </c>
      <c r="U86" s="7">
        <v>12</v>
      </c>
      <c r="V86" s="7">
        <v>22</v>
      </c>
      <c r="W86" s="14">
        <v>104.98</v>
      </c>
      <c r="X86" s="14">
        <v>236.6</v>
      </c>
      <c r="Y86" s="16">
        <v>10</v>
      </c>
      <c r="Z86" s="12">
        <v>638.82000000000005</v>
      </c>
      <c r="AA86" s="5">
        <v>323.88</v>
      </c>
      <c r="AB86" s="18">
        <v>50.7</v>
      </c>
      <c r="AC86" t="s">
        <v>50</v>
      </c>
      <c r="AD86" t="s">
        <v>51</v>
      </c>
      <c r="AE86" t="s">
        <v>96</v>
      </c>
      <c r="AF86">
        <v>4</v>
      </c>
      <c r="AG86" t="s">
        <v>53</v>
      </c>
    </row>
    <row r="87" spans="1:33">
      <c r="A87" t="s">
        <v>330</v>
      </c>
      <c r="B87" s="10">
        <v>45676</v>
      </c>
      <c r="C87" s="3" t="s">
        <v>182</v>
      </c>
      <c r="D87" t="s">
        <v>89</v>
      </c>
      <c r="E87" t="s">
        <v>152</v>
      </c>
      <c r="F87" t="s">
        <v>91</v>
      </c>
      <c r="G87" t="s">
        <v>92</v>
      </c>
      <c r="H87" t="s">
        <v>75</v>
      </c>
      <c r="I87" t="s">
        <v>76</v>
      </c>
      <c r="J87" t="s">
        <v>77</v>
      </c>
      <c r="K87" t="s">
        <v>78</v>
      </c>
      <c r="L87" t="s">
        <v>331</v>
      </c>
      <c r="M87" t="s">
        <v>44</v>
      </c>
      <c r="N87" t="s">
        <v>81</v>
      </c>
      <c r="O87" t="s">
        <v>46</v>
      </c>
      <c r="P87" t="s">
        <v>47</v>
      </c>
      <c r="Q87" t="s">
        <v>48</v>
      </c>
      <c r="R87" t="s">
        <v>67</v>
      </c>
      <c r="S87">
        <v>1</v>
      </c>
      <c r="T87" s="14">
        <v>77.7</v>
      </c>
      <c r="U87" s="7">
        <v>12</v>
      </c>
      <c r="V87" s="7">
        <v>22</v>
      </c>
      <c r="W87" s="14">
        <v>111.7</v>
      </c>
      <c r="X87" s="14">
        <v>259</v>
      </c>
      <c r="Y87" s="16">
        <v>15</v>
      </c>
      <c r="Z87" s="12">
        <v>220.15</v>
      </c>
      <c r="AA87" s="5">
        <v>108.45</v>
      </c>
      <c r="AB87" s="18">
        <v>49.26</v>
      </c>
      <c r="AC87" t="s">
        <v>85</v>
      </c>
      <c r="AD87" t="s">
        <v>158</v>
      </c>
      <c r="AE87" t="s">
        <v>105</v>
      </c>
      <c r="AF87">
        <v>4</v>
      </c>
      <c r="AG87" t="s">
        <v>53</v>
      </c>
    </row>
    <row r="88" spans="1:33">
      <c r="A88" t="s">
        <v>332</v>
      </c>
      <c r="B88" s="10">
        <v>45708</v>
      </c>
      <c r="C88" s="3" t="s">
        <v>141</v>
      </c>
      <c r="D88" t="s">
        <v>56</v>
      </c>
      <c r="E88" t="s">
        <v>90</v>
      </c>
      <c r="F88" t="s">
        <v>91</v>
      </c>
      <c r="G88" t="s">
        <v>92</v>
      </c>
      <c r="H88" t="s">
        <v>58</v>
      </c>
      <c r="I88" t="s">
        <v>59</v>
      </c>
      <c r="J88" t="s">
        <v>60</v>
      </c>
      <c r="K88" t="s">
        <v>61</v>
      </c>
      <c r="L88" t="s">
        <v>333</v>
      </c>
      <c r="M88" t="s">
        <v>63</v>
      </c>
      <c r="N88" t="s">
        <v>110</v>
      </c>
      <c r="O88" t="s">
        <v>94</v>
      </c>
      <c r="P88" t="s">
        <v>95</v>
      </c>
      <c r="Q88" t="s">
        <v>66</v>
      </c>
      <c r="R88" t="s">
        <v>49</v>
      </c>
      <c r="S88">
        <v>3</v>
      </c>
      <c r="T88" s="14">
        <v>91.98</v>
      </c>
      <c r="U88" s="7">
        <v>12</v>
      </c>
      <c r="V88" s="7">
        <v>22</v>
      </c>
      <c r="W88" s="14">
        <v>125.98</v>
      </c>
      <c r="X88" s="14">
        <v>306.60000000000002</v>
      </c>
      <c r="Y88" s="16">
        <v>5</v>
      </c>
      <c r="Z88" s="12">
        <v>873.81</v>
      </c>
      <c r="AA88" s="5">
        <v>495.87</v>
      </c>
      <c r="AB88" s="18">
        <v>56.75</v>
      </c>
      <c r="AC88" t="s">
        <v>111</v>
      </c>
      <c r="AD88" t="s">
        <v>51</v>
      </c>
      <c r="AE88" t="s">
        <v>96</v>
      </c>
      <c r="AF88">
        <v>4</v>
      </c>
      <c r="AG88" t="s">
        <v>53</v>
      </c>
    </row>
    <row r="89" spans="1:33">
      <c r="A89" t="s">
        <v>334</v>
      </c>
      <c r="B89" s="10">
        <v>45869</v>
      </c>
      <c r="C89" s="3" t="s">
        <v>141</v>
      </c>
      <c r="D89" t="s">
        <v>56</v>
      </c>
      <c r="E89" t="s">
        <v>114</v>
      </c>
      <c r="F89" t="s">
        <v>73</v>
      </c>
      <c r="G89" t="s">
        <v>74</v>
      </c>
      <c r="H89" t="s">
        <v>115</v>
      </c>
      <c r="I89" t="s">
        <v>116</v>
      </c>
      <c r="J89" t="s">
        <v>117</v>
      </c>
      <c r="K89" t="s">
        <v>61</v>
      </c>
      <c r="L89" t="s">
        <v>335</v>
      </c>
      <c r="M89" t="s">
        <v>44</v>
      </c>
      <c r="N89" t="s">
        <v>81</v>
      </c>
      <c r="O89" t="s">
        <v>101</v>
      </c>
      <c r="P89" t="s">
        <v>102</v>
      </c>
      <c r="Q89" t="s">
        <v>103</v>
      </c>
      <c r="R89" t="s">
        <v>67</v>
      </c>
      <c r="S89">
        <v>1</v>
      </c>
      <c r="T89" s="14">
        <v>44.7</v>
      </c>
      <c r="U89" s="7">
        <v>12</v>
      </c>
      <c r="V89" s="7">
        <v>22</v>
      </c>
      <c r="W89" s="14">
        <v>78.7</v>
      </c>
      <c r="X89" s="14">
        <v>149</v>
      </c>
      <c r="Y89" s="16">
        <v>0</v>
      </c>
      <c r="Z89" s="12">
        <v>149</v>
      </c>
      <c r="AA89" s="5">
        <v>70.3</v>
      </c>
      <c r="AB89" s="18">
        <v>47.18</v>
      </c>
      <c r="AC89" t="s">
        <v>50</v>
      </c>
      <c r="AD89" t="s">
        <v>158</v>
      </c>
      <c r="AE89" t="s">
        <v>96</v>
      </c>
      <c r="AF89">
        <v>3</v>
      </c>
      <c r="AG89" t="s">
        <v>53</v>
      </c>
    </row>
    <row r="90" spans="1:33">
      <c r="A90" t="s">
        <v>336</v>
      </c>
      <c r="B90" s="10">
        <v>45826</v>
      </c>
      <c r="C90" s="3" t="s">
        <v>141</v>
      </c>
      <c r="D90" t="s">
        <v>129</v>
      </c>
      <c r="E90" t="s">
        <v>174</v>
      </c>
      <c r="F90" t="s">
        <v>131</v>
      </c>
      <c r="G90" t="s">
        <v>132</v>
      </c>
      <c r="H90" t="s">
        <v>133</v>
      </c>
      <c r="I90" t="s">
        <v>134</v>
      </c>
      <c r="J90" t="s">
        <v>135</v>
      </c>
      <c r="K90" t="s">
        <v>42</v>
      </c>
      <c r="L90" t="s">
        <v>337</v>
      </c>
      <c r="M90" t="s">
        <v>80</v>
      </c>
      <c r="N90" t="s">
        <v>110</v>
      </c>
      <c r="O90" t="s">
        <v>168</v>
      </c>
      <c r="P90" t="s">
        <v>169</v>
      </c>
      <c r="Q90" t="s">
        <v>139</v>
      </c>
      <c r="R90" t="s">
        <v>49</v>
      </c>
      <c r="S90">
        <v>1</v>
      </c>
      <c r="T90" s="14">
        <v>66.78</v>
      </c>
      <c r="U90" s="7">
        <v>12</v>
      </c>
      <c r="V90" s="7">
        <v>22</v>
      </c>
      <c r="W90" s="14">
        <v>100.78</v>
      </c>
      <c r="X90" s="14">
        <v>222.6</v>
      </c>
      <c r="Y90" s="16">
        <v>0</v>
      </c>
      <c r="Z90" s="12">
        <v>222.6</v>
      </c>
      <c r="AA90" s="5">
        <v>121.82</v>
      </c>
      <c r="AB90" s="18">
        <v>54.73</v>
      </c>
      <c r="AC90" t="s">
        <v>111</v>
      </c>
      <c r="AD90" t="s">
        <v>158</v>
      </c>
      <c r="AE90" t="s">
        <v>68</v>
      </c>
      <c r="AF90">
        <v>5</v>
      </c>
      <c r="AG90" t="s">
        <v>53</v>
      </c>
    </row>
    <row r="91" spans="1:33">
      <c r="A91" t="s">
        <v>338</v>
      </c>
      <c r="B91" s="10">
        <v>45833</v>
      </c>
      <c r="C91" s="3" t="s">
        <v>339</v>
      </c>
      <c r="D91" t="s">
        <v>129</v>
      </c>
      <c r="E91" t="s">
        <v>174</v>
      </c>
      <c r="F91" t="s">
        <v>131</v>
      </c>
      <c r="G91" t="s">
        <v>132</v>
      </c>
      <c r="H91" t="s">
        <v>58</v>
      </c>
      <c r="I91" t="s">
        <v>59</v>
      </c>
      <c r="J91" t="s">
        <v>60</v>
      </c>
      <c r="K91" t="s">
        <v>61</v>
      </c>
      <c r="L91" t="s">
        <v>340</v>
      </c>
      <c r="M91" t="s">
        <v>63</v>
      </c>
      <c r="N91" t="s">
        <v>45</v>
      </c>
      <c r="O91" t="s">
        <v>162</v>
      </c>
      <c r="P91" t="s">
        <v>163</v>
      </c>
      <c r="Q91" t="s">
        <v>48</v>
      </c>
      <c r="R91" t="s">
        <v>84</v>
      </c>
      <c r="S91">
        <v>1</v>
      </c>
      <c r="T91" s="14">
        <v>89.64</v>
      </c>
      <c r="U91" s="7">
        <v>12</v>
      </c>
      <c r="V91" s="7">
        <v>22</v>
      </c>
      <c r="W91" s="14">
        <v>123.64</v>
      </c>
      <c r="X91" s="14">
        <v>298.8</v>
      </c>
      <c r="Y91" s="16">
        <v>5</v>
      </c>
      <c r="Z91" s="12">
        <v>283.86</v>
      </c>
      <c r="AA91" s="5">
        <v>160.22</v>
      </c>
      <c r="AB91" s="18">
        <v>56.44</v>
      </c>
      <c r="AC91" t="s">
        <v>104</v>
      </c>
      <c r="AD91" t="s">
        <v>51</v>
      </c>
      <c r="AE91" t="s">
        <v>68</v>
      </c>
      <c r="AF91">
        <v>3</v>
      </c>
      <c r="AG91" t="s">
        <v>53</v>
      </c>
    </row>
    <row r="92" spans="1:33">
      <c r="A92" t="s">
        <v>341</v>
      </c>
      <c r="B92" s="10">
        <v>45988</v>
      </c>
      <c r="C92" s="3" t="s">
        <v>199</v>
      </c>
      <c r="D92" t="s">
        <v>56</v>
      </c>
      <c r="E92" t="s">
        <v>57</v>
      </c>
      <c r="F92" t="s">
        <v>37</v>
      </c>
      <c r="G92" t="s">
        <v>38</v>
      </c>
      <c r="H92" t="s">
        <v>39</v>
      </c>
      <c r="I92" t="s">
        <v>2143</v>
      </c>
      <c r="J92" t="s">
        <v>41</v>
      </c>
      <c r="K92" t="s">
        <v>42</v>
      </c>
      <c r="L92" t="s">
        <v>342</v>
      </c>
      <c r="M92" t="s">
        <v>63</v>
      </c>
      <c r="N92" t="s">
        <v>45</v>
      </c>
      <c r="O92" t="s">
        <v>46</v>
      </c>
      <c r="P92" t="s">
        <v>47</v>
      </c>
      <c r="Q92" t="s">
        <v>48</v>
      </c>
      <c r="R92" t="s">
        <v>67</v>
      </c>
      <c r="S92">
        <v>1</v>
      </c>
      <c r="T92" s="14">
        <v>77.7</v>
      </c>
      <c r="U92" s="7">
        <v>12</v>
      </c>
      <c r="V92" s="7">
        <v>22</v>
      </c>
      <c r="W92" s="14">
        <v>111.7</v>
      </c>
      <c r="X92" s="14">
        <v>259</v>
      </c>
      <c r="Y92" s="16">
        <v>10</v>
      </c>
      <c r="Z92" s="12">
        <v>233.1</v>
      </c>
      <c r="AA92" s="5">
        <v>121.4</v>
      </c>
      <c r="AB92" s="18">
        <v>52.08</v>
      </c>
      <c r="AC92" t="s">
        <v>85</v>
      </c>
      <c r="AD92" t="s">
        <v>51</v>
      </c>
      <c r="AE92" t="s">
        <v>126</v>
      </c>
      <c r="AF92">
        <v>5</v>
      </c>
      <c r="AG92" t="s">
        <v>53</v>
      </c>
    </row>
    <row r="93" spans="1:33">
      <c r="A93" t="s">
        <v>343</v>
      </c>
      <c r="B93" s="10">
        <v>45955</v>
      </c>
      <c r="C93" s="3" t="s">
        <v>310</v>
      </c>
      <c r="D93" t="s">
        <v>71</v>
      </c>
      <c r="E93" t="s">
        <v>36</v>
      </c>
      <c r="F93" t="s">
        <v>37</v>
      </c>
      <c r="G93" t="s">
        <v>38</v>
      </c>
      <c r="H93" t="s">
        <v>58</v>
      </c>
      <c r="I93" t="s">
        <v>59</v>
      </c>
      <c r="J93" t="s">
        <v>60</v>
      </c>
      <c r="K93" t="s">
        <v>61</v>
      </c>
      <c r="L93" t="s">
        <v>344</v>
      </c>
      <c r="M93" t="s">
        <v>80</v>
      </c>
      <c r="N93" t="s">
        <v>81</v>
      </c>
      <c r="O93" t="s">
        <v>275</v>
      </c>
      <c r="P93" t="s">
        <v>276</v>
      </c>
      <c r="Q93" t="s">
        <v>125</v>
      </c>
      <c r="R93" t="s">
        <v>67</v>
      </c>
      <c r="S93">
        <v>2</v>
      </c>
      <c r="T93" s="14">
        <v>68.7</v>
      </c>
      <c r="U93" s="7">
        <v>12</v>
      </c>
      <c r="V93" s="7">
        <v>22</v>
      </c>
      <c r="W93" s="14">
        <v>102.7</v>
      </c>
      <c r="X93" s="14">
        <v>229</v>
      </c>
      <c r="Y93" s="16">
        <v>15</v>
      </c>
      <c r="Z93" s="12">
        <v>389.3</v>
      </c>
      <c r="AA93" s="5">
        <v>183.9</v>
      </c>
      <c r="AB93" s="18">
        <v>47.24</v>
      </c>
      <c r="AC93" t="s">
        <v>50</v>
      </c>
      <c r="AD93" t="s">
        <v>158</v>
      </c>
      <c r="AE93" t="s">
        <v>68</v>
      </c>
      <c r="AF93">
        <v>5</v>
      </c>
      <c r="AG93" t="s">
        <v>53</v>
      </c>
    </row>
    <row r="94" spans="1:33">
      <c r="A94" t="s">
        <v>345</v>
      </c>
      <c r="B94" s="10">
        <v>45675</v>
      </c>
      <c r="C94" s="3" t="s">
        <v>98</v>
      </c>
      <c r="D94" t="s">
        <v>71</v>
      </c>
      <c r="E94" t="s">
        <v>152</v>
      </c>
      <c r="F94" t="s">
        <v>91</v>
      </c>
      <c r="G94" t="s">
        <v>92</v>
      </c>
      <c r="H94" t="s">
        <v>115</v>
      </c>
      <c r="I94" t="s">
        <v>116</v>
      </c>
      <c r="J94" t="s">
        <v>117</v>
      </c>
      <c r="K94" t="s">
        <v>61</v>
      </c>
      <c r="L94" t="s">
        <v>346</v>
      </c>
      <c r="M94" t="s">
        <v>63</v>
      </c>
      <c r="N94" t="s">
        <v>45</v>
      </c>
      <c r="O94" t="s">
        <v>82</v>
      </c>
      <c r="P94" t="s">
        <v>83</v>
      </c>
      <c r="Q94" t="s">
        <v>66</v>
      </c>
      <c r="R94" t="s">
        <v>49</v>
      </c>
      <c r="S94">
        <v>1</v>
      </c>
      <c r="T94" s="14">
        <v>100.38</v>
      </c>
      <c r="U94" s="7">
        <v>12</v>
      </c>
      <c r="V94" s="7">
        <v>22</v>
      </c>
      <c r="W94" s="14">
        <v>134.38</v>
      </c>
      <c r="X94" s="14">
        <v>334.6</v>
      </c>
      <c r="Y94" s="16">
        <v>15</v>
      </c>
      <c r="Z94" s="12">
        <v>284.41000000000003</v>
      </c>
      <c r="AA94" s="5">
        <v>150.03</v>
      </c>
      <c r="AB94" s="18">
        <v>52.75</v>
      </c>
      <c r="AC94" t="s">
        <v>104</v>
      </c>
      <c r="AD94" t="s">
        <v>86</v>
      </c>
      <c r="AE94" t="s">
        <v>52</v>
      </c>
      <c r="AF94">
        <v>5</v>
      </c>
      <c r="AG94" t="s">
        <v>53</v>
      </c>
    </row>
    <row r="95" spans="1:33">
      <c r="A95" t="s">
        <v>347</v>
      </c>
      <c r="B95" s="10">
        <v>45660</v>
      </c>
      <c r="C95" s="3" t="s">
        <v>98</v>
      </c>
      <c r="D95" t="s">
        <v>35</v>
      </c>
      <c r="E95" t="s">
        <v>152</v>
      </c>
      <c r="F95" t="s">
        <v>91</v>
      </c>
      <c r="G95" t="s">
        <v>92</v>
      </c>
      <c r="H95" t="s">
        <v>133</v>
      </c>
      <c r="I95" t="s">
        <v>134</v>
      </c>
      <c r="J95" t="s">
        <v>135</v>
      </c>
      <c r="K95" t="s">
        <v>42</v>
      </c>
      <c r="L95" t="s">
        <v>348</v>
      </c>
      <c r="M95" t="s">
        <v>63</v>
      </c>
      <c r="N95" t="s">
        <v>81</v>
      </c>
      <c r="O95" t="s">
        <v>64</v>
      </c>
      <c r="P95" t="s">
        <v>65</v>
      </c>
      <c r="Q95" t="s">
        <v>66</v>
      </c>
      <c r="R95" t="s">
        <v>84</v>
      </c>
      <c r="S95">
        <v>1</v>
      </c>
      <c r="T95" s="14">
        <v>53.64</v>
      </c>
      <c r="U95" s="7">
        <v>12</v>
      </c>
      <c r="V95" s="7">
        <v>22</v>
      </c>
      <c r="W95" s="14">
        <v>87.64</v>
      </c>
      <c r="X95" s="14">
        <v>178.8</v>
      </c>
      <c r="Y95" s="16">
        <v>10</v>
      </c>
      <c r="Z95" s="12">
        <v>160.91999999999999</v>
      </c>
      <c r="AA95" s="5">
        <v>73.28</v>
      </c>
      <c r="AB95" s="18">
        <v>45.54</v>
      </c>
      <c r="AC95" t="s">
        <v>85</v>
      </c>
      <c r="AD95" t="s">
        <v>86</v>
      </c>
      <c r="AE95" t="s">
        <v>96</v>
      </c>
      <c r="AF95">
        <v>4</v>
      </c>
      <c r="AG95" t="s">
        <v>53</v>
      </c>
    </row>
    <row r="96" spans="1:33">
      <c r="A96" t="s">
        <v>349</v>
      </c>
      <c r="B96" s="10">
        <v>46003</v>
      </c>
      <c r="C96" s="3" t="s">
        <v>113</v>
      </c>
      <c r="D96" t="s">
        <v>35</v>
      </c>
      <c r="E96" t="s">
        <v>149</v>
      </c>
      <c r="F96" t="s">
        <v>37</v>
      </c>
      <c r="G96" t="s">
        <v>92</v>
      </c>
      <c r="H96" t="s">
        <v>142</v>
      </c>
      <c r="I96" t="s">
        <v>143</v>
      </c>
      <c r="J96" t="s">
        <v>144</v>
      </c>
      <c r="K96" t="s">
        <v>145</v>
      </c>
      <c r="L96" t="s">
        <v>350</v>
      </c>
      <c r="M96" t="s">
        <v>80</v>
      </c>
      <c r="N96" t="s">
        <v>110</v>
      </c>
      <c r="O96" t="s">
        <v>94</v>
      </c>
      <c r="P96" t="s">
        <v>95</v>
      </c>
      <c r="Q96" t="s">
        <v>66</v>
      </c>
      <c r="R96" t="s">
        <v>84</v>
      </c>
      <c r="S96">
        <v>1</v>
      </c>
      <c r="T96" s="14">
        <v>78.84</v>
      </c>
      <c r="U96" s="7">
        <v>12</v>
      </c>
      <c r="V96" s="7">
        <v>22</v>
      </c>
      <c r="W96" s="14">
        <v>112.84</v>
      </c>
      <c r="X96" s="14">
        <v>262.8</v>
      </c>
      <c r="Y96" s="16">
        <v>10</v>
      </c>
      <c r="Z96" s="12">
        <v>236.52</v>
      </c>
      <c r="AA96" s="5">
        <v>123.68</v>
      </c>
      <c r="AB96" s="18">
        <v>52.29</v>
      </c>
      <c r="AC96" t="s">
        <v>85</v>
      </c>
      <c r="AD96" t="s">
        <v>86</v>
      </c>
      <c r="AE96" t="s">
        <v>96</v>
      </c>
      <c r="AF96">
        <v>4</v>
      </c>
      <c r="AG96" t="s">
        <v>53</v>
      </c>
    </row>
    <row r="97" spans="1:33">
      <c r="A97" t="s">
        <v>351</v>
      </c>
      <c r="B97" s="10">
        <v>45784</v>
      </c>
      <c r="C97" s="3" t="s">
        <v>182</v>
      </c>
      <c r="D97" t="s">
        <v>129</v>
      </c>
      <c r="E97" t="s">
        <v>130</v>
      </c>
      <c r="F97" t="s">
        <v>131</v>
      </c>
      <c r="G97" t="s">
        <v>132</v>
      </c>
      <c r="H97" t="s">
        <v>39</v>
      </c>
      <c r="I97" t="s">
        <v>2143</v>
      </c>
      <c r="J97" t="s">
        <v>41</v>
      </c>
      <c r="K97" t="s">
        <v>42</v>
      </c>
      <c r="L97" t="s">
        <v>352</v>
      </c>
      <c r="M97" t="s">
        <v>63</v>
      </c>
      <c r="N97" t="s">
        <v>110</v>
      </c>
      <c r="O97" t="s">
        <v>123</v>
      </c>
      <c r="P97" t="s">
        <v>124</v>
      </c>
      <c r="Q97" t="s">
        <v>125</v>
      </c>
      <c r="R97" t="s">
        <v>67</v>
      </c>
      <c r="S97">
        <v>2</v>
      </c>
      <c r="T97" s="14">
        <v>74.7</v>
      </c>
      <c r="U97" s="7">
        <v>12</v>
      </c>
      <c r="V97" s="7">
        <v>22</v>
      </c>
      <c r="W97" s="14">
        <v>108.7</v>
      </c>
      <c r="X97" s="14">
        <v>249</v>
      </c>
      <c r="Y97" s="16">
        <v>0</v>
      </c>
      <c r="Z97" s="12">
        <v>498</v>
      </c>
      <c r="AA97" s="5">
        <v>280.60000000000002</v>
      </c>
      <c r="AB97" s="18">
        <v>56.35</v>
      </c>
      <c r="AC97" t="s">
        <v>104</v>
      </c>
      <c r="AD97" t="s">
        <v>158</v>
      </c>
      <c r="AE97" t="s">
        <v>96</v>
      </c>
      <c r="AF97">
        <v>5</v>
      </c>
      <c r="AG97" t="s">
        <v>53</v>
      </c>
    </row>
    <row r="98" spans="1:33">
      <c r="A98" t="s">
        <v>353</v>
      </c>
      <c r="B98" s="10">
        <v>45960</v>
      </c>
      <c r="C98" s="3" t="s">
        <v>182</v>
      </c>
      <c r="D98" t="s">
        <v>56</v>
      </c>
      <c r="E98" t="s">
        <v>36</v>
      </c>
      <c r="F98" t="s">
        <v>37</v>
      </c>
      <c r="G98" t="s">
        <v>38</v>
      </c>
      <c r="H98" t="s">
        <v>115</v>
      </c>
      <c r="I98" t="s">
        <v>116</v>
      </c>
      <c r="J98" t="s">
        <v>117</v>
      </c>
      <c r="K98" t="s">
        <v>61</v>
      </c>
      <c r="L98" t="s">
        <v>354</v>
      </c>
      <c r="M98" t="s">
        <v>44</v>
      </c>
      <c r="N98" t="s">
        <v>81</v>
      </c>
      <c r="O98" t="s">
        <v>162</v>
      </c>
      <c r="P98" t="s">
        <v>163</v>
      </c>
      <c r="Q98" t="s">
        <v>48</v>
      </c>
      <c r="R98" t="s">
        <v>67</v>
      </c>
      <c r="S98">
        <v>3</v>
      </c>
      <c r="T98" s="14">
        <v>74.7</v>
      </c>
      <c r="U98" s="7">
        <v>12</v>
      </c>
      <c r="V98" s="7">
        <v>22</v>
      </c>
      <c r="W98" s="14">
        <v>108.7</v>
      </c>
      <c r="X98" s="14">
        <v>249</v>
      </c>
      <c r="Y98" s="16">
        <v>0</v>
      </c>
      <c r="Z98" s="12">
        <v>747</v>
      </c>
      <c r="AA98" s="5">
        <v>420.9</v>
      </c>
      <c r="AB98" s="18">
        <v>56.35</v>
      </c>
      <c r="AC98" t="s">
        <v>111</v>
      </c>
      <c r="AD98" t="s">
        <v>51</v>
      </c>
      <c r="AE98" t="s">
        <v>126</v>
      </c>
      <c r="AF98">
        <v>5</v>
      </c>
      <c r="AG98" t="s">
        <v>53</v>
      </c>
    </row>
    <row r="99" spans="1:33">
      <c r="A99" t="s">
        <v>355</v>
      </c>
      <c r="B99" s="10">
        <v>45950</v>
      </c>
      <c r="C99" s="3" t="s">
        <v>219</v>
      </c>
      <c r="D99" t="s">
        <v>206</v>
      </c>
      <c r="E99" t="s">
        <v>36</v>
      </c>
      <c r="F99" t="s">
        <v>37</v>
      </c>
      <c r="G99" t="s">
        <v>38</v>
      </c>
      <c r="H99" t="s">
        <v>115</v>
      </c>
      <c r="I99" t="s">
        <v>116</v>
      </c>
      <c r="J99" t="s">
        <v>117</v>
      </c>
      <c r="K99" t="s">
        <v>61</v>
      </c>
      <c r="L99" t="s">
        <v>356</v>
      </c>
      <c r="M99" t="s">
        <v>80</v>
      </c>
      <c r="N99" t="s">
        <v>45</v>
      </c>
      <c r="O99" t="s">
        <v>82</v>
      </c>
      <c r="P99" t="s">
        <v>83</v>
      </c>
      <c r="Q99" t="s">
        <v>66</v>
      </c>
      <c r="R99" t="s">
        <v>84</v>
      </c>
      <c r="S99">
        <v>3</v>
      </c>
      <c r="T99" s="14">
        <v>86.04</v>
      </c>
      <c r="U99" s="7">
        <v>12</v>
      </c>
      <c r="V99" s="7">
        <v>22</v>
      </c>
      <c r="W99" s="14">
        <v>120.04</v>
      </c>
      <c r="X99" s="14">
        <v>286.8</v>
      </c>
      <c r="Y99" s="16">
        <v>0</v>
      </c>
      <c r="Z99" s="12">
        <v>860.4</v>
      </c>
      <c r="AA99" s="5">
        <v>500.28</v>
      </c>
      <c r="AB99" s="18">
        <v>58.15</v>
      </c>
      <c r="AC99" t="s">
        <v>85</v>
      </c>
      <c r="AD99" t="s">
        <v>51</v>
      </c>
      <c r="AE99" t="s">
        <v>105</v>
      </c>
      <c r="AF99">
        <v>5</v>
      </c>
      <c r="AG99" t="s">
        <v>53</v>
      </c>
    </row>
    <row r="100" spans="1:33">
      <c r="A100" t="s">
        <v>357</v>
      </c>
      <c r="B100" s="10">
        <v>45732</v>
      </c>
      <c r="C100" s="3" t="s">
        <v>148</v>
      </c>
      <c r="D100" t="s">
        <v>89</v>
      </c>
      <c r="E100" t="s">
        <v>108</v>
      </c>
      <c r="F100" t="s">
        <v>91</v>
      </c>
      <c r="G100" t="s">
        <v>38</v>
      </c>
      <c r="H100" t="s">
        <v>142</v>
      </c>
      <c r="I100" t="s">
        <v>143</v>
      </c>
      <c r="J100" t="s">
        <v>144</v>
      </c>
      <c r="K100" t="s">
        <v>145</v>
      </c>
      <c r="L100" t="s">
        <v>358</v>
      </c>
      <c r="M100" t="s">
        <v>44</v>
      </c>
      <c r="N100" t="s">
        <v>110</v>
      </c>
      <c r="O100" t="s">
        <v>213</v>
      </c>
      <c r="P100" t="s">
        <v>214</v>
      </c>
      <c r="Q100" t="s">
        <v>215</v>
      </c>
      <c r="R100" t="s">
        <v>49</v>
      </c>
      <c r="S100">
        <v>2</v>
      </c>
      <c r="T100" s="14">
        <v>125.58</v>
      </c>
      <c r="U100" s="7">
        <v>12</v>
      </c>
      <c r="V100" s="7">
        <v>22</v>
      </c>
      <c r="W100" s="14">
        <v>159.58000000000001</v>
      </c>
      <c r="X100" s="14">
        <v>418.6</v>
      </c>
      <c r="Y100" s="16">
        <v>10</v>
      </c>
      <c r="Z100" s="12">
        <v>753.48</v>
      </c>
      <c r="AA100" s="5">
        <v>434.32</v>
      </c>
      <c r="AB100" s="18">
        <v>57.64</v>
      </c>
      <c r="AC100" t="s">
        <v>104</v>
      </c>
      <c r="AD100" t="s">
        <v>86</v>
      </c>
      <c r="AE100" t="s">
        <v>126</v>
      </c>
      <c r="AF100" t="s">
        <v>2124</v>
      </c>
      <c r="AG100" t="s">
        <v>53</v>
      </c>
    </row>
    <row r="101" spans="1:33">
      <c r="A101" t="s">
        <v>359</v>
      </c>
      <c r="B101" s="10">
        <v>45807</v>
      </c>
      <c r="C101" s="3" t="s">
        <v>113</v>
      </c>
      <c r="D101" t="s">
        <v>35</v>
      </c>
      <c r="E101" t="s">
        <v>130</v>
      </c>
      <c r="F101" t="s">
        <v>131</v>
      </c>
      <c r="G101" t="s">
        <v>132</v>
      </c>
      <c r="H101" t="s">
        <v>115</v>
      </c>
      <c r="I101" t="s">
        <v>116</v>
      </c>
      <c r="J101" t="s">
        <v>117</v>
      </c>
      <c r="K101" t="s">
        <v>61</v>
      </c>
      <c r="L101" t="s">
        <v>360</v>
      </c>
      <c r="M101" t="s">
        <v>63</v>
      </c>
      <c r="N101" t="s">
        <v>45</v>
      </c>
      <c r="O101" t="s">
        <v>162</v>
      </c>
      <c r="P101" t="s">
        <v>163</v>
      </c>
      <c r="Q101" t="s">
        <v>48</v>
      </c>
      <c r="R101" t="s">
        <v>84</v>
      </c>
      <c r="S101">
        <v>2</v>
      </c>
      <c r="T101" s="14">
        <v>89.64</v>
      </c>
      <c r="U101" s="7">
        <v>12</v>
      </c>
      <c r="V101" s="7">
        <v>22</v>
      </c>
      <c r="W101" s="14">
        <v>123.64</v>
      </c>
      <c r="X101" s="14">
        <v>298.8</v>
      </c>
      <c r="Y101" s="16">
        <v>0</v>
      </c>
      <c r="Z101" s="12">
        <v>597.6</v>
      </c>
      <c r="AA101" s="5">
        <v>350.32</v>
      </c>
      <c r="AB101" s="18">
        <v>58.62</v>
      </c>
      <c r="AC101" t="s">
        <v>111</v>
      </c>
      <c r="AD101" t="s">
        <v>51</v>
      </c>
      <c r="AE101" t="s">
        <v>105</v>
      </c>
      <c r="AF101">
        <v>5</v>
      </c>
      <c r="AG101" t="s">
        <v>53</v>
      </c>
    </row>
    <row r="102" spans="1:33">
      <c r="A102" t="s">
        <v>361</v>
      </c>
      <c r="B102" s="10">
        <v>45729</v>
      </c>
      <c r="C102" s="3" t="s">
        <v>219</v>
      </c>
      <c r="D102" t="s">
        <v>56</v>
      </c>
      <c r="E102" t="s">
        <v>108</v>
      </c>
      <c r="F102" t="s">
        <v>91</v>
      </c>
      <c r="G102" t="s">
        <v>38</v>
      </c>
      <c r="H102" t="s">
        <v>142</v>
      </c>
      <c r="I102" t="s">
        <v>143</v>
      </c>
      <c r="J102" t="s">
        <v>144</v>
      </c>
      <c r="K102" t="s">
        <v>145</v>
      </c>
      <c r="L102" t="s">
        <v>362</v>
      </c>
      <c r="M102" t="s">
        <v>44</v>
      </c>
      <c r="N102" t="s">
        <v>110</v>
      </c>
      <c r="O102" t="s">
        <v>64</v>
      </c>
      <c r="P102" t="s">
        <v>65</v>
      </c>
      <c r="Q102" t="s">
        <v>66</v>
      </c>
      <c r="R102" t="s">
        <v>49</v>
      </c>
      <c r="S102">
        <v>2</v>
      </c>
      <c r="T102" s="14">
        <v>62.58</v>
      </c>
      <c r="U102" s="7">
        <v>12</v>
      </c>
      <c r="V102" s="7">
        <v>22</v>
      </c>
      <c r="W102" s="14">
        <v>96.58</v>
      </c>
      <c r="X102" s="14">
        <v>208.6</v>
      </c>
      <c r="Y102" s="16">
        <v>0</v>
      </c>
      <c r="Z102" s="12">
        <v>417.2</v>
      </c>
      <c r="AA102" s="5">
        <v>224.04</v>
      </c>
      <c r="AB102" s="18">
        <v>53.7</v>
      </c>
      <c r="AC102" t="s">
        <v>2145</v>
      </c>
      <c r="AD102" t="s">
        <v>158</v>
      </c>
      <c r="AE102" t="s">
        <v>126</v>
      </c>
      <c r="AF102">
        <v>4</v>
      </c>
      <c r="AG102" t="s">
        <v>53</v>
      </c>
    </row>
    <row r="103" spans="1:33">
      <c r="A103" t="s">
        <v>363</v>
      </c>
      <c r="B103" s="10">
        <v>45954</v>
      </c>
      <c r="C103" s="3" t="s">
        <v>185</v>
      </c>
      <c r="D103" t="s">
        <v>35</v>
      </c>
      <c r="E103" t="s">
        <v>36</v>
      </c>
      <c r="F103" t="s">
        <v>37</v>
      </c>
      <c r="G103" t="s">
        <v>38</v>
      </c>
      <c r="H103" t="s">
        <v>75</v>
      </c>
      <c r="I103" t="s">
        <v>76</v>
      </c>
      <c r="J103" t="s">
        <v>77</v>
      </c>
      <c r="K103" t="s">
        <v>78</v>
      </c>
      <c r="L103" t="s">
        <v>364</v>
      </c>
      <c r="M103" t="s">
        <v>63</v>
      </c>
      <c r="N103" t="s">
        <v>81</v>
      </c>
      <c r="O103" t="s">
        <v>176</v>
      </c>
      <c r="P103" t="s">
        <v>177</v>
      </c>
      <c r="Q103" t="s">
        <v>66</v>
      </c>
      <c r="R103" t="s">
        <v>49</v>
      </c>
      <c r="S103">
        <v>3</v>
      </c>
      <c r="T103" s="14">
        <v>70.98</v>
      </c>
      <c r="U103" s="7">
        <v>12</v>
      </c>
      <c r="V103" s="7">
        <v>22</v>
      </c>
      <c r="W103" s="14">
        <v>104.98</v>
      </c>
      <c r="X103" s="14">
        <v>236.6</v>
      </c>
      <c r="Y103" s="16">
        <v>5</v>
      </c>
      <c r="Z103" s="12">
        <v>674.31</v>
      </c>
      <c r="AA103" s="5">
        <v>359.37</v>
      </c>
      <c r="AB103" s="18">
        <v>53.29</v>
      </c>
      <c r="AC103" t="s">
        <v>104</v>
      </c>
      <c r="AD103" t="s">
        <v>86</v>
      </c>
      <c r="AE103" t="s">
        <v>68</v>
      </c>
      <c r="AF103">
        <v>4</v>
      </c>
      <c r="AG103" t="s">
        <v>53</v>
      </c>
    </row>
    <row r="104" spans="1:33">
      <c r="A104" t="s">
        <v>365</v>
      </c>
      <c r="B104" s="10">
        <v>45851</v>
      </c>
      <c r="C104" s="3" t="s">
        <v>34</v>
      </c>
      <c r="D104" t="s">
        <v>89</v>
      </c>
      <c r="E104" t="s">
        <v>114</v>
      </c>
      <c r="F104" t="s">
        <v>73</v>
      </c>
      <c r="G104" t="s">
        <v>74</v>
      </c>
      <c r="H104" t="s">
        <v>142</v>
      </c>
      <c r="I104" t="s">
        <v>143</v>
      </c>
      <c r="J104" t="s">
        <v>144</v>
      </c>
      <c r="K104" t="s">
        <v>145</v>
      </c>
      <c r="L104" t="s">
        <v>366</v>
      </c>
      <c r="M104" t="s">
        <v>80</v>
      </c>
      <c r="N104" t="s">
        <v>45</v>
      </c>
      <c r="O104" t="s">
        <v>189</v>
      </c>
      <c r="P104" t="s">
        <v>190</v>
      </c>
      <c r="Q104" t="s">
        <v>48</v>
      </c>
      <c r="R104" t="s">
        <v>49</v>
      </c>
      <c r="S104">
        <v>2</v>
      </c>
      <c r="T104" s="14">
        <v>66.78</v>
      </c>
      <c r="U104" s="7">
        <v>12</v>
      </c>
      <c r="V104" s="7">
        <v>22</v>
      </c>
      <c r="W104" s="14">
        <v>100.78</v>
      </c>
      <c r="X104" s="14">
        <v>222.6</v>
      </c>
      <c r="Y104" s="16">
        <v>15</v>
      </c>
      <c r="Z104" s="12">
        <v>378.42</v>
      </c>
      <c r="AA104" s="5">
        <v>176.86</v>
      </c>
      <c r="AB104" s="18">
        <v>46.74</v>
      </c>
      <c r="AC104" t="s">
        <v>85</v>
      </c>
      <c r="AD104" t="s">
        <v>51</v>
      </c>
      <c r="AE104" t="s">
        <v>126</v>
      </c>
      <c r="AF104">
        <v>5</v>
      </c>
      <c r="AG104" t="s">
        <v>53</v>
      </c>
    </row>
    <row r="105" spans="1:33">
      <c r="A105" t="s">
        <v>367</v>
      </c>
      <c r="B105" s="10">
        <v>45669</v>
      </c>
      <c r="C105" s="3" t="s">
        <v>148</v>
      </c>
      <c r="D105" t="s">
        <v>89</v>
      </c>
      <c r="E105" t="s">
        <v>152</v>
      </c>
      <c r="F105" t="s">
        <v>91</v>
      </c>
      <c r="G105" t="s">
        <v>92</v>
      </c>
      <c r="H105" t="s">
        <v>133</v>
      </c>
      <c r="I105" t="s">
        <v>134</v>
      </c>
      <c r="J105" t="s">
        <v>135</v>
      </c>
      <c r="K105" t="s">
        <v>42</v>
      </c>
      <c r="L105" t="s">
        <v>368</v>
      </c>
      <c r="M105" t="s">
        <v>80</v>
      </c>
      <c r="N105" t="s">
        <v>45</v>
      </c>
      <c r="O105" t="s">
        <v>82</v>
      </c>
      <c r="P105" t="s">
        <v>83</v>
      </c>
      <c r="Q105" t="s">
        <v>66</v>
      </c>
      <c r="R105" t="s">
        <v>49</v>
      </c>
      <c r="S105">
        <v>3</v>
      </c>
      <c r="T105" s="14">
        <v>100.38</v>
      </c>
      <c r="U105" s="7">
        <v>12</v>
      </c>
      <c r="V105" s="7">
        <v>22</v>
      </c>
      <c r="W105" s="14">
        <v>134.38</v>
      </c>
      <c r="X105" s="14">
        <v>334.6</v>
      </c>
      <c r="Y105" s="16">
        <v>10</v>
      </c>
      <c r="Z105" s="12">
        <v>903.42</v>
      </c>
      <c r="AA105" s="5">
        <v>500.28</v>
      </c>
      <c r="AB105" s="18">
        <v>55.38</v>
      </c>
      <c r="AC105" t="s">
        <v>85</v>
      </c>
      <c r="AD105" t="s">
        <v>86</v>
      </c>
      <c r="AE105" t="s">
        <v>68</v>
      </c>
      <c r="AF105">
        <v>5</v>
      </c>
      <c r="AG105" t="s">
        <v>53</v>
      </c>
    </row>
    <row r="106" spans="1:33">
      <c r="A106" t="s">
        <v>369</v>
      </c>
      <c r="B106" s="10">
        <v>45939</v>
      </c>
      <c r="C106" s="3" t="s">
        <v>141</v>
      </c>
      <c r="D106" t="s">
        <v>56</v>
      </c>
      <c r="E106" t="s">
        <v>36</v>
      </c>
      <c r="F106" t="s">
        <v>37</v>
      </c>
      <c r="G106" t="s">
        <v>38</v>
      </c>
      <c r="H106" t="s">
        <v>115</v>
      </c>
      <c r="I106" t="s">
        <v>116</v>
      </c>
      <c r="J106" t="s">
        <v>117</v>
      </c>
      <c r="K106" t="s">
        <v>61</v>
      </c>
      <c r="L106" t="s">
        <v>370</v>
      </c>
      <c r="M106" t="s">
        <v>63</v>
      </c>
      <c r="N106" t="s">
        <v>110</v>
      </c>
      <c r="O106" t="s">
        <v>176</v>
      </c>
      <c r="P106" t="s">
        <v>177</v>
      </c>
      <c r="Q106" t="s">
        <v>66</v>
      </c>
      <c r="R106" t="s">
        <v>67</v>
      </c>
      <c r="S106">
        <v>3</v>
      </c>
      <c r="T106" s="14">
        <v>50.7</v>
      </c>
      <c r="U106" s="7">
        <v>12</v>
      </c>
      <c r="V106" s="7">
        <v>22</v>
      </c>
      <c r="W106" s="14">
        <v>84.7</v>
      </c>
      <c r="X106" s="14">
        <v>169</v>
      </c>
      <c r="Y106" s="16">
        <v>0</v>
      </c>
      <c r="Z106" s="12">
        <v>507</v>
      </c>
      <c r="AA106" s="5">
        <v>252.9</v>
      </c>
      <c r="AB106" s="18">
        <v>49.88</v>
      </c>
      <c r="AC106" t="s">
        <v>85</v>
      </c>
      <c r="AD106" t="s">
        <v>86</v>
      </c>
      <c r="AE106" t="s">
        <v>105</v>
      </c>
      <c r="AF106">
        <v>3</v>
      </c>
      <c r="AG106" t="s">
        <v>53</v>
      </c>
    </row>
    <row r="107" spans="1:33">
      <c r="A107" t="s">
        <v>371</v>
      </c>
      <c r="B107" s="10">
        <v>45740</v>
      </c>
      <c r="C107" s="3" t="s">
        <v>128</v>
      </c>
      <c r="D107" t="s">
        <v>206</v>
      </c>
      <c r="E107" t="s">
        <v>108</v>
      </c>
      <c r="F107" t="s">
        <v>91</v>
      </c>
      <c r="G107" t="s">
        <v>38</v>
      </c>
      <c r="H107" t="s">
        <v>115</v>
      </c>
      <c r="I107" t="s">
        <v>116</v>
      </c>
      <c r="J107" t="s">
        <v>117</v>
      </c>
      <c r="K107" t="s">
        <v>61</v>
      </c>
      <c r="L107" t="s">
        <v>372</v>
      </c>
      <c r="M107" t="s">
        <v>44</v>
      </c>
      <c r="N107" t="s">
        <v>81</v>
      </c>
      <c r="O107" t="s">
        <v>137</v>
      </c>
      <c r="P107" t="s">
        <v>138</v>
      </c>
      <c r="Q107" t="s">
        <v>139</v>
      </c>
      <c r="R107" t="s">
        <v>67</v>
      </c>
      <c r="S107">
        <v>2</v>
      </c>
      <c r="T107" s="14">
        <v>59.7</v>
      </c>
      <c r="U107" s="7">
        <v>12</v>
      </c>
      <c r="V107" s="7">
        <v>22</v>
      </c>
      <c r="W107" s="14">
        <v>93.7</v>
      </c>
      <c r="X107" s="14">
        <v>199</v>
      </c>
      <c r="Y107" s="16">
        <v>0</v>
      </c>
      <c r="Z107" s="12">
        <v>398</v>
      </c>
      <c r="AA107" s="5">
        <v>210.6</v>
      </c>
      <c r="AB107" s="18">
        <v>52.91</v>
      </c>
      <c r="AC107" t="s">
        <v>104</v>
      </c>
      <c r="AD107" t="s">
        <v>158</v>
      </c>
      <c r="AE107" t="s">
        <v>105</v>
      </c>
      <c r="AF107">
        <v>4</v>
      </c>
      <c r="AG107" t="s">
        <v>53</v>
      </c>
    </row>
    <row r="108" spans="1:33">
      <c r="A108" t="s">
        <v>373</v>
      </c>
      <c r="B108" s="10">
        <v>45663</v>
      </c>
      <c r="C108" s="3" t="s">
        <v>194</v>
      </c>
      <c r="D108" t="s">
        <v>206</v>
      </c>
      <c r="E108" t="s">
        <v>152</v>
      </c>
      <c r="F108" t="s">
        <v>91</v>
      </c>
      <c r="G108" t="s">
        <v>92</v>
      </c>
      <c r="H108" t="s">
        <v>133</v>
      </c>
      <c r="I108" t="s">
        <v>134</v>
      </c>
      <c r="J108" t="s">
        <v>135</v>
      </c>
      <c r="K108" t="s">
        <v>42</v>
      </c>
      <c r="L108" t="s">
        <v>374</v>
      </c>
      <c r="M108" t="s">
        <v>63</v>
      </c>
      <c r="N108" t="s">
        <v>45</v>
      </c>
      <c r="O108" t="s">
        <v>119</v>
      </c>
      <c r="P108" t="s">
        <v>120</v>
      </c>
      <c r="Q108" t="s">
        <v>103</v>
      </c>
      <c r="R108" t="s">
        <v>67</v>
      </c>
      <c r="S108">
        <v>2</v>
      </c>
      <c r="T108" s="14">
        <v>38.700000000000003</v>
      </c>
      <c r="U108" s="7">
        <v>12</v>
      </c>
      <c r="V108" s="7">
        <v>22</v>
      </c>
      <c r="W108" s="14">
        <v>72.7</v>
      </c>
      <c r="X108" s="14">
        <v>129</v>
      </c>
      <c r="Y108" s="16">
        <v>5</v>
      </c>
      <c r="Z108" s="12">
        <v>245.1</v>
      </c>
      <c r="AA108" s="5">
        <v>99.7</v>
      </c>
      <c r="AB108" s="18">
        <v>40.68</v>
      </c>
      <c r="AC108" t="s">
        <v>111</v>
      </c>
      <c r="AD108" t="s">
        <v>158</v>
      </c>
      <c r="AE108" t="s">
        <v>126</v>
      </c>
      <c r="AF108">
        <v>4</v>
      </c>
      <c r="AG108" t="s">
        <v>53</v>
      </c>
    </row>
    <row r="109" spans="1:33">
      <c r="A109" t="s">
        <v>375</v>
      </c>
      <c r="B109" s="10">
        <v>45953</v>
      </c>
      <c r="C109" s="3" t="s">
        <v>185</v>
      </c>
      <c r="D109" t="s">
        <v>56</v>
      </c>
      <c r="E109" t="s">
        <v>36</v>
      </c>
      <c r="F109" t="s">
        <v>37</v>
      </c>
      <c r="G109" t="s">
        <v>38</v>
      </c>
      <c r="H109" t="s">
        <v>75</v>
      </c>
      <c r="I109" t="s">
        <v>76</v>
      </c>
      <c r="J109" t="s">
        <v>77</v>
      </c>
      <c r="K109" t="s">
        <v>78</v>
      </c>
      <c r="L109" t="s">
        <v>376</v>
      </c>
      <c r="M109" t="s">
        <v>80</v>
      </c>
      <c r="N109" t="s">
        <v>110</v>
      </c>
      <c r="O109" t="s">
        <v>94</v>
      </c>
      <c r="P109" t="s">
        <v>95</v>
      </c>
      <c r="Q109" t="s">
        <v>66</v>
      </c>
      <c r="R109" t="s">
        <v>49</v>
      </c>
      <c r="S109">
        <v>1</v>
      </c>
      <c r="T109" s="14">
        <v>91.98</v>
      </c>
      <c r="U109" s="7">
        <v>12</v>
      </c>
      <c r="V109" s="7">
        <v>22</v>
      </c>
      <c r="W109" s="14">
        <v>125.98</v>
      </c>
      <c r="X109" s="14">
        <v>306.60000000000002</v>
      </c>
      <c r="Y109" s="16">
        <v>10</v>
      </c>
      <c r="Z109" s="12">
        <v>275.94</v>
      </c>
      <c r="AA109" s="5">
        <v>149.96</v>
      </c>
      <c r="AB109" s="18">
        <v>54.35</v>
      </c>
      <c r="AC109" t="s">
        <v>104</v>
      </c>
      <c r="AD109" t="s">
        <v>86</v>
      </c>
      <c r="AE109" t="s">
        <v>105</v>
      </c>
      <c r="AF109">
        <v>4</v>
      </c>
      <c r="AG109" t="s">
        <v>53</v>
      </c>
    </row>
    <row r="110" spans="1:33">
      <c r="A110" t="s">
        <v>377</v>
      </c>
      <c r="B110" s="10">
        <v>45931</v>
      </c>
      <c r="C110" s="3" t="s">
        <v>141</v>
      </c>
      <c r="D110" t="s">
        <v>129</v>
      </c>
      <c r="E110" t="s">
        <v>36</v>
      </c>
      <c r="F110" t="s">
        <v>37</v>
      </c>
      <c r="G110" t="s">
        <v>38</v>
      </c>
      <c r="H110" t="s">
        <v>142</v>
      </c>
      <c r="I110" t="s">
        <v>143</v>
      </c>
      <c r="J110" t="s">
        <v>144</v>
      </c>
      <c r="K110" t="s">
        <v>145</v>
      </c>
      <c r="L110" t="s">
        <v>378</v>
      </c>
      <c r="M110" t="s">
        <v>80</v>
      </c>
      <c r="N110" t="s">
        <v>110</v>
      </c>
      <c r="O110" t="s">
        <v>168</v>
      </c>
      <c r="P110" t="s">
        <v>169</v>
      </c>
      <c r="Q110" t="s">
        <v>139</v>
      </c>
      <c r="R110" t="s">
        <v>49</v>
      </c>
      <c r="S110">
        <v>2</v>
      </c>
      <c r="T110" s="14">
        <v>66.78</v>
      </c>
      <c r="U110" s="7">
        <v>12</v>
      </c>
      <c r="V110" s="7">
        <v>22</v>
      </c>
      <c r="W110" s="14">
        <v>100.78</v>
      </c>
      <c r="X110" s="14">
        <v>222.6</v>
      </c>
      <c r="Y110" s="16">
        <v>0</v>
      </c>
      <c r="Z110" s="12">
        <v>445.2</v>
      </c>
      <c r="AA110" s="5">
        <v>243.64</v>
      </c>
      <c r="AB110" s="18">
        <v>54.73</v>
      </c>
      <c r="AC110" t="s">
        <v>104</v>
      </c>
      <c r="AD110" t="s">
        <v>51</v>
      </c>
      <c r="AE110" t="s">
        <v>52</v>
      </c>
      <c r="AF110">
        <v>4</v>
      </c>
      <c r="AG110" t="s">
        <v>53</v>
      </c>
    </row>
    <row r="111" spans="1:33">
      <c r="A111" t="s">
        <v>379</v>
      </c>
      <c r="B111" s="10">
        <v>45926</v>
      </c>
      <c r="C111" s="3" t="s">
        <v>171</v>
      </c>
      <c r="D111" t="s">
        <v>35</v>
      </c>
      <c r="E111" t="s">
        <v>72</v>
      </c>
      <c r="F111" t="s">
        <v>73</v>
      </c>
      <c r="G111" t="s">
        <v>74</v>
      </c>
      <c r="H111" t="s">
        <v>58</v>
      </c>
      <c r="I111" t="s">
        <v>59</v>
      </c>
      <c r="J111" t="s">
        <v>60</v>
      </c>
      <c r="K111" t="s">
        <v>61</v>
      </c>
      <c r="L111" t="s">
        <v>380</v>
      </c>
      <c r="M111" t="s">
        <v>44</v>
      </c>
      <c r="N111" t="s">
        <v>110</v>
      </c>
      <c r="O111" t="s">
        <v>119</v>
      </c>
      <c r="P111" t="s">
        <v>120</v>
      </c>
      <c r="Q111" t="s">
        <v>103</v>
      </c>
      <c r="R111" t="s">
        <v>67</v>
      </c>
      <c r="S111">
        <v>3</v>
      </c>
      <c r="T111" s="14">
        <v>38.700000000000003</v>
      </c>
      <c r="U111" s="7">
        <v>12</v>
      </c>
      <c r="V111" s="7">
        <v>22</v>
      </c>
      <c r="W111" s="14">
        <v>72.7</v>
      </c>
      <c r="X111" s="14">
        <v>129</v>
      </c>
      <c r="Y111" s="16">
        <v>5</v>
      </c>
      <c r="Z111" s="12">
        <v>367.65</v>
      </c>
      <c r="AA111" s="5">
        <v>149.55000000000001</v>
      </c>
      <c r="AB111" s="18">
        <v>40.68</v>
      </c>
      <c r="AC111" t="s">
        <v>104</v>
      </c>
      <c r="AD111" t="s">
        <v>158</v>
      </c>
      <c r="AE111" t="s">
        <v>68</v>
      </c>
      <c r="AF111">
        <v>5</v>
      </c>
      <c r="AG111" t="s">
        <v>53</v>
      </c>
    </row>
    <row r="112" spans="1:33">
      <c r="A112" t="s">
        <v>381</v>
      </c>
      <c r="B112" s="10">
        <v>45716</v>
      </c>
      <c r="C112" s="3" t="s">
        <v>141</v>
      </c>
      <c r="D112" t="s">
        <v>35</v>
      </c>
      <c r="E112" t="s">
        <v>90</v>
      </c>
      <c r="F112" t="s">
        <v>91</v>
      </c>
      <c r="G112" t="s">
        <v>92</v>
      </c>
      <c r="H112" t="s">
        <v>75</v>
      </c>
      <c r="I112" t="s">
        <v>76</v>
      </c>
      <c r="J112" t="s">
        <v>77</v>
      </c>
      <c r="K112" t="s">
        <v>78</v>
      </c>
      <c r="L112" t="s">
        <v>382</v>
      </c>
      <c r="M112" t="s">
        <v>80</v>
      </c>
      <c r="N112" t="s">
        <v>45</v>
      </c>
      <c r="O112" t="s">
        <v>64</v>
      </c>
      <c r="P112" t="s">
        <v>65</v>
      </c>
      <c r="Q112" t="s">
        <v>66</v>
      </c>
      <c r="R112" t="s">
        <v>84</v>
      </c>
      <c r="S112">
        <v>3</v>
      </c>
      <c r="T112" s="14">
        <v>53.64</v>
      </c>
      <c r="U112" s="7">
        <v>12</v>
      </c>
      <c r="V112" s="7">
        <v>22</v>
      </c>
      <c r="W112" s="14">
        <v>87.64</v>
      </c>
      <c r="X112" s="14">
        <v>178.8</v>
      </c>
      <c r="Y112" s="16">
        <v>0</v>
      </c>
      <c r="Z112" s="12">
        <v>536.4</v>
      </c>
      <c r="AA112" s="5">
        <v>273.48</v>
      </c>
      <c r="AB112" s="18">
        <v>50.98</v>
      </c>
      <c r="AC112" t="s">
        <v>104</v>
      </c>
      <c r="AD112" t="s">
        <v>86</v>
      </c>
      <c r="AE112" t="s">
        <v>96</v>
      </c>
      <c r="AF112">
        <v>5</v>
      </c>
      <c r="AG112" t="s">
        <v>53</v>
      </c>
    </row>
    <row r="113" spans="1:33">
      <c r="A113" t="s">
        <v>383</v>
      </c>
      <c r="B113" s="10">
        <v>45999</v>
      </c>
      <c r="C113" s="3" t="s">
        <v>179</v>
      </c>
      <c r="D113" t="s">
        <v>206</v>
      </c>
      <c r="E113" t="s">
        <v>149</v>
      </c>
      <c r="F113" t="s">
        <v>37</v>
      </c>
      <c r="G113" t="s">
        <v>92</v>
      </c>
      <c r="H113" t="s">
        <v>133</v>
      </c>
      <c r="I113" t="s">
        <v>134</v>
      </c>
      <c r="J113" t="s">
        <v>135</v>
      </c>
      <c r="K113" t="s">
        <v>42</v>
      </c>
      <c r="L113" t="s">
        <v>384</v>
      </c>
      <c r="M113" t="s">
        <v>44</v>
      </c>
      <c r="N113" t="s">
        <v>81</v>
      </c>
      <c r="O113" t="s">
        <v>94</v>
      </c>
      <c r="P113" t="s">
        <v>95</v>
      </c>
      <c r="Q113" t="s">
        <v>66</v>
      </c>
      <c r="R113" t="s">
        <v>84</v>
      </c>
      <c r="S113">
        <v>3</v>
      </c>
      <c r="T113" s="14">
        <v>78.84</v>
      </c>
      <c r="U113" s="7">
        <v>12</v>
      </c>
      <c r="V113" s="7">
        <v>22</v>
      </c>
      <c r="W113" s="14">
        <v>112.84</v>
      </c>
      <c r="X113" s="14">
        <v>262.8</v>
      </c>
      <c r="Y113" s="16">
        <v>5</v>
      </c>
      <c r="Z113" s="12">
        <v>748.98</v>
      </c>
      <c r="AA113" s="5">
        <v>410.46</v>
      </c>
      <c r="AB113" s="18">
        <v>54.8</v>
      </c>
      <c r="AC113" t="s">
        <v>111</v>
      </c>
      <c r="AD113" t="s">
        <v>86</v>
      </c>
      <c r="AE113" t="s">
        <v>96</v>
      </c>
      <c r="AF113">
        <v>5</v>
      </c>
      <c r="AG113" t="s">
        <v>53</v>
      </c>
    </row>
    <row r="114" spans="1:33">
      <c r="A114" t="s">
        <v>385</v>
      </c>
      <c r="B114" s="10">
        <v>45812</v>
      </c>
      <c r="C114" s="3" t="s">
        <v>310</v>
      </c>
      <c r="D114" t="s">
        <v>129</v>
      </c>
      <c r="E114" t="s">
        <v>174</v>
      </c>
      <c r="F114" t="s">
        <v>131</v>
      </c>
      <c r="G114" t="s">
        <v>132</v>
      </c>
      <c r="H114" t="s">
        <v>39</v>
      </c>
      <c r="I114" t="s">
        <v>2143</v>
      </c>
      <c r="J114" t="s">
        <v>41</v>
      </c>
      <c r="K114" t="s">
        <v>42</v>
      </c>
      <c r="L114" t="s">
        <v>386</v>
      </c>
      <c r="M114" t="s">
        <v>44</v>
      </c>
      <c r="N114" t="s">
        <v>45</v>
      </c>
      <c r="O114" t="s">
        <v>189</v>
      </c>
      <c r="P114" t="s">
        <v>190</v>
      </c>
      <c r="Q114" t="s">
        <v>48</v>
      </c>
      <c r="R114" t="s">
        <v>49</v>
      </c>
      <c r="S114">
        <v>2</v>
      </c>
      <c r="T114" s="14">
        <v>66.78</v>
      </c>
      <c r="U114" s="7">
        <v>12</v>
      </c>
      <c r="V114" s="7">
        <v>22</v>
      </c>
      <c r="W114" s="14">
        <v>100.78</v>
      </c>
      <c r="X114" s="14">
        <v>222.6</v>
      </c>
      <c r="Y114" s="16">
        <v>0</v>
      </c>
      <c r="Z114" s="12">
        <v>445.2</v>
      </c>
      <c r="AA114" s="5">
        <v>243.64</v>
      </c>
      <c r="AB114" s="18">
        <v>54.73</v>
      </c>
      <c r="AC114" t="s">
        <v>104</v>
      </c>
      <c r="AD114" t="s">
        <v>51</v>
      </c>
      <c r="AE114" t="s">
        <v>68</v>
      </c>
      <c r="AF114">
        <v>5</v>
      </c>
      <c r="AG114" t="s">
        <v>53</v>
      </c>
    </row>
    <row r="115" spans="1:33">
      <c r="A115" t="s">
        <v>387</v>
      </c>
      <c r="B115" s="10">
        <v>46013</v>
      </c>
      <c r="C115" s="3" t="s">
        <v>185</v>
      </c>
      <c r="D115" t="s">
        <v>206</v>
      </c>
      <c r="E115" t="s">
        <v>149</v>
      </c>
      <c r="F115" t="s">
        <v>37</v>
      </c>
      <c r="G115" t="s">
        <v>92</v>
      </c>
      <c r="H115" t="s">
        <v>115</v>
      </c>
      <c r="I115" t="s">
        <v>116</v>
      </c>
      <c r="J115" t="s">
        <v>117</v>
      </c>
      <c r="K115" t="s">
        <v>61</v>
      </c>
      <c r="L115" t="s">
        <v>388</v>
      </c>
      <c r="M115" t="s">
        <v>44</v>
      </c>
      <c r="N115" t="s">
        <v>45</v>
      </c>
      <c r="O115" t="s">
        <v>101</v>
      </c>
      <c r="P115" t="s">
        <v>102</v>
      </c>
      <c r="Q115" t="s">
        <v>103</v>
      </c>
      <c r="R115" t="s">
        <v>49</v>
      </c>
      <c r="S115">
        <v>3</v>
      </c>
      <c r="T115" s="14">
        <v>62.58</v>
      </c>
      <c r="U115" s="7">
        <v>12</v>
      </c>
      <c r="V115" s="7">
        <v>22</v>
      </c>
      <c r="W115" s="14">
        <v>96.58</v>
      </c>
      <c r="X115" s="14">
        <v>208.6</v>
      </c>
      <c r="Y115" s="16">
        <v>5</v>
      </c>
      <c r="Z115" s="12">
        <v>594.51</v>
      </c>
      <c r="AA115" s="5">
        <v>304.77</v>
      </c>
      <c r="AB115" s="18">
        <v>51.26</v>
      </c>
      <c r="AC115" t="s">
        <v>111</v>
      </c>
      <c r="AD115" t="s">
        <v>158</v>
      </c>
      <c r="AE115" t="s">
        <v>96</v>
      </c>
      <c r="AF115">
        <v>3</v>
      </c>
      <c r="AG115" t="s">
        <v>53</v>
      </c>
    </row>
    <row r="116" spans="1:33">
      <c r="A116" t="s">
        <v>389</v>
      </c>
      <c r="B116" s="10">
        <v>45942</v>
      </c>
      <c r="C116" s="3" t="s">
        <v>390</v>
      </c>
      <c r="D116" t="s">
        <v>89</v>
      </c>
      <c r="E116" t="s">
        <v>36</v>
      </c>
      <c r="F116" t="s">
        <v>37</v>
      </c>
      <c r="G116" t="s">
        <v>38</v>
      </c>
      <c r="H116" t="s">
        <v>75</v>
      </c>
      <c r="I116" t="s">
        <v>76</v>
      </c>
      <c r="J116" t="s">
        <v>77</v>
      </c>
      <c r="K116" t="s">
        <v>78</v>
      </c>
      <c r="L116" t="s">
        <v>391</v>
      </c>
      <c r="M116" t="s">
        <v>44</v>
      </c>
      <c r="N116" t="s">
        <v>45</v>
      </c>
      <c r="O116" t="s">
        <v>275</v>
      </c>
      <c r="P116" t="s">
        <v>276</v>
      </c>
      <c r="Q116" t="s">
        <v>125</v>
      </c>
      <c r="R116" t="s">
        <v>49</v>
      </c>
      <c r="S116">
        <v>2</v>
      </c>
      <c r="T116" s="14">
        <v>96.18</v>
      </c>
      <c r="U116" s="7">
        <v>12</v>
      </c>
      <c r="V116" s="7">
        <v>22</v>
      </c>
      <c r="W116" s="14">
        <v>130.18</v>
      </c>
      <c r="X116" s="14">
        <v>320.60000000000002</v>
      </c>
      <c r="Y116" s="16">
        <v>15</v>
      </c>
      <c r="Z116" s="12">
        <v>545.02</v>
      </c>
      <c r="AA116" s="5">
        <v>284.66000000000003</v>
      </c>
      <c r="AB116" s="18">
        <v>52.23</v>
      </c>
      <c r="AC116" t="s">
        <v>50</v>
      </c>
      <c r="AD116" t="s">
        <v>86</v>
      </c>
      <c r="AE116" t="s">
        <v>105</v>
      </c>
      <c r="AF116">
        <v>4</v>
      </c>
      <c r="AG116" t="s">
        <v>53</v>
      </c>
    </row>
    <row r="117" spans="1:33">
      <c r="A117" t="s">
        <v>392</v>
      </c>
      <c r="B117" s="10">
        <v>45717</v>
      </c>
      <c r="C117" s="3" t="s">
        <v>148</v>
      </c>
      <c r="D117" t="s">
        <v>71</v>
      </c>
      <c r="E117" t="s">
        <v>108</v>
      </c>
      <c r="F117" t="s">
        <v>91</v>
      </c>
      <c r="G117" t="s">
        <v>38</v>
      </c>
      <c r="H117" t="s">
        <v>58</v>
      </c>
      <c r="I117" t="s">
        <v>59</v>
      </c>
      <c r="J117" t="s">
        <v>60</v>
      </c>
      <c r="K117" t="s">
        <v>61</v>
      </c>
      <c r="L117" t="s">
        <v>393</v>
      </c>
      <c r="M117" t="s">
        <v>63</v>
      </c>
      <c r="N117" t="s">
        <v>45</v>
      </c>
      <c r="O117" t="s">
        <v>101</v>
      </c>
      <c r="P117" t="s">
        <v>102</v>
      </c>
      <c r="Q117" t="s">
        <v>103</v>
      </c>
      <c r="R117" t="s">
        <v>84</v>
      </c>
      <c r="S117">
        <v>1</v>
      </c>
      <c r="T117" s="14">
        <v>53.64</v>
      </c>
      <c r="U117" s="7">
        <v>12</v>
      </c>
      <c r="V117" s="7">
        <v>22</v>
      </c>
      <c r="W117" s="14">
        <v>87.64</v>
      </c>
      <c r="X117" s="14">
        <v>178.8</v>
      </c>
      <c r="Y117" s="16">
        <v>15</v>
      </c>
      <c r="Z117" s="12">
        <v>151.97999999999999</v>
      </c>
      <c r="AA117" s="5">
        <v>64.34</v>
      </c>
      <c r="AB117" s="18">
        <v>42.33</v>
      </c>
      <c r="AC117" t="s">
        <v>111</v>
      </c>
      <c r="AD117" t="s">
        <v>86</v>
      </c>
      <c r="AE117" t="s">
        <v>96</v>
      </c>
      <c r="AF117">
        <v>3</v>
      </c>
      <c r="AG117" t="s">
        <v>53</v>
      </c>
    </row>
    <row r="118" spans="1:33">
      <c r="A118" t="s">
        <v>394</v>
      </c>
      <c r="B118" s="10">
        <v>45824</v>
      </c>
      <c r="C118" s="3" t="s">
        <v>128</v>
      </c>
      <c r="D118" t="s">
        <v>206</v>
      </c>
      <c r="E118" t="s">
        <v>174</v>
      </c>
      <c r="F118" t="s">
        <v>131</v>
      </c>
      <c r="G118" t="s">
        <v>132</v>
      </c>
      <c r="H118" t="s">
        <v>58</v>
      </c>
      <c r="I118" t="s">
        <v>59</v>
      </c>
      <c r="J118" t="s">
        <v>60</v>
      </c>
      <c r="K118" t="s">
        <v>61</v>
      </c>
      <c r="L118" t="s">
        <v>395</v>
      </c>
      <c r="M118" t="s">
        <v>63</v>
      </c>
      <c r="N118" t="s">
        <v>45</v>
      </c>
      <c r="O118" t="s">
        <v>64</v>
      </c>
      <c r="P118" t="s">
        <v>65</v>
      </c>
      <c r="Q118" t="s">
        <v>66</v>
      </c>
      <c r="R118" t="s">
        <v>49</v>
      </c>
      <c r="S118">
        <v>1</v>
      </c>
      <c r="T118" s="14">
        <v>62.58</v>
      </c>
      <c r="U118" s="7">
        <v>12</v>
      </c>
      <c r="V118" s="7">
        <v>22</v>
      </c>
      <c r="W118" s="14">
        <v>96.58</v>
      </c>
      <c r="X118" s="14">
        <v>208.6</v>
      </c>
      <c r="Y118" s="16">
        <v>0</v>
      </c>
      <c r="Z118" s="12">
        <v>208.6</v>
      </c>
      <c r="AA118" s="5">
        <v>112.02</v>
      </c>
      <c r="AB118" s="18">
        <v>53.7</v>
      </c>
      <c r="AC118" t="s">
        <v>50</v>
      </c>
      <c r="AD118" t="s">
        <v>51</v>
      </c>
      <c r="AE118" t="s">
        <v>52</v>
      </c>
      <c r="AF118">
        <v>5</v>
      </c>
      <c r="AG118" t="s">
        <v>53</v>
      </c>
    </row>
    <row r="119" spans="1:33">
      <c r="A119" t="s">
        <v>396</v>
      </c>
      <c r="B119" s="10">
        <v>45935</v>
      </c>
      <c r="C119" s="3" t="s">
        <v>128</v>
      </c>
      <c r="D119" t="s">
        <v>89</v>
      </c>
      <c r="E119" t="s">
        <v>36</v>
      </c>
      <c r="F119" t="s">
        <v>37</v>
      </c>
      <c r="G119" t="s">
        <v>38</v>
      </c>
      <c r="H119" t="s">
        <v>39</v>
      </c>
      <c r="I119" t="s">
        <v>2143</v>
      </c>
      <c r="J119" t="s">
        <v>41</v>
      </c>
      <c r="K119" t="s">
        <v>42</v>
      </c>
      <c r="L119" t="s">
        <v>397</v>
      </c>
      <c r="M119" t="s">
        <v>63</v>
      </c>
      <c r="N119" t="s">
        <v>45</v>
      </c>
      <c r="O119" t="s">
        <v>213</v>
      </c>
      <c r="P119" t="s">
        <v>214</v>
      </c>
      <c r="Q119" t="s">
        <v>215</v>
      </c>
      <c r="R119" t="s">
        <v>49</v>
      </c>
      <c r="S119">
        <v>1</v>
      </c>
      <c r="T119" s="14">
        <v>125.58</v>
      </c>
      <c r="U119" s="7">
        <v>12</v>
      </c>
      <c r="V119" s="7">
        <v>22</v>
      </c>
      <c r="W119" s="14">
        <v>159.58000000000001</v>
      </c>
      <c r="X119" s="14">
        <v>418.6</v>
      </c>
      <c r="Y119" s="16">
        <v>10</v>
      </c>
      <c r="Z119" s="12">
        <v>376.74</v>
      </c>
      <c r="AA119" s="5">
        <v>217.16</v>
      </c>
      <c r="AB119" s="18">
        <v>57.64</v>
      </c>
      <c r="AC119" t="s">
        <v>50</v>
      </c>
      <c r="AD119" t="s">
        <v>86</v>
      </c>
      <c r="AE119" t="s">
        <v>52</v>
      </c>
      <c r="AF119">
        <v>3</v>
      </c>
      <c r="AG119" t="s">
        <v>53</v>
      </c>
    </row>
    <row r="120" spans="1:33">
      <c r="A120" t="s">
        <v>398</v>
      </c>
      <c r="B120" s="10">
        <v>45876</v>
      </c>
      <c r="C120" s="3" t="s">
        <v>70</v>
      </c>
      <c r="D120" t="s">
        <v>56</v>
      </c>
      <c r="E120" t="s">
        <v>99</v>
      </c>
      <c r="F120" t="s">
        <v>73</v>
      </c>
      <c r="G120" t="s">
        <v>74</v>
      </c>
      <c r="H120" t="s">
        <v>39</v>
      </c>
      <c r="I120" t="s">
        <v>2143</v>
      </c>
      <c r="J120" t="s">
        <v>41</v>
      </c>
      <c r="K120" t="s">
        <v>42</v>
      </c>
      <c r="L120" t="s">
        <v>399</v>
      </c>
      <c r="M120" t="s">
        <v>80</v>
      </c>
      <c r="N120" t="s">
        <v>110</v>
      </c>
      <c r="O120" t="s">
        <v>137</v>
      </c>
      <c r="P120" t="s">
        <v>138</v>
      </c>
      <c r="Q120" t="s">
        <v>139</v>
      </c>
      <c r="R120" t="s">
        <v>67</v>
      </c>
      <c r="S120">
        <v>3</v>
      </c>
      <c r="T120" s="14">
        <v>59.7</v>
      </c>
      <c r="U120" s="7">
        <v>12</v>
      </c>
      <c r="V120" s="7">
        <v>22</v>
      </c>
      <c r="W120" s="14">
        <v>93.7</v>
      </c>
      <c r="X120" s="14">
        <v>199</v>
      </c>
      <c r="Y120" s="16">
        <v>0</v>
      </c>
      <c r="Z120" s="12">
        <v>597</v>
      </c>
      <c r="AA120" s="5">
        <v>315.89999999999998</v>
      </c>
      <c r="AB120" s="18">
        <v>52.91</v>
      </c>
      <c r="AC120" t="s">
        <v>111</v>
      </c>
      <c r="AD120" t="s">
        <v>51</v>
      </c>
      <c r="AE120" t="s">
        <v>126</v>
      </c>
      <c r="AF120">
        <v>4</v>
      </c>
      <c r="AG120" t="s">
        <v>53</v>
      </c>
    </row>
    <row r="121" spans="1:33">
      <c r="A121" t="s">
        <v>400</v>
      </c>
      <c r="B121" s="10">
        <v>45941</v>
      </c>
      <c r="C121" s="3" t="s">
        <v>98</v>
      </c>
      <c r="D121" t="s">
        <v>71</v>
      </c>
      <c r="E121" t="s">
        <v>36</v>
      </c>
      <c r="F121" t="s">
        <v>37</v>
      </c>
      <c r="G121" t="s">
        <v>38</v>
      </c>
      <c r="H121" t="s">
        <v>115</v>
      </c>
      <c r="I121" t="s">
        <v>116</v>
      </c>
      <c r="J121" t="s">
        <v>117</v>
      </c>
      <c r="K121" t="s">
        <v>61</v>
      </c>
      <c r="L121" t="s">
        <v>401</v>
      </c>
      <c r="M121" t="s">
        <v>44</v>
      </c>
      <c r="N121" t="s">
        <v>81</v>
      </c>
      <c r="O121" t="s">
        <v>176</v>
      </c>
      <c r="P121" t="s">
        <v>177</v>
      </c>
      <c r="Q121" t="s">
        <v>66</v>
      </c>
      <c r="R121" t="s">
        <v>49</v>
      </c>
      <c r="S121">
        <v>2</v>
      </c>
      <c r="T121" s="14">
        <v>70.98</v>
      </c>
      <c r="U121" s="7">
        <v>12</v>
      </c>
      <c r="V121" s="7">
        <v>22</v>
      </c>
      <c r="W121" s="14">
        <v>104.98</v>
      </c>
      <c r="X121" s="14">
        <v>236.6</v>
      </c>
      <c r="Y121" s="16">
        <v>10</v>
      </c>
      <c r="Z121" s="12">
        <v>425.88</v>
      </c>
      <c r="AA121" s="5">
        <v>215.92</v>
      </c>
      <c r="AB121" s="18">
        <v>50.7</v>
      </c>
      <c r="AC121" t="s">
        <v>111</v>
      </c>
      <c r="AD121" t="s">
        <v>86</v>
      </c>
      <c r="AE121" t="s">
        <v>96</v>
      </c>
      <c r="AF121">
        <v>3</v>
      </c>
      <c r="AG121" t="s">
        <v>53</v>
      </c>
    </row>
    <row r="122" spans="1:33">
      <c r="A122" t="s">
        <v>402</v>
      </c>
      <c r="B122" s="10">
        <v>45768</v>
      </c>
      <c r="C122" s="3" t="s">
        <v>171</v>
      </c>
      <c r="D122" t="s">
        <v>206</v>
      </c>
      <c r="E122" t="s">
        <v>280</v>
      </c>
      <c r="F122" t="s">
        <v>131</v>
      </c>
      <c r="G122" t="s">
        <v>132</v>
      </c>
      <c r="H122" t="s">
        <v>39</v>
      </c>
      <c r="I122" t="s">
        <v>2143</v>
      </c>
      <c r="J122" t="s">
        <v>41</v>
      </c>
      <c r="K122" t="s">
        <v>42</v>
      </c>
      <c r="L122" t="s">
        <v>403</v>
      </c>
      <c r="M122" t="s">
        <v>80</v>
      </c>
      <c r="N122" t="s">
        <v>81</v>
      </c>
      <c r="O122" t="s">
        <v>176</v>
      </c>
      <c r="P122" t="s">
        <v>177</v>
      </c>
      <c r="Q122" t="s">
        <v>66</v>
      </c>
      <c r="R122" t="s">
        <v>49</v>
      </c>
      <c r="S122">
        <v>2</v>
      </c>
      <c r="T122" s="14">
        <v>70.98</v>
      </c>
      <c r="U122" s="7">
        <v>12</v>
      </c>
      <c r="V122" s="7">
        <v>22</v>
      </c>
      <c r="W122" s="14">
        <v>104.98</v>
      </c>
      <c r="X122" s="14">
        <v>236.6</v>
      </c>
      <c r="Y122" s="16">
        <v>0</v>
      </c>
      <c r="Z122" s="12">
        <v>473.2</v>
      </c>
      <c r="AA122" s="5">
        <v>263.24</v>
      </c>
      <c r="AB122" s="18">
        <v>55.63</v>
      </c>
      <c r="AC122" t="s">
        <v>104</v>
      </c>
      <c r="AD122" t="s">
        <v>86</v>
      </c>
      <c r="AE122" t="s">
        <v>105</v>
      </c>
      <c r="AF122">
        <v>4</v>
      </c>
      <c r="AG122" t="s">
        <v>53</v>
      </c>
    </row>
    <row r="123" spans="1:33">
      <c r="A123" t="s">
        <v>404</v>
      </c>
      <c r="B123" s="10">
        <v>45779</v>
      </c>
      <c r="C123" s="3" t="s">
        <v>70</v>
      </c>
      <c r="D123" t="s">
        <v>35</v>
      </c>
      <c r="E123" t="s">
        <v>130</v>
      </c>
      <c r="F123" t="s">
        <v>131</v>
      </c>
      <c r="G123" t="s">
        <v>132</v>
      </c>
      <c r="H123" t="s">
        <v>142</v>
      </c>
      <c r="I123" t="s">
        <v>143</v>
      </c>
      <c r="J123" t="s">
        <v>144</v>
      </c>
      <c r="K123" t="s">
        <v>145</v>
      </c>
      <c r="L123" t="s">
        <v>405</v>
      </c>
      <c r="M123" t="s">
        <v>80</v>
      </c>
      <c r="N123" t="s">
        <v>45</v>
      </c>
      <c r="O123" t="s">
        <v>82</v>
      </c>
      <c r="P123" t="s">
        <v>83</v>
      </c>
      <c r="Q123" t="s">
        <v>66</v>
      </c>
      <c r="R123" t="s">
        <v>49</v>
      </c>
      <c r="S123">
        <v>2</v>
      </c>
      <c r="T123" s="14">
        <v>100.38</v>
      </c>
      <c r="U123" s="7">
        <v>12</v>
      </c>
      <c r="V123" s="7">
        <v>22</v>
      </c>
      <c r="W123" s="14">
        <v>134.38</v>
      </c>
      <c r="X123" s="14">
        <v>334.6</v>
      </c>
      <c r="Y123" s="16">
        <v>5</v>
      </c>
      <c r="Z123" s="12">
        <v>635.74</v>
      </c>
      <c r="AA123" s="5">
        <v>366.98</v>
      </c>
      <c r="AB123" s="18">
        <v>57.72</v>
      </c>
      <c r="AC123" t="s">
        <v>104</v>
      </c>
      <c r="AD123" t="s">
        <v>86</v>
      </c>
      <c r="AE123" t="s">
        <v>126</v>
      </c>
      <c r="AF123">
        <v>4</v>
      </c>
      <c r="AG123" t="s">
        <v>53</v>
      </c>
    </row>
    <row r="124" spans="1:33">
      <c r="A124" t="s">
        <v>406</v>
      </c>
      <c r="B124" s="10">
        <v>45951</v>
      </c>
      <c r="C124" s="3" t="s">
        <v>55</v>
      </c>
      <c r="D124" t="s">
        <v>156</v>
      </c>
      <c r="E124" t="s">
        <v>36</v>
      </c>
      <c r="F124" t="s">
        <v>37</v>
      </c>
      <c r="G124" t="s">
        <v>38</v>
      </c>
      <c r="H124" t="s">
        <v>115</v>
      </c>
      <c r="I124" t="s">
        <v>116</v>
      </c>
      <c r="J124" t="s">
        <v>117</v>
      </c>
      <c r="K124" t="s">
        <v>61</v>
      </c>
      <c r="L124" t="s">
        <v>407</v>
      </c>
      <c r="M124" t="s">
        <v>63</v>
      </c>
      <c r="N124" t="s">
        <v>45</v>
      </c>
      <c r="O124" t="s">
        <v>82</v>
      </c>
      <c r="P124" t="s">
        <v>83</v>
      </c>
      <c r="Q124" t="s">
        <v>66</v>
      </c>
      <c r="R124" t="s">
        <v>49</v>
      </c>
      <c r="S124">
        <v>3</v>
      </c>
      <c r="T124" s="14">
        <v>100.38</v>
      </c>
      <c r="U124" s="7">
        <v>12</v>
      </c>
      <c r="V124" s="7">
        <v>22</v>
      </c>
      <c r="W124" s="14">
        <v>134.38</v>
      </c>
      <c r="X124" s="14">
        <v>334.6</v>
      </c>
      <c r="Y124" s="16">
        <v>5</v>
      </c>
      <c r="Z124" s="12">
        <v>953.61</v>
      </c>
      <c r="AA124" s="5">
        <v>550.47</v>
      </c>
      <c r="AB124" s="18">
        <v>57.72</v>
      </c>
      <c r="AC124" t="s">
        <v>111</v>
      </c>
      <c r="AD124" t="s">
        <v>158</v>
      </c>
      <c r="AE124" t="s">
        <v>96</v>
      </c>
      <c r="AF124">
        <v>5</v>
      </c>
      <c r="AG124" t="s">
        <v>53</v>
      </c>
    </row>
    <row r="125" spans="1:33">
      <c r="A125" t="s">
        <v>408</v>
      </c>
      <c r="B125" s="10">
        <v>45763</v>
      </c>
      <c r="C125" s="3" t="s">
        <v>155</v>
      </c>
      <c r="D125" t="s">
        <v>129</v>
      </c>
      <c r="E125" t="s">
        <v>280</v>
      </c>
      <c r="F125" t="s">
        <v>131</v>
      </c>
      <c r="G125" t="s">
        <v>132</v>
      </c>
      <c r="H125" t="s">
        <v>115</v>
      </c>
      <c r="I125" t="s">
        <v>116</v>
      </c>
      <c r="J125" t="s">
        <v>117</v>
      </c>
      <c r="K125" t="s">
        <v>61</v>
      </c>
      <c r="L125" t="s">
        <v>409</v>
      </c>
      <c r="M125" t="s">
        <v>63</v>
      </c>
      <c r="N125" t="s">
        <v>81</v>
      </c>
      <c r="O125" t="s">
        <v>82</v>
      </c>
      <c r="P125" t="s">
        <v>83</v>
      </c>
      <c r="Q125" t="s">
        <v>66</v>
      </c>
      <c r="R125" t="s">
        <v>67</v>
      </c>
      <c r="S125">
        <v>1</v>
      </c>
      <c r="T125" s="14">
        <v>71.7</v>
      </c>
      <c r="U125" s="7">
        <v>12</v>
      </c>
      <c r="V125" s="7">
        <v>22</v>
      </c>
      <c r="W125" s="14">
        <v>105.7</v>
      </c>
      <c r="X125" s="14">
        <v>239</v>
      </c>
      <c r="Y125" s="16">
        <v>10</v>
      </c>
      <c r="Z125" s="12">
        <v>215.1</v>
      </c>
      <c r="AA125" s="5">
        <v>109.4</v>
      </c>
      <c r="AB125" s="18">
        <v>50.86</v>
      </c>
      <c r="AC125" t="s">
        <v>104</v>
      </c>
      <c r="AD125" t="s">
        <v>86</v>
      </c>
      <c r="AE125" t="s">
        <v>52</v>
      </c>
      <c r="AF125">
        <v>3</v>
      </c>
      <c r="AG125" t="s">
        <v>53</v>
      </c>
    </row>
    <row r="126" spans="1:33">
      <c r="A126" t="s">
        <v>410</v>
      </c>
      <c r="B126" s="10">
        <v>45896</v>
      </c>
      <c r="C126" s="3" t="s">
        <v>307</v>
      </c>
      <c r="D126" t="s">
        <v>129</v>
      </c>
      <c r="E126" t="s">
        <v>99</v>
      </c>
      <c r="F126" t="s">
        <v>73</v>
      </c>
      <c r="G126" t="s">
        <v>74</v>
      </c>
      <c r="H126" t="s">
        <v>115</v>
      </c>
      <c r="I126" t="s">
        <v>116</v>
      </c>
      <c r="J126" t="s">
        <v>117</v>
      </c>
      <c r="K126" t="s">
        <v>61</v>
      </c>
      <c r="L126" t="s">
        <v>411</v>
      </c>
      <c r="M126" t="s">
        <v>63</v>
      </c>
      <c r="N126" t="s">
        <v>81</v>
      </c>
      <c r="O126" t="s">
        <v>119</v>
      </c>
      <c r="P126" t="s">
        <v>120</v>
      </c>
      <c r="Q126" t="s">
        <v>103</v>
      </c>
      <c r="R126" t="s">
        <v>67</v>
      </c>
      <c r="S126">
        <v>2</v>
      </c>
      <c r="T126" s="14">
        <v>38.700000000000003</v>
      </c>
      <c r="U126" s="7">
        <v>12</v>
      </c>
      <c r="V126" s="7">
        <v>22</v>
      </c>
      <c r="W126" s="14">
        <v>72.7</v>
      </c>
      <c r="X126" s="14">
        <v>129</v>
      </c>
      <c r="Y126" s="16">
        <v>10</v>
      </c>
      <c r="Z126" s="12">
        <v>232.2</v>
      </c>
      <c r="AA126" s="5">
        <v>86.8</v>
      </c>
      <c r="AB126" s="18">
        <v>37.380000000000003</v>
      </c>
      <c r="AC126" t="s">
        <v>50</v>
      </c>
      <c r="AD126" t="s">
        <v>86</v>
      </c>
      <c r="AE126" t="s">
        <v>52</v>
      </c>
      <c r="AF126">
        <v>5</v>
      </c>
      <c r="AG126" t="s">
        <v>53</v>
      </c>
    </row>
    <row r="127" spans="1:33">
      <c r="A127" t="s">
        <v>412</v>
      </c>
      <c r="B127" s="10">
        <v>45692</v>
      </c>
      <c r="C127" s="3" t="s">
        <v>211</v>
      </c>
      <c r="D127" t="s">
        <v>156</v>
      </c>
      <c r="E127" t="s">
        <v>90</v>
      </c>
      <c r="F127" t="s">
        <v>91</v>
      </c>
      <c r="G127" t="s">
        <v>92</v>
      </c>
      <c r="H127" t="s">
        <v>142</v>
      </c>
      <c r="I127" t="s">
        <v>143</v>
      </c>
      <c r="J127" t="s">
        <v>144</v>
      </c>
      <c r="K127" t="s">
        <v>145</v>
      </c>
      <c r="L127" t="s">
        <v>413</v>
      </c>
      <c r="M127" t="s">
        <v>63</v>
      </c>
      <c r="N127" t="s">
        <v>81</v>
      </c>
      <c r="O127" t="s">
        <v>82</v>
      </c>
      <c r="P127" t="s">
        <v>83</v>
      </c>
      <c r="Q127" t="s">
        <v>66</v>
      </c>
      <c r="R127" t="s">
        <v>67</v>
      </c>
      <c r="S127">
        <v>3</v>
      </c>
      <c r="T127" s="14">
        <v>71.7</v>
      </c>
      <c r="U127" s="7">
        <v>12</v>
      </c>
      <c r="V127" s="7">
        <v>22</v>
      </c>
      <c r="W127" s="14">
        <v>105.7</v>
      </c>
      <c r="X127" s="14">
        <v>239</v>
      </c>
      <c r="Y127" s="16">
        <v>5</v>
      </c>
      <c r="Z127" s="12">
        <v>681.15</v>
      </c>
      <c r="AA127" s="5">
        <v>364.05</v>
      </c>
      <c r="AB127" s="18">
        <v>53.45</v>
      </c>
      <c r="AC127" t="s">
        <v>111</v>
      </c>
      <c r="AD127" t="s">
        <v>158</v>
      </c>
      <c r="AE127" t="s">
        <v>68</v>
      </c>
      <c r="AF127">
        <v>5</v>
      </c>
      <c r="AG127" t="s">
        <v>53</v>
      </c>
    </row>
    <row r="128" spans="1:33">
      <c r="A128" t="s">
        <v>414</v>
      </c>
      <c r="B128" s="10">
        <v>45789</v>
      </c>
      <c r="C128" s="3" t="s">
        <v>339</v>
      </c>
      <c r="D128" t="s">
        <v>206</v>
      </c>
      <c r="E128" t="s">
        <v>130</v>
      </c>
      <c r="F128" t="s">
        <v>131</v>
      </c>
      <c r="G128" t="s">
        <v>132</v>
      </c>
      <c r="H128" t="s">
        <v>115</v>
      </c>
      <c r="I128" t="s">
        <v>116</v>
      </c>
      <c r="J128" t="s">
        <v>117</v>
      </c>
      <c r="K128" t="s">
        <v>61</v>
      </c>
      <c r="L128" t="s">
        <v>415</v>
      </c>
      <c r="M128" t="s">
        <v>63</v>
      </c>
      <c r="N128" t="s">
        <v>45</v>
      </c>
      <c r="O128" t="s">
        <v>64</v>
      </c>
      <c r="P128" t="s">
        <v>65</v>
      </c>
      <c r="Q128" t="s">
        <v>66</v>
      </c>
      <c r="R128" t="s">
        <v>84</v>
      </c>
      <c r="S128">
        <v>3</v>
      </c>
      <c r="T128" s="14">
        <v>53.64</v>
      </c>
      <c r="U128" s="7">
        <v>12</v>
      </c>
      <c r="V128" s="7">
        <v>22</v>
      </c>
      <c r="W128" s="14">
        <v>87.64</v>
      </c>
      <c r="X128" s="14">
        <v>178.8</v>
      </c>
      <c r="Y128" s="16">
        <v>5</v>
      </c>
      <c r="Z128" s="12">
        <v>509.58</v>
      </c>
      <c r="AA128" s="5">
        <v>246.66</v>
      </c>
      <c r="AB128" s="18">
        <v>48.4</v>
      </c>
      <c r="AC128" t="s">
        <v>85</v>
      </c>
      <c r="AD128" t="s">
        <v>86</v>
      </c>
      <c r="AE128" t="s">
        <v>68</v>
      </c>
      <c r="AF128" t="s">
        <v>2124</v>
      </c>
      <c r="AG128" t="s">
        <v>53</v>
      </c>
    </row>
    <row r="129" spans="1:33">
      <c r="A129" t="s">
        <v>416</v>
      </c>
      <c r="B129" s="10">
        <v>45676</v>
      </c>
      <c r="C129" s="3" t="s">
        <v>390</v>
      </c>
      <c r="D129" t="s">
        <v>89</v>
      </c>
      <c r="E129" t="s">
        <v>152</v>
      </c>
      <c r="F129" t="s">
        <v>91</v>
      </c>
      <c r="G129" t="s">
        <v>92</v>
      </c>
      <c r="H129" t="s">
        <v>39</v>
      </c>
      <c r="I129" t="s">
        <v>2143</v>
      </c>
      <c r="J129" t="s">
        <v>41</v>
      </c>
      <c r="K129" t="s">
        <v>42</v>
      </c>
      <c r="L129" t="s">
        <v>417</v>
      </c>
      <c r="M129" t="s">
        <v>63</v>
      </c>
      <c r="N129" t="s">
        <v>45</v>
      </c>
      <c r="O129" t="s">
        <v>275</v>
      </c>
      <c r="P129" t="s">
        <v>276</v>
      </c>
      <c r="Q129" t="s">
        <v>125</v>
      </c>
      <c r="R129" t="s">
        <v>67</v>
      </c>
      <c r="S129">
        <v>3</v>
      </c>
      <c r="T129" s="14">
        <v>68.7</v>
      </c>
      <c r="U129" s="7">
        <v>12</v>
      </c>
      <c r="V129" s="7">
        <v>22</v>
      </c>
      <c r="W129" s="14">
        <v>102.7</v>
      </c>
      <c r="X129" s="14">
        <v>229</v>
      </c>
      <c r="Y129" s="16">
        <v>10</v>
      </c>
      <c r="Z129" s="12">
        <v>618.29999999999995</v>
      </c>
      <c r="AA129" s="5">
        <v>310.2</v>
      </c>
      <c r="AB129" s="18">
        <v>50.17</v>
      </c>
      <c r="AC129" t="s">
        <v>111</v>
      </c>
      <c r="AD129" t="s">
        <v>51</v>
      </c>
      <c r="AE129" t="s">
        <v>52</v>
      </c>
      <c r="AF129">
        <v>5</v>
      </c>
      <c r="AG129" t="s">
        <v>53</v>
      </c>
    </row>
    <row r="130" spans="1:33">
      <c r="A130" t="s">
        <v>418</v>
      </c>
      <c r="B130" s="10">
        <v>45695</v>
      </c>
      <c r="C130" s="3" t="s">
        <v>70</v>
      </c>
      <c r="D130" t="s">
        <v>35</v>
      </c>
      <c r="E130" t="s">
        <v>90</v>
      </c>
      <c r="F130" t="s">
        <v>91</v>
      </c>
      <c r="G130" t="s">
        <v>92</v>
      </c>
      <c r="H130" t="s">
        <v>58</v>
      </c>
      <c r="I130" t="s">
        <v>59</v>
      </c>
      <c r="J130" t="s">
        <v>60</v>
      </c>
      <c r="K130" t="s">
        <v>61</v>
      </c>
      <c r="L130" t="s">
        <v>419</v>
      </c>
      <c r="M130" t="s">
        <v>63</v>
      </c>
      <c r="N130" t="s">
        <v>110</v>
      </c>
      <c r="O130" t="s">
        <v>176</v>
      </c>
      <c r="P130" t="s">
        <v>177</v>
      </c>
      <c r="Q130" t="s">
        <v>66</v>
      </c>
      <c r="R130" t="s">
        <v>49</v>
      </c>
      <c r="S130">
        <v>1</v>
      </c>
      <c r="T130" s="14">
        <v>70.98</v>
      </c>
      <c r="U130" s="7">
        <v>12</v>
      </c>
      <c r="V130" s="7">
        <v>22</v>
      </c>
      <c r="W130" s="14">
        <v>104.98</v>
      </c>
      <c r="X130" s="14">
        <v>236.6</v>
      </c>
      <c r="Y130" s="16">
        <v>0</v>
      </c>
      <c r="Z130" s="12">
        <v>236.6</v>
      </c>
      <c r="AA130" s="5">
        <v>131.62</v>
      </c>
      <c r="AB130" s="18">
        <v>55.63</v>
      </c>
      <c r="AC130" t="s">
        <v>85</v>
      </c>
      <c r="AD130" t="s">
        <v>86</v>
      </c>
      <c r="AE130" t="s">
        <v>52</v>
      </c>
      <c r="AF130">
        <v>4</v>
      </c>
      <c r="AG130" t="s">
        <v>53</v>
      </c>
    </row>
    <row r="131" spans="1:33">
      <c r="A131" t="s">
        <v>420</v>
      </c>
      <c r="B131" s="10">
        <v>45683</v>
      </c>
      <c r="C131" s="3" t="s">
        <v>211</v>
      </c>
      <c r="D131" t="s">
        <v>89</v>
      </c>
      <c r="E131" t="s">
        <v>152</v>
      </c>
      <c r="F131" t="s">
        <v>91</v>
      </c>
      <c r="G131" t="s">
        <v>92</v>
      </c>
      <c r="H131" t="s">
        <v>115</v>
      </c>
      <c r="I131" t="s">
        <v>116</v>
      </c>
      <c r="J131" t="s">
        <v>117</v>
      </c>
      <c r="K131" t="s">
        <v>61</v>
      </c>
      <c r="L131" t="s">
        <v>421</v>
      </c>
      <c r="M131" t="s">
        <v>44</v>
      </c>
      <c r="N131" t="s">
        <v>110</v>
      </c>
      <c r="O131" t="s">
        <v>137</v>
      </c>
      <c r="P131" t="s">
        <v>138</v>
      </c>
      <c r="Q131" t="s">
        <v>139</v>
      </c>
      <c r="R131" t="s">
        <v>49</v>
      </c>
      <c r="S131">
        <v>2</v>
      </c>
      <c r="T131" s="14">
        <v>83.58</v>
      </c>
      <c r="U131" s="7">
        <v>12</v>
      </c>
      <c r="V131" s="7">
        <v>22</v>
      </c>
      <c r="W131" s="14">
        <v>117.58</v>
      </c>
      <c r="X131" s="14">
        <v>278.60000000000002</v>
      </c>
      <c r="Y131" s="16">
        <v>10</v>
      </c>
      <c r="Z131" s="12">
        <v>501.48</v>
      </c>
      <c r="AA131" s="5">
        <v>266.32</v>
      </c>
      <c r="AB131" s="18">
        <v>53.11</v>
      </c>
      <c r="AC131" t="s">
        <v>85</v>
      </c>
      <c r="AD131" t="s">
        <v>51</v>
      </c>
      <c r="AE131" t="s">
        <v>96</v>
      </c>
      <c r="AF131">
        <v>5</v>
      </c>
      <c r="AG131" t="s">
        <v>53</v>
      </c>
    </row>
    <row r="132" spans="1:33">
      <c r="A132" t="s">
        <v>422</v>
      </c>
      <c r="B132" s="10">
        <v>46000</v>
      </c>
      <c r="C132" s="3" t="s">
        <v>155</v>
      </c>
      <c r="D132" t="s">
        <v>156</v>
      </c>
      <c r="E132" t="s">
        <v>149</v>
      </c>
      <c r="F132" t="s">
        <v>37</v>
      </c>
      <c r="G132" t="s">
        <v>92</v>
      </c>
      <c r="H132" t="s">
        <v>58</v>
      </c>
      <c r="I132" t="s">
        <v>59</v>
      </c>
      <c r="J132" t="s">
        <v>60</v>
      </c>
      <c r="K132" t="s">
        <v>61</v>
      </c>
      <c r="L132" t="s">
        <v>423</v>
      </c>
      <c r="M132" t="s">
        <v>80</v>
      </c>
      <c r="N132" t="s">
        <v>81</v>
      </c>
      <c r="O132" t="s">
        <v>101</v>
      </c>
      <c r="P132" t="s">
        <v>102</v>
      </c>
      <c r="Q132" t="s">
        <v>103</v>
      </c>
      <c r="R132" t="s">
        <v>49</v>
      </c>
      <c r="S132">
        <v>3</v>
      </c>
      <c r="T132" s="14">
        <v>62.58</v>
      </c>
      <c r="U132" s="7">
        <v>12</v>
      </c>
      <c r="V132" s="7">
        <v>22</v>
      </c>
      <c r="W132" s="14">
        <v>96.58</v>
      </c>
      <c r="X132" s="14">
        <v>208.6</v>
      </c>
      <c r="Y132" s="16">
        <v>10</v>
      </c>
      <c r="Z132" s="12">
        <v>563.22</v>
      </c>
      <c r="AA132" s="5">
        <v>273.48</v>
      </c>
      <c r="AB132" s="18">
        <v>48.56</v>
      </c>
      <c r="AC132" t="s">
        <v>85</v>
      </c>
      <c r="AD132" t="s">
        <v>86</v>
      </c>
      <c r="AE132" t="s">
        <v>96</v>
      </c>
      <c r="AF132">
        <v>5</v>
      </c>
      <c r="AG132" t="s">
        <v>53</v>
      </c>
    </row>
    <row r="133" spans="1:33">
      <c r="A133" t="s">
        <v>424</v>
      </c>
      <c r="B133" s="10">
        <v>45776</v>
      </c>
      <c r="C133" s="3" t="s">
        <v>88</v>
      </c>
      <c r="D133" t="s">
        <v>156</v>
      </c>
      <c r="E133" t="s">
        <v>280</v>
      </c>
      <c r="F133" t="s">
        <v>131</v>
      </c>
      <c r="G133" t="s">
        <v>132</v>
      </c>
      <c r="H133" t="s">
        <v>133</v>
      </c>
      <c r="I133" t="s">
        <v>134</v>
      </c>
      <c r="J133" t="s">
        <v>135</v>
      </c>
      <c r="K133" t="s">
        <v>42</v>
      </c>
      <c r="L133" t="s">
        <v>425</v>
      </c>
      <c r="M133" t="s">
        <v>44</v>
      </c>
      <c r="N133" t="s">
        <v>110</v>
      </c>
      <c r="O133" t="s">
        <v>275</v>
      </c>
      <c r="P133" t="s">
        <v>276</v>
      </c>
      <c r="Q133" t="s">
        <v>125</v>
      </c>
      <c r="R133" t="s">
        <v>67</v>
      </c>
      <c r="S133">
        <v>1</v>
      </c>
      <c r="T133" s="14">
        <v>68.7</v>
      </c>
      <c r="U133" s="7">
        <v>12</v>
      </c>
      <c r="V133" s="7">
        <v>22</v>
      </c>
      <c r="W133" s="14">
        <v>102.7</v>
      </c>
      <c r="X133" s="14">
        <v>229</v>
      </c>
      <c r="Y133" s="16">
        <v>0</v>
      </c>
      <c r="Z133" s="12">
        <v>229</v>
      </c>
      <c r="AA133" s="5">
        <v>126.3</v>
      </c>
      <c r="AB133" s="18">
        <v>55.15</v>
      </c>
      <c r="AC133" t="s">
        <v>104</v>
      </c>
      <c r="AD133" t="s">
        <v>51</v>
      </c>
      <c r="AE133" t="s">
        <v>52</v>
      </c>
      <c r="AF133">
        <v>4</v>
      </c>
      <c r="AG133" t="s">
        <v>53</v>
      </c>
    </row>
    <row r="134" spans="1:33">
      <c r="A134" t="s">
        <v>426</v>
      </c>
      <c r="B134" s="10">
        <v>45961</v>
      </c>
      <c r="C134" s="3" t="s">
        <v>155</v>
      </c>
      <c r="D134" t="s">
        <v>35</v>
      </c>
      <c r="E134" t="s">
        <v>36</v>
      </c>
      <c r="F134" t="s">
        <v>37</v>
      </c>
      <c r="G134" t="s">
        <v>38</v>
      </c>
      <c r="H134" t="s">
        <v>142</v>
      </c>
      <c r="I134" t="s">
        <v>143</v>
      </c>
      <c r="J134" t="s">
        <v>144</v>
      </c>
      <c r="K134" t="s">
        <v>145</v>
      </c>
      <c r="L134" t="s">
        <v>427</v>
      </c>
      <c r="M134" t="s">
        <v>63</v>
      </c>
      <c r="N134" t="s">
        <v>45</v>
      </c>
      <c r="O134" t="s">
        <v>94</v>
      </c>
      <c r="P134" t="s">
        <v>95</v>
      </c>
      <c r="Q134" t="s">
        <v>66</v>
      </c>
      <c r="R134" t="s">
        <v>49</v>
      </c>
      <c r="S134">
        <v>2</v>
      </c>
      <c r="T134" s="14">
        <v>91.98</v>
      </c>
      <c r="U134" s="7">
        <v>12</v>
      </c>
      <c r="V134" s="7">
        <v>22</v>
      </c>
      <c r="W134" s="14">
        <v>125.98</v>
      </c>
      <c r="X134" s="14">
        <v>306.60000000000002</v>
      </c>
      <c r="Y134" s="16">
        <v>0</v>
      </c>
      <c r="Z134" s="12">
        <v>613.20000000000005</v>
      </c>
      <c r="AA134" s="5">
        <v>361.24</v>
      </c>
      <c r="AB134" s="18">
        <v>58.91</v>
      </c>
      <c r="AC134" t="s">
        <v>111</v>
      </c>
      <c r="AD134" t="s">
        <v>86</v>
      </c>
      <c r="AE134" t="s">
        <v>126</v>
      </c>
      <c r="AF134">
        <v>4</v>
      </c>
      <c r="AG134" t="s">
        <v>53</v>
      </c>
    </row>
    <row r="135" spans="1:33">
      <c r="A135" t="s">
        <v>428</v>
      </c>
      <c r="B135" s="10">
        <v>45996</v>
      </c>
      <c r="C135" s="3" t="s">
        <v>141</v>
      </c>
      <c r="D135" t="s">
        <v>35</v>
      </c>
      <c r="E135" t="s">
        <v>149</v>
      </c>
      <c r="F135" t="s">
        <v>37</v>
      </c>
      <c r="G135" t="s">
        <v>92</v>
      </c>
      <c r="H135" t="s">
        <v>133</v>
      </c>
      <c r="I135" t="s">
        <v>134</v>
      </c>
      <c r="J135" t="s">
        <v>135</v>
      </c>
      <c r="K135" t="s">
        <v>42</v>
      </c>
      <c r="L135" t="s">
        <v>429</v>
      </c>
      <c r="M135" t="s">
        <v>63</v>
      </c>
      <c r="N135" t="s">
        <v>110</v>
      </c>
      <c r="O135" t="s">
        <v>82</v>
      </c>
      <c r="P135" t="s">
        <v>83</v>
      </c>
      <c r="Q135" t="s">
        <v>66</v>
      </c>
      <c r="R135" t="s">
        <v>84</v>
      </c>
      <c r="S135">
        <v>2</v>
      </c>
      <c r="T135" s="14">
        <v>86.04</v>
      </c>
      <c r="U135" s="7">
        <v>12</v>
      </c>
      <c r="V135" s="7">
        <v>22</v>
      </c>
      <c r="W135" s="14">
        <v>120.04</v>
      </c>
      <c r="X135" s="14">
        <v>286.8</v>
      </c>
      <c r="Y135" s="16">
        <v>10</v>
      </c>
      <c r="Z135" s="12">
        <v>516.24</v>
      </c>
      <c r="AA135" s="5">
        <v>276.16000000000003</v>
      </c>
      <c r="AB135" s="18">
        <v>53.49</v>
      </c>
      <c r="AC135" t="s">
        <v>50</v>
      </c>
      <c r="AD135" t="s">
        <v>86</v>
      </c>
      <c r="AE135" t="s">
        <v>68</v>
      </c>
      <c r="AF135">
        <v>5</v>
      </c>
      <c r="AG135" t="s">
        <v>53</v>
      </c>
    </row>
    <row r="136" spans="1:33">
      <c r="A136" t="s">
        <v>430</v>
      </c>
      <c r="B136" s="10">
        <v>45676</v>
      </c>
      <c r="C136" s="3" t="s">
        <v>113</v>
      </c>
      <c r="D136" t="s">
        <v>89</v>
      </c>
      <c r="E136" t="s">
        <v>152</v>
      </c>
      <c r="F136" t="s">
        <v>91</v>
      </c>
      <c r="G136" t="s">
        <v>92</v>
      </c>
      <c r="H136" t="s">
        <v>39</v>
      </c>
      <c r="I136" t="s">
        <v>2143</v>
      </c>
      <c r="J136" t="s">
        <v>41</v>
      </c>
      <c r="K136" t="s">
        <v>42</v>
      </c>
      <c r="L136" t="s">
        <v>431</v>
      </c>
      <c r="M136" t="s">
        <v>63</v>
      </c>
      <c r="N136" t="s">
        <v>81</v>
      </c>
      <c r="O136" t="s">
        <v>94</v>
      </c>
      <c r="P136" t="s">
        <v>95</v>
      </c>
      <c r="Q136" t="s">
        <v>66</v>
      </c>
      <c r="R136" t="s">
        <v>84</v>
      </c>
      <c r="S136">
        <v>1</v>
      </c>
      <c r="T136" s="14">
        <v>78.84</v>
      </c>
      <c r="U136" s="7">
        <v>12</v>
      </c>
      <c r="V136" s="7">
        <v>22</v>
      </c>
      <c r="W136" s="14">
        <v>112.84</v>
      </c>
      <c r="X136" s="14">
        <v>262.8</v>
      </c>
      <c r="Y136" s="16">
        <v>10</v>
      </c>
      <c r="Z136" s="12">
        <v>236.52</v>
      </c>
      <c r="AA136" s="5">
        <v>123.68</v>
      </c>
      <c r="AB136" s="18">
        <v>52.29</v>
      </c>
      <c r="AC136" t="s">
        <v>111</v>
      </c>
      <c r="AD136" t="s">
        <v>86</v>
      </c>
      <c r="AE136" t="s">
        <v>126</v>
      </c>
      <c r="AF136">
        <v>5</v>
      </c>
      <c r="AG136" t="s">
        <v>53</v>
      </c>
    </row>
    <row r="137" spans="1:33">
      <c r="A137" t="s">
        <v>432</v>
      </c>
      <c r="B137" s="10">
        <v>45753</v>
      </c>
      <c r="C137" s="3" t="s">
        <v>113</v>
      </c>
      <c r="D137" t="s">
        <v>89</v>
      </c>
      <c r="E137" t="s">
        <v>280</v>
      </c>
      <c r="F137" t="s">
        <v>131</v>
      </c>
      <c r="G137" t="s">
        <v>132</v>
      </c>
      <c r="H137" t="s">
        <v>142</v>
      </c>
      <c r="I137" t="s">
        <v>143</v>
      </c>
      <c r="J137" t="s">
        <v>144</v>
      </c>
      <c r="K137" t="s">
        <v>145</v>
      </c>
      <c r="L137" t="s">
        <v>433</v>
      </c>
      <c r="M137" t="s">
        <v>63</v>
      </c>
      <c r="N137" t="s">
        <v>45</v>
      </c>
      <c r="O137" t="s">
        <v>46</v>
      </c>
      <c r="P137" t="s">
        <v>47</v>
      </c>
      <c r="Q137" t="s">
        <v>48</v>
      </c>
      <c r="R137" t="s">
        <v>67</v>
      </c>
      <c r="S137">
        <v>1</v>
      </c>
      <c r="T137" s="14">
        <v>77.7</v>
      </c>
      <c r="U137" s="7">
        <v>12</v>
      </c>
      <c r="V137" s="7">
        <v>22</v>
      </c>
      <c r="W137" s="14">
        <v>111.7</v>
      </c>
      <c r="X137" s="14">
        <v>259</v>
      </c>
      <c r="Y137" s="16">
        <v>10</v>
      </c>
      <c r="Z137" s="12">
        <v>233.1</v>
      </c>
      <c r="AA137" s="5">
        <v>121.4</v>
      </c>
      <c r="AB137" s="18">
        <v>52.08</v>
      </c>
      <c r="AC137" t="s">
        <v>104</v>
      </c>
      <c r="AD137" t="s">
        <v>51</v>
      </c>
      <c r="AE137" t="s">
        <v>52</v>
      </c>
      <c r="AF137">
        <v>4</v>
      </c>
      <c r="AG137" t="s">
        <v>53</v>
      </c>
    </row>
    <row r="138" spans="1:33">
      <c r="A138" t="s">
        <v>434</v>
      </c>
      <c r="B138" s="10">
        <v>45674</v>
      </c>
      <c r="C138" s="3" t="s">
        <v>194</v>
      </c>
      <c r="D138" t="s">
        <v>35</v>
      </c>
      <c r="E138" t="s">
        <v>152</v>
      </c>
      <c r="F138" t="s">
        <v>91</v>
      </c>
      <c r="G138" t="s">
        <v>92</v>
      </c>
      <c r="H138" t="s">
        <v>133</v>
      </c>
      <c r="I138" t="s">
        <v>134</v>
      </c>
      <c r="J138" t="s">
        <v>135</v>
      </c>
      <c r="K138" t="s">
        <v>42</v>
      </c>
      <c r="L138" t="s">
        <v>435</v>
      </c>
      <c r="M138" t="s">
        <v>80</v>
      </c>
      <c r="N138" t="s">
        <v>81</v>
      </c>
      <c r="O138" t="s">
        <v>82</v>
      </c>
      <c r="P138" t="s">
        <v>83</v>
      </c>
      <c r="Q138" t="s">
        <v>66</v>
      </c>
      <c r="R138" t="s">
        <v>67</v>
      </c>
      <c r="S138">
        <v>2</v>
      </c>
      <c r="T138" s="14">
        <v>71.7</v>
      </c>
      <c r="U138" s="7">
        <v>12</v>
      </c>
      <c r="V138" s="7">
        <v>22</v>
      </c>
      <c r="W138" s="14">
        <v>105.7</v>
      </c>
      <c r="X138" s="14">
        <v>239</v>
      </c>
      <c r="Y138" s="16">
        <v>10</v>
      </c>
      <c r="Z138" s="12">
        <v>430.2</v>
      </c>
      <c r="AA138" s="5">
        <v>218.8</v>
      </c>
      <c r="AB138" s="18">
        <v>50.86</v>
      </c>
      <c r="AC138" t="s">
        <v>111</v>
      </c>
      <c r="AD138" t="s">
        <v>51</v>
      </c>
      <c r="AE138" t="s">
        <v>52</v>
      </c>
      <c r="AF138">
        <v>5</v>
      </c>
      <c r="AG138" t="s">
        <v>53</v>
      </c>
    </row>
    <row r="139" spans="1:33">
      <c r="A139" t="s">
        <v>436</v>
      </c>
      <c r="B139" s="10">
        <v>45838</v>
      </c>
      <c r="C139" s="3" t="s">
        <v>185</v>
      </c>
      <c r="D139" t="s">
        <v>206</v>
      </c>
      <c r="E139" t="s">
        <v>174</v>
      </c>
      <c r="F139" t="s">
        <v>131</v>
      </c>
      <c r="G139" t="s">
        <v>132</v>
      </c>
      <c r="H139" t="s">
        <v>142</v>
      </c>
      <c r="I139" t="s">
        <v>143</v>
      </c>
      <c r="J139" t="s">
        <v>144</v>
      </c>
      <c r="K139" t="s">
        <v>145</v>
      </c>
      <c r="L139" t="s">
        <v>437</v>
      </c>
      <c r="M139" t="s">
        <v>63</v>
      </c>
      <c r="N139" t="s">
        <v>45</v>
      </c>
      <c r="O139" t="s">
        <v>176</v>
      </c>
      <c r="P139" t="s">
        <v>177</v>
      </c>
      <c r="Q139" t="s">
        <v>66</v>
      </c>
      <c r="R139" t="s">
        <v>49</v>
      </c>
      <c r="S139">
        <v>2</v>
      </c>
      <c r="T139" s="14">
        <v>70.98</v>
      </c>
      <c r="U139" s="7">
        <v>12</v>
      </c>
      <c r="V139" s="7">
        <v>22</v>
      </c>
      <c r="W139" s="14">
        <v>104.98</v>
      </c>
      <c r="X139" s="14">
        <v>236.6</v>
      </c>
      <c r="Y139" s="16">
        <v>0</v>
      </c>
      <c r="Z139" s="12">
        <v>473.2</v>
      </c>
      <c r="AA139" s="5">
        <v>263.24</v>
      </c>
      <c r="AB139" s="18">
        <v>55.63</v>
      </c>
      <c r="AC139" t="s">
        <v>104</v>
      </c>
      <c r="AD139" t="s">
        <v>86</v>
      </c>
      <c r="AE139" t="s">
        <v>52</v>
      </c>
      <c r="AF139">
        <v>5</v>
      </c>
      <c r="AG139" t="s">
        <v>53</v>
      </c>
    </row>
    <row r="140" spans="1:33">
      <c r="A140" t="s">
        <v>438</v>
      </c>
      <c r="B140" s="10">
        <v>45895</v>
      </c>
      <c r="C140" s="3" t="s">
        <v>148</v>
      </c>
      <c r="D140" t="s">
        <v>156</v>
      </c>
      <c r="E140" t="s">
        <v>99</v>
      </c>
      <c r="F140" t="s">
        <v>73</v>
      </c>
      <c r="G140" t="s">
        <v>74</v>
      </c>
      <c r="H140" t="s">
        <v>39</v>
      </c>
      <c r="I140" t="s">
        <v>2143</v>
      </c>
      <c r="J140" t="s">
        <v>41</v>
      </c>
      <c r="K140" t="s">
        <v>42</v>
      </c>
      <c r="L140" t="s">
        <v>439</v>
      </c>
      <c r="M140" t="s">
        <v>80</v>
      </c>
      <c r="N140" t="s">
        <v>45</v>
      </c>
      <c r="O140" t="s">
        <v>82</v>
      </c>
      <c r="P140" t="s">
        <v>83</v>
      </c>
      <c r="Q140" t="s">
        <v>66</v>
      </c>
      <c r="R140" t="s">
        <v>49</v>
      </c>
      <c r="S140">
        <v>2</v>
      </c>
      <c r="T140" s="14">
        <v>100.38</v>
      </c>
      <c r="U140" s="7">
        <v>12</v>
      </c>
      <c r="V140" s="7">
        <v>22</v>
      </c>
      <c r="W140" s="14">
        <v>134.38</v>
      </c>
      <c r="X140" s="14">
        <v>334.6</v>
      </c>
      <c r="Y140" s="16">
        <v>0</v>
      </c>
      <c r="Z140" s="12">
        <v>669.2</v>
      </c>
      <c r="AA140" s="5">
        <v>400.44</v>
      </c>
      <c r="AB140" s="18">
        <v>59.84</v>
      </c>
      <c r="AC140" t="s">
        <v>111</v>
      </c>
      <c r="AD140" t="s">
        <v>86</v>
      </c>
      <c r="AE140" t="s">
        <v>126</v>
      </c>
      <c r="AF140">
        <v>4</v>
      </c>
      <c r="AG140" t="s">
        <v>53</v>
      </c>
    </row>
    <row r="141" spans="1:33">
      <c r="A141" t="s">
        <v>440</v>
      </c>
      <c r="B141" s="10">
        <v>45742</v>
      </c>
      <c r="C141" s="3" t="s">
        <v>70</v>
      </c>
      <c r="D141" t="s">
        <v>129</v>
      </c>
      <c r="E141" t="s">
        <v>108</v>
      </c>
      <c r="F141" t="s">
        <v>91</v>
      </c>
      <c r="G141" t="s">
        <v>38</v>
      </c>
      <c r="H141" t="s">
        <v>75</v>
      </c>
      <c r="I141" t="s">
        <v>76</v>
      </c>
      <c r="J141" t="s">
        <v>77</v>
      </c>
      <c r="K141" t="s">
        <v>78</v>
      </c>
      <c r="L141" t="s">
        <v>441</v>
      </c>
      <c r="M141" t="s">
        <v>63</v>
      </c>
      <c r="N141" t="s">
        <v>110</v>
      </c>
      <c r="O141" t="s">
        <v>82</v>
      </c>
      <c r="P141" t="s">
        <v>83</v>
      </c>
      <c r="Q141" t="s">
        <v>66</v>
      </c>
      <c r="R141" t="s">
        <v>67</v>
      </c>
      <c r="S141">
        <v>1</v>
      </c>
      <c r="T141" s="14">
        <v>71.7</v>
      </c>
      <c r="U141" s="7">
        <v>12</v>
      </c>
      <c r="V141" s="7">
        <v>22</v>
      </c>
      <c r="W141" s="14">
        <v>105.7</v>
      </c>
      <c r="X141" s="14">
        <v>239</v>
      </c>
      <c r="Y141" s="16">
        <v>5</v>
      </c>
      <c r="Z141" s="12">
        <v>227.05</v>
      </c>
      <c r="AA141" s="5">
        <v>121.35</v>
      </c>
      <c r="AB141" s="18">
        <v>53.45</v>
      </c>
      <c r="AC141" t="s">
        <v>85</v>
      </c>
      <c r="AD141" t="s">
        <v>86</v>
      </c>
      <c r="AE141" t="s">
        <v>126</v>
      </c>
      <c r="AF141">
        <v>4</v>
      </c>
      <c r="AG141" t="s">
        <v>53</v>
      </c>
    </row>
    <row r="142" spans="1:33">
      <c r="A142" t="s">
        <v>442</v>
      </c>
      <c r="B142" s="10">
        <v>45940</v>
      </c>
      <c r="C142" s="3" t="s">
        <v>155</v>
      </c>
      <c r="D142" t="s">
        <v>35</v>
      </c>
      <c r="E142" t="s">
        <v>36</v>
      </c>
      <c r="F142" t="s">
        <v>37</v>
      </c>
      <c r="G142" t="s">
        <v>38</v>
      </c>
      <c r="H142" t="s">
        <v>133</v>
      </c>
      <c r="I142" t="s">
        <v>134</v>
      </c>
      <c r="J142" t="s">
        <v>135</v>
      </c>
      <c r="K142" t="s">
        <v>42</v>
      </c>
      <c r="L142" t="s">
        <v>443</v>
      </c>
      <c r="M142" t="s">
        <v>44</v>
      </c>
      <c r="N142" t="s">
        <v>45</v>
      </c>
      <c r="O142" t="s">
        <v>101</v>
      </c>
      <c r="P142" t="s">
        <v>102</v>
      </c>
      <c r="Q142" t="s">
        <v>103</v>
      </c>
      <c r="R142" t="s">
        <v>84</v>
      </c>
      <c r="S142">
        <v>2</v>
      </c>
      <c r="T142" s="14">
        <v>53.64</v>
      </c>
      <c r="U142" s="7">
        <v>12</v>
      </c>
      <c r="V142" s="7">
        <v>22</v>
      </c>
      <c r="W142" s="14">
        <v>87.64</v>
      </c>
      <c r="X142" s="14">
        <v>178.8</v>
      </c>
      <c r="Y142" s="16">
        <v>0</v>
      </c>
      <c r="Z142" s="12">
        <v>357.6</v>
      </c>
      <c r="AA142" s="5">
        <v>182.32</v>
      </c>
      <c r="AB142" s="18">
        <v>50.98</v>
      </c>
      <c r="AC142" t="s">
        <v>85</v>
      </c>
      <c r="AD142" t="s">
        <v>158</v>
      </c>
      <c r="AE142" t="s">
        <v>126</v>
      </c>
      <c r="AF142">
        <v>5</v>
      </c>
      <c r="AG142" t="s">
        <v>53</v>
      </c>
    </row>
    <row r="143" spans="1:33">
      <c r="A143" t="s">
        <v>444</v>
      </c>
      <c r="B143" s="10">
        <v>46015</v>
      </c>
      <c r="C143" s="3" t="s">
        <v>141</v>
      </c>
      <c r="D143" t="s">
        <v>129</v>
      </c>
      <c r="E143" t="s">
        <v>149</v>
      </c>
      <c r="F143" t="s">
        <v>37</v>
      </c>
      <c r="G143" t="s">
        <v>92</v>
      </c>
      <c r="H143" t="s">
        <v>58</v>
      </c>
      <c r="I143" t="s">
        <v>59</v>
      </c>
      <c r="J143" t="s">
        <v>60</v>
      </c>
      <c r="K143" t="s">
        <v>61</v>
      </c>
      <c r="L143" t="s">
        <v>445</v>
      </c>
      <c r="M143" t="s">
        <v>63</v>
      </c>
      <c r="N143" t="s">
        <v>81</v>
      </c>
      <c r="O143" t="s">
        <v>168</v>
      </c>
      <c r="P143" t="s">
        <v>169</v>
      </c>
      <c r="Q143" t="s">
        <v>139</v>
      </c>
      <c r="R143" t="s">
        <v>84</v>
      </c>
      <c r="S143">
        <v>1</v>
      </c>
      <c r="T143" s="14">
        <v>57.24</v>
      </c>
      <c r="U143" s="7">
        <v>12</v>
      </c>
      <c r="V143" s="7">
        <v>22</v>
      </c>
      <c r="W143" s="14">
        <v>91.240000000000009</v>
      </c>
      <c r="X143" s="14">
        <v>190.8</v>
      </c>
      <c r="Y143" s="16">
        <v>5</v>
      </c>
      <c r="Z143" s="12">
        <v>181.26</v>
      </c>
      <c r="AA143" s="5">
        <v>90.02</v>
      </c>
      <c r="AB143" s="18">
        <v>49.66</v>
      </c>
      <c r="AC143" t="s">
        <v>50</v>
      </c>
      <c r="AD143" t="s">
        <v>51</v>
      </c>
      <c r="AE143" t="s">
        <v>126</v>
      </c>
      <c r="AF143" t="s">
        <v>2124</v>
      </c>
      <c r="AG143" t="s">
        <v>53</v>
      </c>
    </row>
    <row r="144" spans="1:33">
      <c r="A144" t="s">
        <v>446</v>
      </c>
      <c r="B144" s="10">
        <v>45888</v>
      </c>
      <c r="C144" s="3" t="s">
        <v>390</v>
      </c>
      <c r="D144" t="s">
        <v>156</v>
      </c>
      <c r="E144" t="s">
        <v>99</v>
      </c>
      <c r="F144" t="s">
        <v>73</v>
      </c>
      <c r="G144" t="s">
        <v>74</v>
      </c>
      <c r="H144" t="s">
        <v>133</v>
      </c>
      <c r="I144" t="s">
        <v>134</v>
      </c>
      <c r="J144" t="s">
        <v>135</v>
      </c>
      <c r="K144" t="s">
        <v>42</v>
      </c>
      <c r="L144" t="s">
        <v>447</v>
      </c>
      <c r="M144" t="s">
        <v>63</v>
      </c>
      <c r="N144" t="s">
        <v>81</v>
      </c>
      <c r="O144" t="s">
        <v>123</v>
      </c>
      <c r="P144" t="s">
        <v>124</v>
      </c>
      <c r="Q144" t="s">
        <v>125</v>
      </c>
      <c r="R144" t="s">
        <v>67</v>
      </c>
      <c r="S144">
        <v>1</v>
      </c>
      <c r="T144" s="14">
        <v>74.7</v>
      </c>
      <c r="U144" s="7">
        <v>12</v>
      </c>
      <c r="V144" s="7">
        <v>22</v>
      </c>
      <c r="W144" s="14">
        <v>108.7</v>
      </c>
      <c r="X144" s="14">
        <v>249</v>
      </c>
      <c r="Y144" s="16">
        <v>0</v>
      </c>
      <c r="Z144" s="12">
        <v>249</v>
      </c>
      <c r="AA144" s="5">
        <v>140.30000000000001</v>
      </c>
      <c r="AB144" s="18">
        <v>56.35</v>
      </c>
      <c r="AC144" t="s">
        <v>50</v>
      </c>
      <c r="AD144" t="s">
        <v>86</v>
      </c>
      <c r="AE144" t="s">
        <v>126</v>
      </c>
      <c r="AF144">
        <v>3</v>
      </c>
      <c r="AG144" t="s">
        <v>53</v>
      </c>
    </row>
    <row r="145" spans="1:33">
      <c r="A145" t="s">
        <v>448</v>
      </c>
      <c r="B145" s="10">
        <v>45817</v>
      </c>
      <c r="C145" s="3" t="s">
        <v>182</v>
      </c>
      <c r="D145" t="s">
        <v>206</v>
      </c>
      <c r="E145" t="s">
        <v>174</v>
      </c>
      <c r="F145" t="s">
        <v>131</v>
      </c>
      <c r="G145" t="s">
        <v>132</v>
      </c>
      <c r="H145" t="s">
        <v>58</v>
      </c>
      <c r="I145" t="s">
        <v>59</v>
      </c>
      <c r="J145" t="s">
        <v>60</v>
      </c>
      <c r="K145" t="s">
        <v>61</v>
      </c>
      <c r="L145" t="s">
        <v>449</v>
      </c>
      <c r="M145" t="s">
        <v>80</v>
      </c>
      <c r="N145" t="s">
        <v>81</v>
      </c>
      <c r="O145" t="s">
        <v>162</v>
      </c>
      <c r="P145" t="s">
        <v>163</v>
      </c>
      <c r="Q145" t="s">
        <v>48</v>
      </c>
      <c r="R145" t="s">
        <v>84</v>
      </c>
      <c r="S145">
        <v>2</v>
      </c>
      <c r="T145" s="14">
        <v>89.64</v>
      </c>
      <c r="U145" s="7">
        <v>12</v>
      </c>
      <c r="V145" s="7">
        <v>22</v>
      </c>
      <c r="W145" s="14">
        <v>123.64</v>
      </c>
      <c r="X145" s="14">
        <v>298.8</v>
      </c>
      <c r="Y145" s="16">
        <v>10</v>
      </c>
      <c r="Z145" s="12">
        <v>537.84</v>
      </c>
      <c r="AA145" s="5">
        <v>290.56</v>
      </c>
      <c r="AB145" s="18">
        <v>54.02</v>
      </c>
      <c r="AC145" t="s">
        <v>111</v>
      </c>
      <c r="AD145" t="s">
        <v>86</v>
      </c>
      <c r="AE145" t="s">
        <v>52</v>
      </c>
      <c r="AF145">
        <v>4</v>
      </c>
      <c r="AG145" t="s">
        <v>53</v>
      </c>
    </row>
    <row r="146" spans="1:33">
      <c r="A146" t="s">
        <v>450</v>
      </c>
      <c r="B146" s="10">
        <v>45788</v>
      </c>
      <c r="C146" s="3" t="s">
        <v>155</v>
      </c>
      <c r="D146" t="s">
        <v>89</v>
      </c>
      <c r="E146" t="s">
        <v>130</v>
      </c>
      <c r="F146" t="s">
        <v>131</v>
      </c>
      <c r="G146" t="s">
        <v>132</v>
      </c>
      <c r="H146" t="s">
        <v>133</v>
      </c>
      <c r="I146" t="s">
        <v>134</v>
      </c>
      <c r="J146" t="s">
        <v>135</v>
      </c>
      <c r="K146" t="s">
        <v>42</v>
      </c>
      <c r="L146" t="s">
        <v>451</v>
      </c>
      <c r="M146" t="s">
        <v>63</v>
      </c>
      <c r="N146" t="s">
        <v>81</v>
      </c>
      <c r="O146" t="s">
        <v>452</v>
      </c>
      <c r="P146" t="s">
        <v>453</v>
      </c>
      <c r="Q146" t="s">
        <v>215</v>
      </c>
      <c r="R146" t="s">
        <v>84</v>
      </c>
      <c r="S146">
        <v>2</v>
      </c>
      <c r="T146" s="14">
        <v>118.44</v>
      </c>
      <c r="U146" s="7">
        <v>12</v>
      </c>
      <c r="V146" s="7">
        <v>22</v>
      </c>
      <c r="W146" s="14">
        <v>152.44</v>
      </c>
      <c r="X146" s="14">
        <v>394.8</v>
      </c>
      <c r="Y146" s="16">
        <v>10</v>
      </c>
      <c r="Z146" s="12">
        <v>710.64</v>
      </c>
      <c r="AA146" s="5">
        <v>405.76</v>
      </c>
      <c r="AB146" s="18">
        <v>57.1</v>
      </c>
      <c r="AC146" t="s">
        <v>85</v>
      </c>
      <c r="AD146" t="s">
        <v>86</v>
      </c>
      <c r="AE146" t="s">
        <v>52</v>
      </c>
      <c r="AF146">
        <v>5</v>
      </c>
      <c r="AG146" t="s">
        <v>53</v>
      </c>
    </row>
    <row r="147" spans="1:33">
      <c r="A147" t="s">
        <v>454</v>
      </c>
      <c r="B147" s="10">
        <v>45727</v>
      </c>
      <c r="C147" s="3" t="s">
        <v>107</v>
      </c>
      <c r="D147" t="s">
        <v>156</v>
      </c>
      <c r="E147" t="s">
        <v>108</v>
      </c>
      <c r="F147" t="s">
        <v>91</v>
      </c>
      <c r="G147" t="s">
        <v>38</v>
      </c>
      <c r="H147" t="s">
        <v>115</v>
      </c>
      <c r="I147" t="s">
        <v>116</v>
      </c>
      <c r="J147" t="s">
        <v>117</v>
      </c>
      <c r="K147" t="s">
        <v>61</v>
      </c>
      <c r="L147" t="s">
        <v>455</v>
      </c>
      <c r="M147" t="s">
        <v>80</v>
      </c>
      <c r="N147" t="s">
        <v>45</v>
      </c>
      <c r="O147" t="s">
        <v>168</v>
      </c>
      <c r="P147" t="s">
        <v>169</v>
      </c>
      <c r="Q147" t="s">
        <v>139</v>
      </c>
      <c r="R147" t="s">
        <v>49</v>
      </c>
      <c r="S147">
        <v>3</v>
      </c>
      <c r="T147" s="14">
        <v>66.78</v>
      </c>
      <c r="U147" s="7">
        <v>12</v>
      </c>
      <c r="V147" s="7">
        <v>22</v>
      </c>
      <c r="W147" s="14">
        <v>100.78</v>
      </c>
      <c r="X147" s="14">
        <v>222.6</v>
      </c>
      <c r="Y147" s="16">
        <v>10</v>
      </c>
      <c r="Z147" s="12">
        <v>601.02</v>
      </c>
      <c r="AA147" s="5">
        <v>298.68</v>
      </c>
      <c r="AB147" s="18">
        <v>49.7</v>
      </c>
      <c r="AC147" t="s">
        <v>85</v>
      </c>
      <c r="AD147" t="s">
        <v>86</v>
      </c>
      <c r="AE147" t="s">
        <v>96</v>
      </c>
      <c r="AF147">
        <v>3</v>
      </c>
      <c r="AG147" t="s">
        <v>53</v>
      </c>
    </row>
    <row r="148" spans="1:33">
      <c r="A148" t="s">
        <v>456</v>
      </c>
      <c r="B148" s="10">
        <v>45801</v>
      </c>
      <c r="C148" s="3" t="s">
        <v>211</v>
      </c>
      <c r="D148" t="s">
        <v>71</v>
      </c>
      <c r="E148" t="s">
        <v>130</v>
      </c>
      <c r="F148" t="s">
        <v>131</v>
      </c>
      <c r="G148" t="s">
        <v>132</v>
      </c>
      <c r="H148" t="s">
        <v>133</v>
      </c>
      <c r="I148" t="s">
        <v>134</v>
      </c>
      <c r="J148" t="s">
        <v>135</v>
      </c>
      <c r="K148" t="s">
        <v>42</v>
      </c>
      <c r="L148" t="s">
        <v>457</v>
      </c>
      <c r="M148" t="s">
        <v>44</v>
      </c>
      <c r="N148" t="s">
        <v>45</v>
      </c>
      <c r="O148" t="s">
        <v>64</v>
      </c>
      <c r="P148" t="s">
        <v>65</v>
      </c>
      <c r="Q148" t="s">
        <v>66</v>
      </c>
      <c r="R148" t="s">
        <v>84</v>
      </c>
      <c r="S148">
        <v>2</v>
      </c>
      <c r="T148" s="14">
        <v>53.64</v>
      </c>
      <c r="U148" s="7">
        <v>12</v>
      </c>
      <c r="V148" s="7">
        <v>22</v>
      </c>
      <c r="W148" s="14">
        <v>87.64</v>
      </c>
      <c r="X148" s="14">
        <v>178.8</v>
      </c>
      <c r="Y148" s="16">
        <v>15</v>
      </c>
      <c r="Z148" s="12">
        <v>303.95999999999998</v>
      </c>
      <c r="AA148" s="5">
        <v>128.68</v>
      </c>
      <c r="AB148" s="18">
        <v>42.33</v>
      </c>
      <c r="AC148" t="s">
        <v>104</v>
      </c>
      <c r="AD148" t="s">
        <v>158</v>
      </c>
      <c r="AE148" t="s">
        <v>52</v>
      </c>
      <c r="AF148">
        <v>4</v>
      </c>
      <c r="AG148" t="s">
        <v>53</v>
      </c>
    </row>
    <row r="149" spans="1:33">
      <c r="A149" t="s">
        <v>458</v>
      </c>
      <c r="B149" s="10">
        <v>45947</v>
      </c>
      <c r="C149" s="3" t="s">
        <v>98</v>
      </c>
      <c r="D149" t="s">
        <v>35</v>
      </c>
      <c r="E149" t="s">
        <v>36</v>
      </c>
      <c r="F149" t="s">
        <v>37</v>
      </c>
      <c r="G149" t="s">
        <v>38</v>
      </c>
      <c r="H149" t="s">
        <v>142</v>
      </c>
      <c r="I149" t="s">
        <v>143</v>
      </c>
      <c r="J149" t="s">
        <v>144</v>
      </c>
      <c r="K149" t="s">
        <v>145</v>
      </c>
      <c r="L149" t="s">
        <v>459</v>
      </c>
      <c r="M149" t="s">
        <v>63</v>
      </c>
      <c r="N149" t="s">
        <v>81</v>
      </c>
      <c r="O149" t="s">
        <v>82</v>
      </c>
      <c r="P149" t="s">
        <v>83</v>
      </c>
      <c r="Q149" t="s">
        <v>66</v>
      </c>
      <c r="R149" t="s">
        <v>49</v>
      </c>
      <c r="S149">
        <v>2</v>
      </c>
      <c r="T149" s="14">
        <v>100.38</v>
      </c>
      <c r="U149" s="7">
        <v>12</v>
      </c>
      <c r="V149" s="7">
        <v>22</v>
      </c>
      <c r="W149" s="14">
        <v>134.38</v>
      </c>
      <c r="X149" s="14">
        <v>334.6</v>
      </c>
      <c r="Y149" s="16">
        <v>0</v>
      </c>
      <c r="Z149" s="12">
        <v>669.2</v>
      </c>
      <c r="AA149" s="5">
        <v>400.44</v>
      </c>
      <c r="AB149" s="18">
        <v>59.84</v>
      </c>
      <c r="AC149" t="s">
        <v>85</v>
      </c>
      <c r="AD149" t="s">
        <v>51</v>
      </c>
      <c r="AE149" t="s">
        <v>126</v>
      </c>
      <c r="AF149">
        <v>4</v>
      </c>
      <c r="AG149" t="s">
        <v>53</v>
      </c>
    </row>
    <row r="150" spans="1:33">
      <c r="A150" t="s">
        <v>460</v>
      </c>
      <c r="B150" s="10">
        <v>45893</v>
      </c>
      <c r="C150" s="3" t="s">
        <v>171</v>
      </c>
      <c r="D150" t="s">
        <v>89</v>
      </c>
      <c r="E150" t="s">
        <v>99</v>
      </c>
      <c r="F150" t="s">
        <v>73</v>
      </c>
      <c r="G150" t="s">
        <v>74</v>
      </c>
      <c r="H150" t="s">
        <v>39</v>
      </c>
      <c r="I150" t="s">
        <v>2143</v>
      </c>
      <c r="J150" t="s">
        <v>41</v>
      </c>
      <c r="K150" t="s">
        <v>42</v>
      </c>
      <c r="L150" t="s">
        <v>461</v>
      </c>
      <c r="M150" t="s">
        <v>44</v>
      </c>
      <c r="N150" t="s">
        <v>110</v>
      </c>
      <c r="O150" t="s">
        <v>82</v>
      </c>
      <c r="P150" t="s">
        <v>83</v>
      </c>
      <c r="Q150" t="s">
        <v>66</v>
      </c>
      <c r="R150" t="s">
        <v>84</v>
      </c>
      <c r="S150">
        <v>2</v>
      </c>
      <c r="T150" s="14">
        <v>86.04</v>
      </c>
      <c r="U150" s="7">
        <v>12</v>
      </c>
      <c r="V150" s="7">
        <v>22</v>
      </c>
      <c r="W150" s="14">
        <v>120.04</v>
      </c>
      <c r="X150" s="14">
        <v>286.8</v>
      </c>
      <c r="Y150" s="16">
        <v>10</v>
      </c>
      <c r="Z150" s="12">
        <v>516.24</v>
      </c>
      <c r="AA150" s="5">
        <v>276.16000000000003</v>
      </c>
      <c r="AB150" s="18">
        <v>53.49</v>
      </c>
      <c r="AC150" t="s">
        <v>111</v>
      </c>
      <c r="AD150" t="s">
        <v>86</v>
      </c>
      <c r="AE150" t="s">
        <v>68</v>
      </c>
      <c r="AF150">
        <v>3</v>
      </c>
      <c r="AG150" t="s">
        <v>53</v>
      </c>
    </row>
    <row r="151" spans="1:33">
      <c r="A151" t="s">
        <v>462</v>
      </c>
      <c r="B151" s="10">
        <v>45949</v>
      </c>
      <c r="C151" s="3" t="s">
        <v>179</v>
      </c>
      <c r="D151" t="s">
        <v>89</v>
      </c>
      <c r="E151" t="s">
        <v>36</v>
      </c>
      <c r="F151" t="s">
        <v>37</v>
      </c>
      <c r="G151" t="s">
        <v>38</v>
      </c>
      <c r="H151" t="s">
        <v>115</v>
      </c>
      <c r="I151" t="s">
        <v>116</v>
      </c>
      <c r="J151" t="s">
        <v>117</v>
      </c>
      <c r="K151" t="s">
        <v>61</v>
      </c>
      <c r="L151" t="s">
        <v>463</v>
      </c>
      <c r="M151" t="s">
        <v>44</v>
      </c>
      <c r="N151" t="s">
        <v>81</v>
      </c>
      <c r="O151" t="s">
        <v>64</v>
      </c>
      <c r="P151" t="s">
        <v>65</v>
      </c>
      <c r="Q151" t="s">
        <v>66</v>
      </c>
      <c r="R151" t="s">
        <v>49</v>
      </c>
      <c r="S151">
        <v>2</v>
      </c>
      <c r="T151" s="14">
        <v>62.58</v>
      </c>
      <c r="U151" s="7">
        <v>12</v>
      </c>
      <c r="V151" s="7">
        <v>22</v>
      </c>
      <c r="W151" s="14">
        <v>96.58</v>
      </c>
      <c r="X151" s="14">
        <v>208.6</v>
      </c>
      <c r="Y151" s="16">
        <v>10</v>
      </c>
      <c r="Z151" s="12">
        <v>375.48</v>
      </c>
      <c r="AA151" s="5">
        <v>182.32</v>
      </c>
      <c r="AB151" s="18">
        <v>48.56</v>
      </c>
      <c r="AC151" t="s">
        <v>111</v>
      </c>
      <c r="AD151" t="s">
        <v>86</v>
      </c>
      <c r="AE151" t="s">
        <v>96</v>
      </c>
      <c r="AF151">
        <v>4</v>
      </c>
      <c r="AG151" t="s">
        <v>53</v>
      </c>
    </row>
    <row r="152" spans="1:33">
      <c r="A152" t="s">
        <v>464</v>
      </c>
      <c r="B152" s="10">
        <v>45669</v>
      </c>
      <c r="C152" s="3" t="s">
        <v>55</v>
      </c>
      <c r="D152" t="s">
        <v>89</v>
      </c>
      <c r="E152" t="s">
        <v>152</v>
      </c>
      <c r="F152" t="s">
        <v>91</v>
      </c>
      <c r="G152" t="s">
        <v>92</v>
      </c>
      <c r="H152" t="s">
        <v>115</v>
      </c>
      <c r="I152" t="s">
        <v>116</v>
      </c>
      <c r="J152" t="s">
        <v>117</v>
      </c>
      <c r="K152" t="s">
        <v>61</v>
      </c>
      <c r="L152" t="s">
        <v>465</v>
      </c>
      <c r="M152" t="s">
        <v>80</v>
      </c>
      <c r="N152" t="s">
        <v>110</v>
      </c>
      <c r="O152" t="s">
        <v>94</v>
      </c>
      <c r="P152" t="s">
        <v>95</v>
      </c>
      <c r="Q152" t="s">
        <v>66</v>
      </c>
      <c r="R152" t="s">
        <v>49</v>
      </c>
      <c r="S152">
        <v>3</v>
      </c>
      <c r="T152" s="14">
        <v>91.98</v>
      </c>
      <c r="U152" s="7">
        <v>12</v>
      </c>
      <c r="V152" s="7">
        <v>22</v>
      </c>
      <c r="W152" s="14">
        <v>125.98</v>
      </c>
      <c r="X152" s="14">
        <v>306.60000000000002</v>
      </c>
      <c r="Y152" s="16">
        <v>10</v>
      </c>
      <c r="Z152" s="12">
        <v>827.82</v>
      </c>
      <c r="AA152" s="5">
        <v>449.88</v>
      </c>
      <c r="AB152" s="18">
        <v>54.35</v>
      </c>
      <c r="AC152" t="s">
        <v>50</v>
      </c>
      <c r="AD152" t="s">
        <v>158</v>
      </c>
      <c r="AE152" t="s">
        <v>52</v>
      </c>
      <c r="AF152">
        <v>4</v>
      </c>
      <c r="AG152" t="s">
        <v>53</v>
      </c>
    </row>
    <row r="153" spans="1:33">
      <c r="A153" t="s">
        <v>466</v>
      </c>
      <c r="B153" s="10">
        <v>45951</v>
      </c>
      <c r="C153" s="3" t="s">
        <v>310</v>
      </c>
      <c r="D153" t="s">
        <v>156</v>
      </c>
      <c r="E153" t="s">
        <v>36</v>
      </c>
      <c r="F153" t="s">
        <v>37</v>
      </c>
      <c r="G153" t="s">
        <v>38</v>
      </c>
      <c r="H153" t="s">
        <v>142</v>
      </c>
      <c r="I153" t="s">
        <v>143</v>
      </c>
      <c r="J153" t="s">
        <v>144</v>
      </c>
      <c r="K153" t="s">
        <v>145</v>
      </c>
      <c r="L153" t="s">
        <v>467</v>
      </c>
      <c r="M153" t="s">
        <v>44</v>
      </c>
      <c r="N153" t="s">
        <v>45</v>
      </c>
      <c r="O153" t="s">
        <v>46</v>
      </c>
      <c r="P153" t="s">
        <v>47</v>
      </c>
      <c r="Q153" t="s">
        <v>48</v>
      </c>
      <c r="R153" t="s">
        <v>49</v>
      </c>
      <c r="S153">
        <v>1</v>
      </c>
      <c r="T153" s="14">
        <v>108.78</v>
      </c>
      <c r="U153" s="7">
        <v>12</v>
      </c>
      <c r="V153" s="7">
        <v>22</v>
      </c>
      <c r="W153" s="14">
        <v>142.78</v>
      </c>
      <c r="X153" s="14">
        <v>362.6</v>
      </c>
      <c r="Y153" s="16">
        <v>0</v>
      </c>
      <c r="Z153" s="12">
        <v>362.6</v>
      </c>
      <c r="AA153" s="5">
        <v>219.82</v>
      </c>
      <c r="AB153" s="18">
        <v>60.62</v>
      </c>
      <c r="AC153" t="s">
        <v>85</v>
      </c>
      <c r="AD153" t="s">
        <v>158</v>
      </c>
      <c r="AE153" t="s">
        <v>126</v>
      </c>
      <c r="AF153">
        <v>5</v>
      </c>
      <c r="AG153" t="s">
        <v>53</v>
      </c>
    </row>
    <row r="154" spans="1:33">
      <c r="A154" t="s">
        <v>468</v>
      </c>
      <c r="B154" s="10">
        <v>45729</v>
      </c>
      <c r="C154" s="3" t="s">
        <v>55</v>
      </c>
      <c r="D154" t="s">
        <v>56</v>
      </c>
      <c r="E154" t="s">
        <v>108</v>
      </c>
      <c r="F154" t="s">
        <v>91</v>
      </c>
      <c r="G154" t="s">
        <v>38</v>
      </c>
      <c r="H154" t="s">
        <v>142</v>
      </c>
      <c r="I154" t="s">
        <v>143</v>
      </c>
      <c r="J154" t="s">
        <v>144</v>
      </c>
      <c r="K154" t="s">
        <v>145</v>
      </c>
      <c r="L154" t="s">
        <v>469</v>
      </c>
      <c r="M154" t="s">
        <v>63</v>
      </c>
      <c r="N154" t="s">
        <v>110</v>
      </c>
      <c r="O154" t="s">
        <v>82</v>
      </c>
      <c r="P154" t="s">
        <v>83</v>
      </c>
      <c r="Q154" t="s">
        <v>66</v>
      </c>
      <c r="R154" t="s">
        <v>49</v>
      </c>
      <c r="S154">
        <v>1</v>
      </c>
      <c r="T154" s="14">
        <v>100.38</v>
      </c>
      <c r="U154" s="7">
        <v>12</v>
      </c>
      <c r="V154" s="7">
        <v>22</v>
      </c>
      <c r="W154" s="14">
        <v>134.38</v>
      </c>
      <c r="X154" s="14">
        <v>334.6</v>
      </c>
      <c r="Y154" s="16">
        <v>0</v>
      </c>
      <c r="Z154" s="12">
        <v>334.6</v>
      </c>
      <c r="AA154" s="5">
        <v>200.22</v>
      </c>
      <c r="AB154" s="18">
        <v>59.84</v>
      </c>
      <c r="AC154" t="s">
        <v>104</v>
      </c>
      <c r="AD154" t="s">
        <v>51</v>
      </c>
      <c r="AE154" t="s">
        <v>105</v>
      </c>
      <c r="AF154">
        <v>5</v>
      </c>
      <c r="AG154" t="s">
        <v>53</v>
      </c>
    </row>
    <row r="155" spans="1:33">
      <c r="A155" t="s">
        <v>470</v>
      </c>
      <c r="B155" s="10">
        <v>45861</v>
      </c>
      <c r="C155" s="3" t="s">
        <v>219</v>
      </c>
      <c r="D155" t="s">
        <v>129</v>
      </c>
      <c r="E155" t="s">
        <v>114</v>
      </c>
      <c r="F155" t="s">
        <v>73</v>
      </c>
      <c r="G155" t="s">
        <v>74</v>
      </c>
      <c r="H155" t="s">
        <v>75</v>
      </c>
      <c r="I155" t="s">
        <v>76</v>
      </c>
      <c r="J155" t="s">
        <v>77</v>
      </c>
      <c r="K155" t="s">
        <v>78</v>
      </c>
      <c r="L155" t="s">
        <v>471</v>
      </c>
      <c r="M155" t="s">
        <v>80</v>
      </c>
      <c r="N155" t="s">
        <v>45</v>
      </c>
      <c r="O155" t="s">
        <v>101</v>
      </c>
      <c r="P155" t="s">
        <v>102</v>
      </c>
      <c r="Q155" t="s">
        <v>103</v>
      </c>
      <c r="R155" t="s">
        <v>49</v>
      </c>
      <c r="S155">
        <v>2</v>
      </c>
      <c r="T155" s="14">
        <v>62.58</v>
      </c>
      <c r="U155" s="7">
        <v>12</v>
      </c>
      <c r="V155" s="7">
        <v>22</v>
      </c>
      <c r="W155" s="14">
        <v>96.58</v>
      </c>
      <c r="X155" s="14">
        <v>208.6</v>
      </c>
      <c r="Y155" s="16">
        <v>0</v>
      </c>
      <c r="Z155" s="12">
        <v>417.2</v>
      </c>
      <c r="AA155" s="5">
        <v>224.04</v>
      </c>
      <c r="AB155" s="18">
        <v>53.7</v>
      </c>
      <c r="AC155" t="s">
        <v>111</v>
      </c>
      <c r="AD155" t="s">
        <v>86</v>
      </c>
      <c r="AE155" t="s">
        <v>126</v>
      </c>
      <c r="AF155">
        <v>5</v>
      </c>
      <c r="AG155" t="s">
        <v>53</v>
      </c>
    </row>
    <row r="156" spans="1:33">
      <c r="A156" t="s">
        <v>472</v>
      </c>
      <c r="B156" s="10">
        <v>45830</v>
      </c>
      <c r="C156" s="3" t="s">
        <v>219</v>
      </c>
      <c r="D156" t="s">
        <v>89</v>
      </c>
      <c r="E156" t="s">
        <v>174</v>
      </c>
      <c r="F156" t="s">
        <v>131</v>
      </c>
      <c r="G156" t="s">
        <v>132</v>
      </c>
      <c r="H156" t="s">
        <v>58</v>
      </c>
      <c r="I156" t="s">
        <v>59</v>
      </c>
      <c r="J156" t="s">
        <v>60</v>
      </c>
      <c r="K156" t="s">
        <v>61</v>
      </c>
      <c r="L156" t="s">
        <v>473</v>
      </c>
      <c r="M156" t="s">
        <v>63</v>
      </c>
      <c r="N156" t="s">
        <v>110</v>
      </c>
      <c r="O156" t="s">
        <v>137</v>
      </c>
      <c r="P156" t="s">
        <v>138</v>
      </c>
      <c r="Q156" t="s">
        <v>139</v>
      </c>
      <c r="R156" t="s">
        <v>84</v>
      </c>
      <c r="S156">
        <v>3</v>
      </c>
      <c r="T156" s="14">
        <v>71.64</v>
      </c>
      <c r="U156" s="7">
        <v>12</v>
      </c>
      <c r="V156" s="7">
        <v>22</v>
      </c>
      <c r="W156" s="14">
        <v>105.64</v>
      </c>
      <c r="X156" s="14">
        <v>238.8</v>
      </c>
      <c r="Y156" s="16">
        <v>10</v>
      </c>
      <c r="Z156" s="12">
        <v>644.76</v>
      </c>
      <c r="AA156" s="5">
        <v>327.84</v>
      </c>
      <c r="AB156" s="18">
        <v>50.85</v>
      </c>
      <c r="AC156" t="s">
        <v>50</v>
      </c>
      <c r="AD156" t="s">
        <v>86</v>
      </c>
      <c r="AE156" t="s">
        <v>96</v>
      </c>
      <c r="AF156">
        <v>5</v>
      </c>
      <c r="AG156" t="s">
        <v>53</v>
      </c>
    </row>
    <row r="157" spans="1:33">
      <c r="A157" t="s">
        <v>474</v>
      </c>
      <c r="B157" s="10">
        <v>45967</v>
      </c>
      <c r="C157" s="3" t="s">
        <v>98</v>
      </c>
      <c r="D157" t="s">
        <v>56</v>
      </c>
      <c r="E157" t="s">
        <v>57</v>
      </c>
      <c r="F157" t="s">
        <v>37</v>
      </c>
      <c r="G157" t="s">
        <v>38</v>
      </c>
      <c r="H157" t="s">
        <v>142</v>
      </c>
      <c r="I157" t="s">
        <v>143</v>
      </c>
      <c r="J157" t="s">
        <v>144</v>
      </c>
      <c r="K157" t="s">
        <v>145</v>
      </c>
      <c r="L157" t="s">
        <v>475</v>
      </c>
      <c r="M157" t="s">
        <v>44</v>
      </c>
      <c r="N157" t="s">
        <v>45</v>
      </c>
      <c r="O157" t="s">
        <v>94</v>
      </c>
      <c r="P157" t="s">
        <v>95</v>
      </c>
      <c r="Q157" t="s">
        <v>66</v>
      </c>
      <c r="R157" t="s">
        <v>49</v>
      </c>
      <c r="S157">
        <v>1</v>
      </c>
      <c r="T157" s="14">
        <v>91.98</v>
      </c>
      <c r="U157" s="7">
        <v>12</v>
      </c>
      <c r="V157" s="7">
        <v>22</v>
      </c>
      <c r="W157" s="14">
        <v>125.98</v>
      </c>
      <c r="X157" s="14">
        <v>306.60000000000002</v>
      </c>
      <c r="Y157" s="16">
        <v>0</v>
      </c>
      <c r="Z157" s="12">
        <v>306.60000000000002</v>
      </c>
      <c r="AA157" s="5">
        <v>180.62</v>
      </c>
      <c r="AB157" s="18">
        <v>58.91</v>
      </c>
      <c r="AC157" t="s">
        <v>111</v>
      </c>
      <c r="AD157" t="s">
        <v>86</v>
      </c>
      <c r="AE157" t="s">
        <v>68</v>
      </c>
      <c r="AF157">
        <v>5</v>
      </c>
      <c r="AG157" t="s">
        <v>53</v>
      </c>
    </row>
    <row r="158" spans="1:33">
      <c r="A158" t="s">
        <v>476</v>
      </c>
      <c r="B158" s="10">
        <v>45778</v>
      </c>
      <c r="C158" s="3" t="s">
        <v>148</v>
      </c>
      <c r="D158" t="s">
        <v>56</v>
      </c>
      <c r="E158" t="s">
        <v>130</v>
      </c>
      <c r="F158" t="s">
        <v>131</v>
      </c>
      <c r="G158" t="s">
        <v>132</v>
      </c>
      <c r="H158" t="s">
        <v>115</v>
      </c>
      <c r="I158" t="s">
        <v>116</v>
      </c>
      <c r="J158" t="s">
        <v>117</v>
      </c>
      <c r="K158" t="s">
        <v>61</v>
      </c>
      <c r="L158" t="s">
        <v>477</v>
      </c>
      <c r="M158" t="s">
        <v>63</v>
      </c>
      <c r="N158" t="s">
        <v>45</v>
      </c>
      <c r="O158" t="s">
        <v>162</v>
      </c>
      <c r="P158" t="s">
        <v>163</v>
      </c>
      <c r="Q158" t="s">
        <v>48</v>
      </c>
      <c r="R158" t="s">
        <v>49</v>
      </c>
      <c r="S158">
        <v>1</v>
      </c>
      <c r="T158" s="14">
        <v>104.58</v>
      </c>
      <c r="U158" s="7">
        <v>12</v>
      </c>
      <c r="V158" s="7">
        <v>22</v>
      </c>
      <c r="W158" s="14">
        <v>138.58000000000001</v>
      </c>
      <c r="X158" s="14">
        <v>348.6</v>
      </c>
      <c r="Y158" s="16">
        <v>5</v>
      </c>
      <c r="Z158" s="12">
        <v>331.17</v>
      </c>
      <c r="AA158" s="5">
        <v>192.59</v>
      </c>
      <c r="AB158" s="18">
        <v>58.15</v>
      </c>
      <c r="AC158" t="s">
        <v>50</v>
      </c>
      <c r="AD158" t="s">
        <v>86</v>
      </c>
      <c r="AE158" t="s">
        <v>126</v>
      </c>
      <c r="AF158">
        <v>4</v>
      </c>
      <c r="AG158" t="s">
        <v>53</v>
      </c>
    </row>
    <row r="159" spans="1:33">
      <c r="A159" t="s">
        <v>478</v>
      </c>
      <c r="B159" s="10">
        <v>45985</v>
      </c>
      <c r="C159" s="3" t="s">
        <v>171</v>
      </c>
      <c r="D159" t="s">
        <v>206</v>
      </c>
      <c r="E159" t="s">
        <v>57</v>
      </c>
      <c r="F159" t="s">
        <v>37</v>
      </c>
      <c r="G159" t="s">
        <v>38</v>
      </c>
      <c r="H159" t="s">
        <v>115</v>
      </c>
      <c r="I159" t="s">
        <v>116</v>
      </c>
      <c r="J159" t="s">
        <v>117</v>
      </c>
      <c r="K159" t="s">
        <v>61</v>
      </c>
      <c r="L159" t="s">
        <v>479</v>
      </c>
      <c r="M159" t="s">
        <v>80</v>
      </c>
      <c r="N159" t="s">
        <v>45</v>
      </c>
      <c r="O159" t="s">
        <v>64</v>
      </c>
      <c r="P159" t="s">
        <v>65</v>
      </c>
      <c r="Q159" t="s">
        <v>66</v>
      </c>
      <c r="R159" t="s">
        <v>49</v>
      </c>
      <c r="S159">
        <v>3</v>
      </c>
      <c r="T159" s="14">
        <v>62.58</v>
      </c>
      <c r="U159" s="7">
        <v>12</v>
      </c>
      <c r="V159" s="7">
        <v>22</v>
      </c>
      <c r="W159" s="14">
        <v>96.58</v>
      </c>
      <c r="X159" s="14">
        <v>208.6</v>
      </c>
      <c r="Y159" s="16">
        <v>0</v>
      </c>
      <c r="Z159" s="12">
        <v>625.79999999999995</v>
      </c>
      <c r="AA159" s="5">
        <v>336.06</v>
      </c>
      <c r="AB159" s="18">
        <v>53.7</v>
      </c>
      <c r="AC159" t="s">
        <v>111</v>
      </c>
      <c r="AD159" t="s">
        <v>86</v>
      </c>
      <c r="AE159" t="s">
        <v>96</v>
      </c>
      <c r="AF159">
        <v>4</v>
      </c>
      <c r="AG159" t="s">
        <v>53</v>
      </c>
    </row>
    <row r="160" spans="1:33">
      <c r="A160" t="s">
        <v>480</v>
      </c>
      <c r="B160" s="10">
        <v>45839</v>
      </c>
      <c r="C160" s="3" t="s">
        <v>171</v>
      </c>
      <c r="D160" t="s">
        <v>156</v>
      </c>
      <c r="E160" t="s">
        <v>114</v>
      </c>
      <c r="F160" t="s">
        <v>73</v>
      </c>
      <c r="G160" t="s">
        <v>74</v>
      </c>
      <c r="H160" t="s">
        <v>133</v>
      </c>
      <c r="I160" t="s">
        <v>134</v>
      </c>
      <c r="J160" t="s">
        <v>135</v>
      </c>
      <c r="K160" t="s">
        <v>42</v>
      </c>
      <c r="L160" t="s">
        <v>481</v>
      </c>
      <c r="M160" t="s">
        <v>63</v>
      </c>
      <c r="N160" t="s">
        <v>81</v>
      </c>
      <c r="O160" t="s">
        <v>94</v>
      </c>
      <c r="P160" t="s">
        <v>95</v>
      </c>
      <c r="Q160" t="s">
        <v>66</v>
      </c>
      <c r="R160" t="s">
        <v>49</v>
      </c>
      <c r="S160">
        <v>2</v>
      </c>
      <c r="T160" s="14">
        <v>91.98</v>
      </c>
      <c r="U160" s="7">
        <v>12</v>
      </c>
      <c r="V160" s="7">
        <v>22</v>
      </c>
      <c r="W160" s="14">
        <v>125.98</v>
      </c>
      <c r="X160" s="14">
        <v>306.60000000000002</v>
      </c>
      <c r="Y160" s="16">
        <v>0</v>
      </c>
      <c r="Z160" s="12">
        <v>613.20000000000005</v>
      </c>
      <c r="AA160" s="5">
        <v>361.24</v>
      </c>
      <c r="AB160" s="18">
        <v>58.91</v>
      </c>
      <c r="AC160" t="s">
        <v>85</v>
      </c>
      <c r="AD160" t="s">
        <v>86</v>
      </c>
      <c r="AE160" t="s">
        <v>126</v>
      </c>
      <c r="AF160">
        <v>3</v>
      </c>
      <c r="AG160" t="s">
        <v>53</v>
      </c>
    </row>
    <row r="161" spans="1:33">
      <c r="A161" t="s">
        <v>482</v>
      </c>
      <c r="B161" s="10">
        <v>45704</v>
      </c>
      <c r="C161" s="3" t="s">
        <v>107</v>
      </c>
      <c r="D161" t="s">
        <v>89</v>
      </c>
      <c r="E161" t="s">
        <v>90</v>
      </c>
      <c r="F161" t="s">
        <v>91</v>
      </c>
      <c r="G161" t="s">
        <v>92</v>
      </c>
      <c r="H161" t="s">
        <v>75</v>
      </c>
      <c r="I161" t="s">
        <v>76</v>
      </c>
      <c r="J161" t="s">
        <v>77</v>
      </c>
      <c r="K161" t="s">
        <v>78</v>
      </c>
      <c r="L161" t="s">
        <v>483</v>
      </c>
      <c r="M161" t="s">
        <v>80</v>
      </c>
      <c r="N161" t="s">
        <v>110</v>
      </c>
      <c r="O161" t="s">
        <v>94</v>
      </c>
      <c r="P161" t="s">
        <v>95</v>
      </c>
      <c r="Q161" t="s">
        <v>66</v>
      </c>
      <c r="R161" t="s">
        <v>49</v>
      </c>
      <c r="S161">
        <v>2</v>
      </c>
      <c r="T161" s="14">
        <v>91.98</v>
      </c>
      <c r="U161" s="7">
        <v>12</v>
      </c>
      <c r="V161" s="7">
        <v>22</v>
      </c>
      <c r="W161" s="14">
        <v>125.98</v>
      </c>
      <c r="X161" s="14">
        <v>306.60000000000002</v>
      </c>
      <c r="Y161" s="16">
        <v>15</v>
      </c>
      <c r="Z161" s="12">
        <v>521.22</v>
      </c>
      <c r="AA161" s="5">
        <v>269.26</v>
      </c>
      <c r="AB161" s="18">
        <v>51.66</v>
      </c>
      <c r="AC161" t="s">
        <v>104</v>
      </c>
      <c r="AD161" t="s">
        <v>86</v>
      </c>
      <c r="AE161" t="s">
        <v>105</v>
      </c>
      <c r="AF161">
        <v>5</v>
      </c>
      <c r="AG161" t="s">
        <v>53</v>
      </c>
    </row>
    <row r="162" spans="1:33">
      <c r="A162" t="s">
        <v>484</v>
      </c>
      <c r="B162" s="10">
        <v>45780</v>
      </c>
      <c r="C162" s="3" t="s">
        <v>179</v>
      </c>
      <c r="D162" t="s">
        <v>71</v>
      </c>
      <c r="E162" t="s">
        <v>130</v>
      </c>
      <c r="F162" t="s">
        <v>131</v>
      </c>
      <c r="G162" t="s">
        <v>132</v>
      </c>
      <c r="H162" t="s">
        <v>142</v>
      </c>
      <c r="I162" t="s">
        <v>143</v>
      </c>
      <c r="J162" t="s">
        <v>144</v>
      </c>
      <c r="K162" t="s">
        <v>145</v>
      </c>
      <c r="L162" t="s">
        <v>485</v>
      </c>
      <c r="M162" t="s">
        <v>63</v>
      </c>
      <c r="N162" t="s">
        <v>110</v>
      </c>
      <c r="O162" t="s">
        <v>64</v>
      </c>
      <c r="P162" t="s">
        <v>65</v>
      </c>
      <c r="Q162" t="s">
        <v>66</v>
      </c>
      <c r="R162" t="s">
        <v>67</v>
      </c>
      <c r="S162">
        <v>1</v>
      </c>
      <c r="T162" s="14">
        <v>44.7</v>
      </c>
      <c r="U162" s="7">
        <v>12</v>
      </c>
      <c r="V162" s="7">
        <v>22</v>
      </c>
      <c r="W162" s="14">
        <v>78.7</v>
      </c>
      <c r="X162" s="14">
        <v>149</v>
      </c>
      <c r="Y162" s="16">
        <v>10</v>
      </c>
      <c r="Z162" s="12">
        <v>134.1</v>
      </c>
      <c r="AA162" s="5">
        <v>55.4</v>
      </c>
      <c r="AB162" s="18">
        <v>41.31</v>
      </c>
      <c r="AC162" t="s">
        <v>111</v>
      </c>
      <c r="AD162" t="s">
        <v>51</v>
      </c>
      <c r="AE162" t="s">
        <v>105</v>
      </c>
      <c r="AF162">
        <v>4</v>
      </c>
      <c r="AG162" t="s">
        <v>53</v>
      </c>
    </row>
    <row r="163" spans="1:33">
      <c r="A163" t="s">
        <v>486</v>
      </c>
      <c r="B163" s="10">
        <v>45925</v>
      </c>
      <c r="C163" s="3" t="s">
        <v>185</v>
      </c>
      <c r="D163" t="s">
        <v>56</v>
      </c>
      <c r="E163" t="s">
        <v>72</v>
      </c>
      <c r="F163" t="s">
        <v>73</v>
      </c>
      <c r="G163" t="s">
        <v>74</v>
      </c>
      <c r="H163" t="s">
        <v>115</v>
      </c>
      <c r="I163" t="s">
        <v>116</v>
      </c>
      <c r="J163" t="s">
        <v>117</v>
      </c>
      <c r="K163" t="s">
        <v>61</v>
      </c>
      <c r="L163" t="s">
        <v>487</v>
      </c>
      <c r="M163" t="s">
        <v>63</v>
      </c>
      <c r="N163" t="s">
        <v>45</v>
      </c>
      <c r="O163" t="s">
        <v>94</v>
      </c>
      <c r="P163" t="s">
        <v>95</v>
      </c>
      <c r="Q163" t="s">
        <v>66</v>
      </c>
      <c r="R163" t="s">
        <v>84</v>
      </c>
      <c r="S163">
        <v>2</v>
      </c>
      <c r="T163" s="14">
        <v>78.84</v>
      </c>
      <c r="U163" s="7">
        <v>12</v>
      </c>
      <c r="V163" s="7">
        <v>22</v>
      </c>
      <c r="W163" s="14">
        <v>112.84</v>
      </c>
      <c r="X163" s="14">
        <v>262.8</v>
      </c>
      <c r="Y163" s="16">
        <v>0</v>
      </c>
      <c r="Z163" s="12">
        <v>525.6</v>
      </c>
      <c r="AA163" s="5">
        <v>299.92</v>
      </c>
      <c r="AB163" s="18">
        <v>57.06</v>
      </c>
      <c r="AC163" t="s">
        <v>111</v>
      </c>
      <c r="AD163" t="s">
        <v>86</v>
      </c>
      <c r="AE163" t="s">
        <v>96</v>
      </c>
      <c r="AF163">
        <v>5</v>
      </c>
      <c r="AG163" t="s">
        <v>53</v>
      </c>
    </row>
    <row r="164" spans="1:33">
      <c r="A164" t="s">
        <v>488</v>
      </c>
      <c r="B164" s="10">
        <v>45832</v>
      </c>
      <c r="C164" s="3" t="s">
        <v>307</v>
      </c>
      <c r="D164" t="s">
        <v>156</v>
      </c>
      <c r="E164" t="s">
        <v>174</v>
      </c>
      <c r="F164" t="s">
        <v>131</v>
      </c>
      <c r="G164" t="s">
        <v>132</v>
      </c>
      <c r="H164" t="s">
        <v>142</v>
      </c>
      <c r="I164" t="s">
        <v>143</v>
      </c>
      <c r="J164" t="s">
        <v>144</v>
      </c>
      <c r="K164" t="s">
        <v>145</v>
      </c>
      <c r="L164" t="s">
        <v>489</v>
      </c>
      <c r="M164" t="s">
        <v>80</v>
      </c>
      <c r="N164" t="s">
        <v>110</v>
      </c>
      <c r="O164" t="s">
        <v>64</v>
      </c>
      <c r="P164" t="s">
        <v>65</v>
      </c>
      <c r="Q164" t="s">
        <v>66</v>
      </c>
      <c r="R164" t="s">
        <v>49</v>
      </c>
      <c r="S164">
        <v>3</v>
      </c>
      <c r="T164" s="14">
        <v>62.58</v>
      </c>
      <c r="U164" s="7">
        <v>12</v>
      </c>
      <c r="V164" s="7">
        <v>22</v>
      </c>
      <c r="W164" s="14">
        <v>96.58</v>
      </c>
      <c r="X164" s="14">
        <v>208.6</v>
      </c>
      <c r="Y164" s="16">
        <v>10</v>
      </c>
      <c r="Z164" s="12">
        <v>563.22</v>
      </c>
      <c r="AA164" s="5">
        <v>273.48</v>
      </c>
      <c r="AB164" s="18">
        <v>48.56</v>
      </c>
      <c r="AC164" t="s">
        <v>85</v>
      </c>
      <c r="AD164" t="s">
        <v>51</v>
      </c>
      <c r="AE164" t="s">
        <v>105</v>
      </c>
      <c r="AF164">
        <v>5</v>
      </c>
      <c r="AG164" t="s">
        <v>53</v>
      </c>
    </row>
    <row r="165" spans="1:33">
      <c r="A165" t="s">
        <v>490</v>
      </c>
      <c r="B165" s="10">
        <v>45815</v>
      </c>
      <c r="C165" s="3" t="s">
        <v>34</v>
      </c>
      <c r="D165" t="s">
        <v>71</v>
      </c>
      <c r="E165" t="s">
        <v>174</v>
      </c>
      <c r="F165" t="s">
        <v>131</v>
      </c>
      <c r="G165" t="s">
        <v>132</v>
      </c>
      <c r="H165" t="s">
        <v>133</v>
      </c>
      <c r="I165" t="s">
        <v>134</v>
      </c>
      <c r="J165" t="s">
        <v>135</v>
      </c>
      <c r="K165" t="s">
        <v>42</v>
      </c>
      <c r="L165" t="s">
        <v>491</v>
      </c>
      <c r="M165" t="s">
        <v>63</v>
      </c>
      <c r="N165" t="s">
        <v>45</v>
      </c>
      <c r="O165" t="s">
        <v>275</v>
      </c>
      <c r="P165" t="s">
        <v>276</v>
      </c>
      <c r="Q165" t="s">
        <v>125</v>
      </c>
      <c r="R165" t="s">
        <v>67</v>
      </c>
      <c r="S165">
        <v>2</v>
      </c>
      <c r="T165" s="14">
        <v>68.7</v>
      </c>
      <c r="U165" s="7">
        <v>12</v>
      </c>
      <c r="V165" s="7">
        <v>22</v>
      </c>
      <c r="W165" s="14">
        <v>102.7</v>
      </c>
      <c r="X165" s="14">
        <v>229</v>
      </c>
      <c r="Y165" s="16">
        <v>10</v>
      </c>
      <c r="Z165" s="12">
        <v>412.2</v>
      </c>
      <c r="AA165" s="5">
        <v>206.8</v>
      </c>
      <c r="AB165" s="18">
        <v>50.17</v>
      </c>
      <c r="AC165" t="s">
        <v>85</v>
      </c>
      <c r="AD165" t="s">
        <v>86</v>
      </c>
      <c r="AE165" t="s">
        <v>96</v>
      </c>
      <c r="AF165">
        <v>5</v>
      </c>
      <c r="AG165" t="s">
        <v>53</v>
      </c>
    </row>
    <row r="166" spans="1:33">
      <c r="A166" t="s">
        <v>492</v>
      </c>
      <c r="B166" s="10">
        <v>45833</v>
      </c>
      <c r="C166" s="3" t="s">
        <v>128</v>
      </c>
      <c r="D166" t="s">
        <v>129</v>
      </c>
      <c r="E166" t="s">
        <v>174</v>
      </c>
      <c r="F166" t="s">
        <v>131</v>
      </c>
      <c r="G166" t="s">
        <v>132</v>
      </c>
      <c r="H166" t="s">
        <v>142</v>
      </c>
      <c r="I166" t="s">
        <v>143</v>
      </c>
      <c r="J166" t="s">
        <v>144</v>
      </c>
      <c r="K166" t="s">
        <v>145</v>
      </c>
      <c r="L166" t="s">
        <v>493</v>
      </c>
      <c r="M166" t="s">
        <v>44</v>
      </c>
      <c r="N166" t="s">
        <v>81</v>
      </c>
      <c r="O166" t="s">
        <v>137</v>
      </c>
      <c r="P166" t="s">
        <v>138</v>
      </c>
      <c r="Q166" t="s">
        <v>139</v>
      </c>
      <c r="R166" t="s">
        <v>84</v>
      </c>
      <c r="S166">
        <v>3</v>
      </c>
      <c r="T166" s="14">
        <v>71.64</v>
      </c>
      <c r="U166" s="7">
        <v>12</v>
      </c>
      <c r="V166" s="7">
        <v>22</v>
      </c>
      <c r="W166" s="14">
        <v>105.64</v>
      </c>
      <c r="X166" s="14">
        <v>238.8</v>
      </c>
      <c r="Y166" s="16">
        <v>0</v>
      </c>
      <c r="Z166" s="12">
        <v>716.4</v>
      </c>
      <c r="AA166" s="5">
        <v>399.48</v>
      </c>
      <c r="AB166" s="18">
        <v>55.76</v>
      </c>
      <c r="AC166" t="s">
        <v>85</v>
      </c>
      <c r="AD166" t="s">
        <v>51</v>
      </c>
      <c r="AE166" t="s">
        <v>105</v>
      </c>
      <c r="AF166">
        <v>4</v>
      </c>
      <c r="AG166" t="s">
        <v>53</v>
      </c>
    </row>
    <row r="167" spans="1:33">
      <c r="A167" t="s">
        <v>494</v>
      </c>
      <c r="B167" s="10">
        <v>45976</v>
      </c>
      <c r="C167" s="3" t="s">
        <v>128</v>
      </c>
      <c r="D167" t="s">
        <v>71</v>
      </c>
      <c r="E167" t="s">
        <v>57</v>
      </c>
      <c r="F167" t="s">
        <v>37</v>
      </c>
      <c r="G167" t="s">
        <v>38</v>
      </c>
      <c r="H167" t="s">
        <v>39</v>
      </c>
      <c r="I167" t="s">
        <v>2143</v>
      </c>
      <c r="J167" t="s">
        <v>41</v>
      </c>
      <c r="K167" t="s">
        <v>42</v>
      </c>
      <c r="L167" t="s">
        <v>495</v>
      </c>
      <c r="M167" t="s">
        <v>63</v>
      </c>
      <c r="N167" t="s">
        <v>45</v>
      </c>
      <c r="O167" t="s">
        <v>452</v>
      </c>
      <c r="P167" t="s">
        <v>453</v>
      </c>
      <c r="Q167" t="s">
        <v>215</v>
      </c>
      <c r="R167" t="s">
        <v>67</v>
      </c>
      <c r="S167">
        <v>3</v>
      </c>
      <c r="T167" s="14">
        <v>98.7</v>
      </c>
      <c r="U167" s="7">
        <v>12</v>
      </c>
      <c r="V167" s="7">
        <v>22</v>
      </c>
      <c r="W167" s="14">
        <v>132.69999999999999</v>
      </c>
      <c r="X167" s="14">
        <v>329</v>
      </c>
      <c r="Y167" s="16">
        <v>10</v>
      </c>
      <c r="Z167" s="12">
        <v>888.3</v>
      </c>
      <c r="AA167" s="5">
        <v>490.2</v>
      </c>
      <c r="AB167" s="18">
        <v>55.18</v>
      </c>
      <c r="AC167" t="s">
        <v>104</v>
      </c>
      <c r="AD167" t="s">
        <v>86</v>
      </c>
      <c r="AE167" t="s">
        <v>126</v>
      </c>
      <c r="AF167">
        <v>5</v>
      </c>
      <c r="AG167" t="s">
        <v>53</v>
      </c>
    </row>
    <row r="168" spans="1:33">
      <c r="A168" t="s">
        <v>496</v>
      </c>
      <c r="B168" s="10">
        <v>45906</v>
      </c>
      <c r="C168" s="3" t="s">
        <v>141</v>
      </c>
      <c r="D168" t="s">
        <v>71</v>
      </c>
      <c r="E168" t="s">
        <v>72</v>
      </c>
      <c r="F168" t="s">
        <v>73</v>
      </c>
      <c r="G168" t="s">
        <v>74</v>
      </c>
      <c r="H168" t="s">
        <v>133</v>
      </c>
      <c r="I168" t="s">
        <v>134</v>
      </c>
      <c r="J168" t="s">
        <v>135</v>
      </c>
      <c r="K168" t="s">
        <v>42</v>
      </c>
      <c r="L168" t="s">
        <v>497</v>
      </c>
      <c r="M168" t="s">
        <v>80</v>
      </c>
      <c r="N168" t="s">
        <v>110</v>
      </c>
      <c r="O168" t="s">
        <v>101</v>
      </c>
      <c r="P168" t="s">
        <v>102</v>
      </c>
      <c r="Q168" t="s">
        <v>103</v>
      </c>
      <c r="R168" t="s">
        <v>67</v>
      </c>
      <c r="S168">
        <v>4</v>
      </c>
      <c r="T168" s="14">
        <v>44.7</v>
      </c>
      <c r="U168" s="7">
        <v>12</v>
      </c>
      <c r="V168" s="7">
        <v>22</v>
      </c>
      <c r="W168" s="14">
        <v>78.7</v>
      </c>
      <c r="X168" s="14">
        <v>149</v>
      </c>
      <c r="Y168" s="16">
        <v>15</v>
      </c>
      <c r="Z168" s="12">
        <v>506.6</v>
      </c>
      <c r="AA168" s="5">
        <v>191.8</v>
      </c>
      <c r="AB168" s="18">
        <v>37.86</v>
      </c>
      <c r="AC168" t="s">
        <v>50</v>
      </c>
      <c r="AD168" t="s">
        <v>158</v>
      </c>
      <c r="AE168" t="s">
        <v>126</v>
      </c>
      <c r="AF168">
        <v>5</v>
      </c>
      <c r="AG168" t="s">
        <v>53</v>
      </c>
    </row>
    <row r="169" spans="1:33">
      <c r="A169" t="s">
        <v>498</v>
      </c>
      <c r="B169" s="10">
        <v>45806</v>
      </c>
      <c r="C169" s="3" t="s">
        <v>155</v>
      </c>
      <c r="D169" t="s">
        <v>56</v>
      </c>
      <c r="E169" t="s">
        <v>130</v>
      </c>
      <c r="F169" t="s">
        <v>131</v>
      </c>
      <c r="G169" t="s">
        <v>132</v>
      </c>
      <c r="H169" t="s">
        <v>142</v>
      </c>
      <c r="I169" t="s">
        <v>143</v>
      </c>
      <c r="J169" t="s">
        <v>144</v>
      </c>
      <c r="K169" t="s">
        <v>145</v>
      </c>
      <c r="L169" t="s">
        <v>499</v>
      </c>
      <c r="M169" t="s">
        <v>44</v>
      </c>
      <c r="N169" t="s">
        <v>45</v>
      </c>
      <c r="O169" t="s">
        <v>46</v>
      </c>
      <c r="P169" t="s">
        <v>47</v>
      </c>
      <c r="Q169" t="s">
        <v>48</v>
      </c>
      <c r="R169" t="s">
        <v>67</v>
      </c>
      <c r="S169">
        <v>3</v>
      </c>
      <c r="T169" s="14">
        <v>77.7</v>
      </c>
      <c r="U169" s="7">
        <v>12</v>
      </c>
      <c r="V169" s="7">
        <v>22</v>
      </c>
      <c r="W169" s="14">
        <v>111.7</v>
      </c>
      <c r="X169" s="14">
        <v>259</v>
      </c>
      <c r="Y169" s="16">
        <v>0</v>
      </c>
      <c r="Z169" s="12">
        <v>777</v>
      </c>
      <c r="AA169" s="5">
        <v>441.9</v>
      </c>
      <c r="AB169" s="18">
        <v>56.87</v>
      </c>
      <c r="AC169" t="s">
        <v>50</v>
      </c>
      <c r="AD169" t="s">
        <v>51</v>
      </c>
      <c r="AE169" t="s">
        <v>52</v>
      </c>
      <c r="AF169">
        <v>3</v>
      </c>
      <c r="AG169" t="s">
        <v>53</v>
      </c>
    </row>
    <row r="170" spans="1:33">
      <c r="A170" t="s">
        <v>500</v>
      </c>
      <c r="B170" s="10">
        <v>45705</v>
      </c>
      <c r="C170" s="3" t="s">
        <v>307</v>
      </c>
      <c r="D170" t="s">
        <v>206</v>
      </c>
      <c r="E170" t="s">
        <v>90</v>
      </c>
      <c r="F170" t="s">
        <v>91</v>
      </c>
      <c r="G170" t="s">
        <v>92</v>
      </c>
      <c r="H170" t="s">
        <v>115</v>
      </c>
      <c r="I170" t="s">
        <v>116</v>
      </c>
      <c r="J170" t="s">
        <v>117</v>
      </c>
      <c r="K170" t="s">
        <v>61</v>
      </c>
      <c r="L170" t="s">
        <v>501</v>
      </c>
      <c r="M170" t="s">
        <v>44</v>
      </c>
      <c r="N170" t="s">
        <v>45</v>
      </c>
      <c r="O170" t="s">
        <v>82</v>
      </c>
      <c r="P170" t="s">
        <v>83</v>
      </c>
      <c r="Q170" t="s">
        <v>66</v>
      </c>
      <c r="R170" t="s">
        <v>49</v>
      </c>
      <c r="S170">
        <v>2</v>
      </c>
      <c r="T170" s="14">
        <v>100.38</v>
      </c>
      <c r="U170" s="7">
        <v>12</v>
      </c>
      <c r="V170" s="7">
        <v>22</v>
      </c>
      <c r="W170" s="14">
        <v>134.38</v>
      </c>
      <c r="X170" s="14">
        <v>334.6</v>
      </c>
      <c r="Y170" s="16">
        <v>0</v>
      </c>
      <c r="Z170" s="12">
        <v>669.2</v>
      </c>
      <c r="AA170" s="5">
        <v>400.44</v>
      </c>
      <c r="AB170" s="18">
        <v>59.84</v>
      </c>
      <c r="AC170" t="s">
        <v>111</v>
      </c>
      <c r="AD170" t="s">
        <v>51</v>
      </c>
      <c r="AE170" t="s">
        <v>105</v>
      </c>
      <c r="AF170">
        <v>5</v>
      </c>
      <c r="AG170" t="s">
        <v>53</v>
      </c>
    </row>
    <row r="171" spans="1:33">
      <c r="A171" t="s">
        <v>502</v>
      </c>
      <c r="B171" s="10">
        <v>45817</v>
      </c>
      <c r="C171" s="3" t="s">
        <v>339</v>
      </c>
      <c r="D171" t="s">
        <v>206</v>
      </c>
      <c r="E171" t="s">
        <v>174</v>
      </c>
      <c r="F171" t="s">
        <v>131</v>
      </c>
      <c r="G171" t="s">
        <v>132</v>
      </c>
      <c r="H171" t="s">
        <v>133</v>
      </c>
      <c r="I171" t="s">
        <v>134</v>
      </c>
      <c r="J171" t="s">
        <v>135</v>
      </c>
      <c r="K171" t="s">
        <v>42</v>
      </c>
      <c r="L171" t="s">
        <v>503</v>
      </c>
      <c r="M171" t="s">
        <v>63</v>
      </c>
      <c r="N171" t="s">
        <v>81</v>
      </c>
      <c r="O171" t="s">
        <v>82</v>
      </c>
      <c r="P171" t="s">
        <v>83</v>
      </c>
      <c r="Q171" t="s">
        <v>66</v>
      </c>
      <c r="R171" t="s">
        <v>67</v>
      </c>
      <c r="S171">
        <v>3</v>
      </c>
      <c r="T171" s="14">
        <v>71.7</v>
      </c>
      <c r="U171" s="7">
        <v>12</v>
      </c>
      <c r="V171" s="7">
        <v>22</v>
      </c>
      <c r="W171" s="14">
        <v>105.7</v>
      </c>
      <c r="X171" s="14">
        <v>239</v>
      </c>
      <c r="Y171" s="16">
        <v>55</v>
      </c>
      <c r="Z171" s="12">
        <v>717</v>
      </c>
      <c r="AA171" s="5">
        <v>399.9</v>
      </c>
      <c r="AB171" s="18">
        <v>55.77</v>
      </c>
      <c r="AC171" t="s">
        <v>50</v>
      </c>
      <c r="AD171" t="s">
        <v>51</v>
      </c>
      <c r="AE171" t="s">
        <v>126</v>
      </c>
      <c r="AF171">
        <v>5</v>
      </c>
      <c r="AG171" t="s">
        <v>53</v>
      </c>
    </row>
    <row r="172" spans="1:33">
      <c r="A172" t="s">
        <v>504</v>
      </c>
      <c r="B172" s="10">
        <v>45729</v>
      </c>
      <c r="C172" s="3" t="s">
        <v>128</v>
      </c>
      <c r="D172" t="s">
        <v>56</v>
      </c>
      <c r="E172" t="s">
        <v>108</v>
      </c>
      <c r="F172" t="s">
        <v>91</v>
      </c>
      <c r="G172" t="s">
        <v>38</v>
      </c>
      <c r="H172" t="s">
        <v>115</v>
      </c>
      <c r="I172" t="s">
        <v>116</v>
      </c>
      <c r="J172" t="s">
        <v>117</v>
      </c>
      <c r="K172" t="s">
        <v>61</v>
      </c>
      <c r="L172" t="s">
        <v>505</v>
      </c>
      <c r="M172" t="s">
        <v>63</v>
      </c>
      <c r="N172" t="s">
        <v>45</v>
      </c>
      <c r="O172" t="s">
        <v>64</v>
      </c>
      <c r="P172" t="s">
        <v>65</v>
      </c>
      <c r="Q172" t="s">
        <v>66</v>
      </c>
      <c r="R172" t="s">
        <v>49</v>
      </c>
      <c r="S172">
        <v>1</v>
      </c>
      <c r="T172" s="14">
        <v>62.58</v>
      </c>
      <c r="U172" s="7">
        <v>12</v>
      </c>
      <c r="V172" s="7">
        <v>22</v>
      </c>
      <c r="W172" s="14">
        <v>96.58</v>
      </c>
      <c r="X172" s="14">
        <v>208.6</v>
      </c>
      <c r="Y172" s="16">
        <v>0</v>
      </c>
      <c r="Z172" s="12">
        <v>208.6</v>
      </c>
      <c r="AA172" s="5">
        <v>112.02</v>
      </c>
      <c r="AB172" s="18">
        <v>53.7</v>
      </c>
      <c r="AC172" t="s">
        <v>50</v>
      </c>
      <c r="AD172" t="s">
        <v>51</v>
      </c>
      <c r="AE172" t="s">
        <v>96</v>
      </c>
      <c r="AF172">
        <v>4</v>
      </c>
      <c r="AG172" t="s">
        <v>53</v>
      </c>
    </row>
    <row r="173" spans="1:33">
      <c r="A173" t="s">
        <v>506</v>
      </c>
      <c r="B173" s="10">
        <v>45688</v>
      </c>
      <c r="C173" s="3" t="s">
        <v>113</v>
      </c>
      <c r="D173" t="s">
        <v>35</v>
      </c>
      <c r="E173" t="s">
        <v>152</v>
      </c>
      <c r="F173" t="s">
        <v>91</v>
      </c>
      <c r="G173" t="s">
        <v>92</v>
      </c>
      <c r="H173" t="s">
        <v>142</v>
      </c>
      <c r="I173" t="s">
        <v>143</v>
      </c>
      <c r="J173" t="s">
        <v>144</v>
      </c>
      <c r="K173" t="s">
        <v>145</v>
      </c>
      <c r="L173" t="s">
        <v>507</v>
      </c>
      <c r="M173" t="s">
        <v>44</v>
      </c>
      <c r="N173" t="s">
        <v>81</v>
      </c>
      <c r="O173" t="s">
        <v>101</v>
      </c>
      <c r="P173" t="s">
        <v>102</v>
      </c>
      <c r="Q173" t="s">
        <v>103</v>
      </c>
      <c r="R173" t="s">
        <v>67</v>
      </c>
      <c r="S173">
        <v>1</v>
      </c>
      <c r="T173" s="14">
        <v>44.7</v>
      </c>
      <c r="U173" s="7">
        <v>12</v>
      </c>
      <c r="V173" s="7">
        <v>22</v>
      </c>
      <c r="W173" s="14">
        <v>78.7</v>
      </c>
      <c r="X173" s="14">
        <v>149</v>
      </c>
      <c r="Y173" s="16">
        <v>0</v>
      </c>
      <c r="Z173" s="12">
        <v>149</v>
      </c>
      <c r="AA173" s="5">
        <v>70.3</v>
      </c>
      <c r="AB173" s="18">
        <v>47.18</v>
      </c>
      <c r="AC173" t="s">
        <v>85</v>
      </c>
      <c r="AD173" t="s">
        <v>86</v>
      </c>
      <c r="AE173" t="s">
        <v>52</v>
      </c>
      <c r="AF173">
        <v>5</v>
      </c>
      <c r="AG173" t="s">
        <v>53</v>
      </c>
    </row>
    <row r="174" spans="1:33">
      <c r="A174" t="s">
        <v>508</v>
      </c>
      <c r="B174" s="10">
        <v>45830</v>
      </c>
      <c r="C174" s="3" t="s">
        <v>171</v>
      </c>
      <c r="D174" t="s">
        <v>89</v>
      </c>
      <c r="E174" t="s">
        <v>174</v>
      </c>
      <c r="F174" t="s">
        <v>131</v>
      </c>
      <c r="G174" t="s">
        <v>132</v>
      </c>
      <c r="H174" t="s">
        <v>75</v>
      </c>
      <c r="I174" t="s">
        <v>76</v>
      </c>
      <c r="J174" t="s">
        <v>77</v>
      </c>
      <c r="K174" t="s">
        <v>78</v>
      </c>
      <c r="L174" t="s">
        <v>509</v>
      </c>
      <c r="M174" t="s">
        <v>63</v>
      </c>
      <c r="N174" t="s">
        <v>81</v>
      </c>
      <c r="O174" t="s">
        <v>46</v>
      </c>
      <c r="P174" t="s">
        <v>47</v>
      </c>
      <c r="Q174" t="s">
        <v>48</v>
      </c>
      <c r="R174" t="s">
        <v>67</v>
      </c>
      <c r="S174">
        <v>2</v>
      </c>
      <c r="T174" s="14">
        <v>77.7</v>
      </c>
      <c r="U174" s="7">
        <v>12</v>
      </c>
      <c r="V174" s="7">
        <v>22</v>
      </c>
      <c r="W174" s="14">
        <v>111.7</v>
      </c>
      <c r="X174" s="14">
        <v>259</v>
      </c>
      <c r="Y174" s="16">
        <v>15</v>
      </c>
      <c r="Z174" s="12">
        <v>440.3</v>
      </c>
      <c r="AA174" s="5">
        <v>216.9</v>
      </c>
      <c r="AB174" s="18">
        <v>49.26</v>
      </c>
      <c r="AC174" t="s">
        <v>104</v>
      </c>
      <c r="AD174" t="s">
        <v>51</v>
      </c>
      <c r="AE174" t="s">
        <v>126</v>
      </c>
      <c r="AF174">
        <v>5</v>
      </c>
      <c r="AG174" t="s">
        <v>53</v>
      </c>
    </row>
    <row r="175" spans="1:33">
      <c r="A175" t="s">
        <v>510</v>
      </c>
      <c r="B175" s="10">
        <v>45722</v>
      </c>
      <c r="C175" s="3" t="s">
        <v>113</v>
      </c>
      <c r="D175" t="s">
        <v>56</v>
      </c>
      <c r="E175" t="s">
        <v>108</v>
      </c>
      <c r="F175" t="s">
        <v>91</v>
      </c>
      <c r="G175" t="s">
        <v>38</v>
      </c>
      <c r="H175" t="s">
        <v>115</v>
      </c>
      <c r="I175" t="s">
        <v>116</v>
      </c>
      <c r="J175" t="s">
        <v>117</v>
      </c>
      <c r="K175" t="s">
        <v>61</v>
      </c>
      <c r="L175" t="s">
        <v>511</v>
      </c>
      <c r="M175" t="s">
        <v>44</v>
      </c>
      <c r="N175" t="s">
        <v>81</v>
      </c>
      <c r="O175" t="s">
        <v>119</v>
      </c>
      <c r="P175" t="s">
        <v>120</v>
      </c>
      <c r="Q175" t="s">
        <v>103</v>
      </c>
      <c r="R175" t="s">
        <v>84</v>
      </c>
      <c r="S175">
        <v>3</v>
      </c>
      <c r="T175" s="14">
        <v>46.44</v>
      </c>
      <c r="U175" s="7">
        <v>12</v>
      </c>
      <c r="V175" s="7">
        <v>22</v>
      </c>
      <c r="W175" s="14">
        <v>80.44</v>
      </c>
      <c r="X175" s="14">
        <v>154.80000000000001</v>
      </c>
      <c r="Y175" s="16">
        <v>10</v>
      </c>
      <c r="Z175" s="12">
        <v>417.96</v>
      </c>
      <c r="AA175" s="5">
        <v>176.64</v>
      </c>
      <c r="AB175" s="18">
        <v>42.26</v>
      </c>
      <c r="AC175" t="s">
        <v>85</v>
      </c>
      <c r="AD175" t="s">
        <v>86</v>
      </c>
      <c r="AE175" t="s">
        <v>96</v>
      </c>
      <c r="AF175">
        <v>4</v>
      </c>
      <c r="AG175" t="s">
        <v>53</v>
      </c>
    </row>
    <row r="176" spans="1:33">
      <c r="A176" t="s">
        <v>512</v>
      </c>
      <c r="B176" s="10">
        <v>45905</v>
      </c>
      <c r="C176" s="3" t="s">
        <v>211</v>
      </c>
      <c r="D176" t="s">
        <v>35</v>
      </c>
      <c r="E176" t="s">
        <v>72</v>
      </c>
      <c r="F176" t="s">
        <v>73</v>
      </c>
      <c r="G176" t="s">
        <v>74</v>
      </c>
      <c r="H176" t="s">
        <v>133</v>
      </c>
      <c r="I176" t="s">
        <v>134</v>
      </c>
      <c r="J176" t="s">
        <v>135</v>
      </c>
      <c r="K176" t="s">
        <v>42</v>
      </c>
      <c r="L176" t="s">
        <v>513</v>
      </c>
      <c r="M176" t="s">
        <v>63</v>
      </c>
      <c r="N176" t="s">
        <v>45</v>
      </c>
      <c r="O176" t="s">
        <v>176</v>
      </c>
      <c r="P176" t="s">
        <v>177</v>
      </c>
      <c r="Q176" t="s">
        <v>66</v>
      </c>
      <c r="R176" t="s">
        <v>49</v>
      </c>
      <c r="S176">
        <v>1</v>
      </c>
      <c r="T176" s="14">
        <v>70.98</v>
      </c>
      <c r="U176" s="7">
        <v>12</v>
      </c>
      <c r="V176" s="7">
        <v>22</v>
      </c>
      <c r="W176" s="14">
        <v>104.98</v>
      </c>
      <c r="X176" s="14">
        <v>236.6</v>
      </c>
      <c r="Y176" s="16">
        <v>5</v>
      </c>
      <c r="Z176" s="12">
        <v>224.77</v>
      </c>
      <c r="AA176" s="5">
        <v>119.79</v>
      </c>
      <c r="AB176" s="18">
        <v>53.29</v>
      </c>
      <c r="AC176" t="s">
        <v>104</v>
      </c>
      <c r="AD176" t="s">
        <v>51</v>
      </c>
      <c r="AE176" t="s">
        <v>68</v>
      </c>
      <c r="AF176">
        <v>5</v>
      </c>
      <c r="AG176" t="s">
        <v>53</v>
      </c>
    </row>
    <row r="177" spans="1:33">
      <c r="A177" t="s">
        <v>514</v>
      </c>
      <c r="B177" s="10">
        <v>45686</v>
      </c>
      <c r="C177" s="3" t="s">
        <v>211</v>
      </c>
      <c r="D177" t="s">
        <v>129</v>
      </c>
      <c r="E177" t="s">
        <v>152</v>
      </c>
      <c r="F177" t="s">
        <v>91</v>
      </c>
      <c r="G177" t="s">
        <v>92</v>
      </c>
      <c r="H177" t="s">
        <v>39</v>
      </c>
      <c r="I177" t="s">
        <v>2143</v>
      </c>
      <c r="J177" t="s">
        <v>41</v>
      </c>
      <c r="K177" t="s">
        <v>42</v>
      </c>
      <c r="L177" t="s">
        <v>515</v>
      </c>
      <c r="M177" t="s">
        <v>80</v>
      </c>
      <c r="N177" t="s">
        <v>45</v>
      </c>
      <c r="O177" t="s">
        <v>176</v>
      </c>
      <c r="P177" t="s">
        <v>177</v>
      </c>
      <c r="Q177" t="s">
        <v>66</v>
      </c>
      <c r="R177" t="s">
        <v>84</v>
      </c>
      <c r="S177">
        <v>2</v>
      </c>
      <c r="T177" s="14">
        <v>60.84</v>
      </c>
      <c r="U177" s="7">
        <v>12</v>
      </c>
      <c r="V177" s="7">
        <v>22</v>
      </c>
      <c r="W177" s="14">
        <v>94.84</v>
      </c>
      <c r="X177" s="14">
        <v>202.8</v>
      </c>
      <c r="Y177" s="16">
        <v>5</v>
      </c>
      <c r="Z177" s="12">
        <v>385.32</v>
      </c>
      <c r="AA177" s="5">
        <v>195.64</v>
      </c>
      <c r="AB177" s="18">
        <v>50.77</v>
      </c>
      <c r="AC177" t="s">
        <v>85</v>
      </c>
      <c r="AD177" t="s">
        <v>51</v>
      </c>
      <c r="AE177" t="s">
        <v>52</v>
      </c>
      <c r="AF177">
        <v>5</v>
      </c>
      <c r="AG177" t="s">
        <v>53</v>
      </c>
    </row>
    <row r="178" spans="1:33">
      <c r="A178" t="s">
        <v>516</v>
      </c>
      <c r="B178" s="10">
        <v>45963</v>
      </c>
      <c r="C178" s="3" t="s">
        <v>219</v>
      </c>
      <c r="D178" t="s">
        <v>89</v>
      </c>
      <c r="E178" t="s">
        <v>57</v>
      </c>
      <c r="F178" t="s">
        <v>37</v>
      </c>
      <c r="G178" t="s">
        <v>38</v>
      </c>
      <c r="H178" t="s">
        <v>115</v>
      </c>
      <c r="I178" t="s">
        <v>116</v>
      </c>
      <c r="J178" t="s">
        <v>117</v>
      </c>
      <c r="K178" t="s">
        <v>61</v>
      </c>
      <c r="L178" t="s">
        <v>517</v>
      </c>
      <c r="M178" t="s">
        <v>44</v>
      </c>
      <c r="N178" t="s">
        <v>81</v>
      </c>
      <c r="O178" t="s">
        <v>82</v>
      </c>
      <c r="P178" t="s">
        <v>83</v>
      </c>
      <c r="Q178" t="s">
        <v>66</v>
      </c>
      <c r="R178" t="s">
        <v>49</v>
      </c>
      <c r="S178">
        <v>2</v>
      </c>
      <c r="T178" s="14">
        <v>100.38</v>
      </c>
      <c r="U178" s="7">
        <v>12</v>
      </c>
      <c r="V178" s="7">
        <v>22</v>
      </c>
      <c r="W178" s="14">
        <v>134.38</v>
      </c>
      <c r="X178" s="14">
        <v>334.6</v>
      </c>
      <c r="Y178" s="16">
        <v>10</v>
      </c>
      <c r="Z178" s="12">
        <v>602.28</v>
      </c>
      <c r="AA178" s="5">
        <v>333.52</v>
      </c>
      <c r="AB178" s="18">
        <v>55.38</v>
      </c>
      <c r="AC178" t="s">
        <v>104</v>
      </c>
      <c r="AD178" t="s">
        <v>86</v>
      </c>
      <c r="AE178" t="s">
        <v>52</v>
      </c>
      <c r="AF178">
        <v>5</v>
      </c>
      <c r="AG178" t="s">
        <v>53</v>
      </c>
    </row>
    <row r="179" spans="1:33">
      <c r="A179" t="s">
        <v>518</v>
      </c>
      <c r="B179" s="10">
        <v>46019</v>
      </c>
      <c r="C179" s="3" t="s">
        <v>390</v>
      </c>
      <c r="D179" t="s">
        <v>89</v>
      </c>
      <c r="E179" t="s">
        <v>149</v>
      </c>
      <c r="F179" t="s">
        <v>37</v>
      </c>
      <c r="G179" t="s">
        <v>92</v>
      </c>
      <c r="H179" t="s">
        <v>133</v>
      </c>
      <c r="I179" t="s">
        <v>134</v>
      </c>
      <c r="J179" t="s">
        <v>135</v>
      </c>
      <c r="K179" t="s">
        <v>42</v>
      </c>
      <c r="L179" t="s">
        <v>519</v>
      </c>
      <c r="M179" t="s">
        <v>63</v>
      </c>
      <c r="N179" t="s">
        <v>45</v>
      </c>
      <c r="O179" t="s">
        <v>189</v>
      </c>
      <c r="P179" t="s">
        <v>190</v>
      </c>
      <c r="Q179" t="s">
        <v>48</v>
      </c>
      <c r="R179" t="s">
        <v>49</v>
      </c>
      <c r="S179">
        <v>2</v>
      </c>
      <c r="T179" s="14">
        <v>66.78</v>
      </c>
      <c r="U179" s="7">
        <v>12</v>
      </c>
      <c r="V179" s="7">
        <v>22</v>
      </c>
      <c r="W179" s="14">
        <v>100.78</v>
      </c>
      <c r="X179" s="14">
        <v>222.6</v>
      </c>
      <c r="Y179" s="16">
        <v>10</v>
      </c>
      <c r="Z179" s="12">
        <v>400.68</v>
      </c>
      <c r="AA179" s="5">
        <v>199.12</v>
      </c>
      <c r="AB179" s="18">
        <v>49.7</v>
      </c>
      <c r="AC179" t="s">
        <v>85</v>
      </c>
      <c r="AD179" t="s">
        <v>51</v>
      </c>
      <c r="AE179" t="s">
        <v>68</v>
      </c>
      <c r="AF179">
        <v>5</v>
      </c>
      <c r="AG179" t="s">
        <v>53</v>
      </c>
    </row>
    <row r="180" spans="1:33">
      <c r="A180" t="s">
        <v>520</v>
      </c>
      <c r="B180" s="10">
        <v>45731</v>
      </c>
      <c r="C180" s="3" t="s">
        <v>107</v>
      </c>
      <c r="D180" t="s">
        <v>71</v>
      </c>
      <c r="E180" t="s">
        <v>108</v>
      </c>
      <c r="F180" t="s">
        <v>91</v>
      </c>
      <c r="G180" t="s">
        <v>38</v>
      </c>
      <c r="H180" t="s">
        <v>142</v>
      </c>
      <c r="I180" t="s">
        <v>143</v>
      </c>
      <c r="J180" t="s">
        <v>144</v>
      </c>
      <c r="K180" t="s">
        <v>145</v>
      </c>
      <c r="L180" t="s">
        <v>521</v>
      </c>
      <c r="M180" t="s">
        <v>63</v>
      </c>
      <c r="N180" t="s">
        <v>45</v>
      </c>
      <c r="O180" t="s">
        <v>176</v>
      </c>
      <c r="P180" t="s">
        <v>177</v>
      </c>
      <c r="Q180" t="s">
        <v>66</v>
      </c>
      <c r="R180" t="s">
        <v>49</v>
      </c>
      <c r="S180">
        <v>3</v>
      </c>
      <c r="T180" s="14">
        <v>70.98</v>
      </c>
      <c r="U180" s="7">
        <v>12</v>
      </c>
      <c r="V180" s="7">
        <v>22</v>
      </c>
      <c r="W180" s="14">
        <v>104.98</v>
      </c>
      <c r="X180" s="14">
        <v>236.6</v>
      </c>
      <c r="Y180" s="16">
        <v>10</v>
      </c>
      <c r="Z180" s="12">
        <v>638.82000000000005</v>
      </c>
      <c r="AA180" s="5">
        <v>323.88</v>
      </c>
      <c r="AB180" s="18">
        <v>50.7</v>
      </c>
      <c r="AC180" t="s">
        <v>50</v>
      </c>
      <c r="AD180" t="s">
        <v>158</v>
      </c>
      <c r="AE180" t="s">
        <v>105</v>
      </c>
      <c r="AF180">
        <v>5</v>
      </c>
      <c r="AG180" t="s">
        <v>53</v>
      </c>
    </row>
    <row r="181" spans="1:33">
      <c r="A181" t="s">
        <v>522</v>
      </c>
      <c r="B181" s="10">
        <v>45882</v>
      </c>
      <c r="C181" s="3" t="s">
        <v>199</v>
      </c>
      <c r="D181" t="s">
        <v>129</v>
      </c>
      <c r="E181" t="s">
        <v>99</v>
      </c>
      <c r="F181" t="s">
        <v>73</v>
      </c>
      <c r="G181" t="s">
        <v>74</v>
      </c>
      <c r="H181" t="s">
        <v>75</v>
      </c>
      <c r="I181" t="s">
        <v>76</v>
      </c>
      <c r="J181" t="s">
        <v>77</v>
      </c>
      <c r="K181" t="s">
        <v>78</v>
      </c>
      <c r="L181" t="s">
        <v>523</v>
      </c>
      <c r="M181" t="s">
        <v>44</v>
      </c>
      <c r="N181" t="s">
        <v>110</v>
      </c>
      <c r="O181" t="s">
        <v>119</v>
      </c>
      <c r="P181" t="s">
        <v>120</v>
      </c>
      <c r="Q181" t="s">
        <v>103</v>
      </c>
      <c r="R181" t="s">
        <v>84</v>
      </c>
      <c r="S181">
        <v>1</v>
      </c>
      <c r="T181" s="14">
        <v>46.44</v>
      </c>
      <c r="U181" s="7">
        <v>12</v>
      </c>
      <c r="V181" s="7">
        <v>22</v>
      </c>
      <c r="W181" s="14">
        <v>80.44</v>
      </c>
      <c r="X181" s="14">
        <v>154.80000000000001</v>
      </c>
      <c r="Y181" s="16">
        <v>10</v>
      </c>
      <c r="Z181" s="12">
        <v>139.32</v>
      </c>
      <c r="AA181" s="5">
        <v>58.88</v>
      </c>
      <c r="AB181" s="18">
        <v>42.26</v>
      </c>
      <c r="AC181" t="s">
        <v>111</v>
      </c>
      <c r="AD181" t="s">
        <v>51</v>
      </c>
      <c r="AE181" t="s">
        <v>105</v>
      </c>
      <c r="AF181">
        <v>4</v>
      </c>
      <c r="AG181" t="s">
        <v>53</v>
      </c>
    </row>
    <row r="182" spans="1:33">
      <c r="A182" t="s">
        <v>524</v>
      </c>
      <c r="B182" s="10">
        <v>45729</v>
      </c>
      <c r="C182" s="3" t="s">
        <v>128</v>
      </c>
      <c r="D182" t="s">
        <v>56</v>
      </c>
      <c r="E182" t="s">
        <v>108</v>
      </c>
      <c r="F182" t="s">
        <v>91</v>
      </c>
      <c r="G182" t="s">
        <v>38</v>
      </c>
      <c r="H182" t="s">
        <v>39</v>
      </c>
      <c r="I182" t="s">
        <v>2143</v>
      </c>
      <c r="J182" t="s">
        <v>41</v>
      </c>
      <c r="K182" t="s">
        <v>42</v>
      </c>
      <c r="L182" t="s">
        <v>525</v>
      </c>
      <c r="M182" t="s">
        <v>80</v>
      </c>
      <c r="N182" t="s">
        <v>81</v>
      </c>
      <c r="O182" t="s">
        <v>168</v>
      </c>
      <c r="P182" t="s">
        <v>169</v>
      </c>
      <c r="Q182" t="s">
        <v>139</v>
      </c>
      <c r="R182" t="s">
        <v>84</v>
      </c>
      <c r="S182">
        <v>2</v>
      </c>
      <c r="T182" s="14">
        <v>57.24</v>
      </c>
      <c r="U182" s="7">
        <v>12</v>
      </c>
      <c r="V182" s="7">
        <v>22</v>
      </c>
      <c r="W182" s="14">
        <v>91.240000000000009</v>
      </c>
      <c r="X182" s="14">
        <v>190.8</v>
      </c>
      <c r="Y182" s="16">
        <v>10</v>
      </c>
      <c r="Z182" s="12">
        <v>343.44</v>
      </c>
      <c r="AA182" s="5">
        <v>160.96</v>
      </c>
      <c r="AB182" s="18">
        <v>46.87</v>
      </c>
      <c r="AC182" t="s">
        <v>85</v>
      </c>
      <c r="AD182" t="s">
        <v>158</v>
      </c>
      <c r="AE182" t="s">
        <v>126</v>
      </c>
      <c r="AF182">
        <v>4</v>
      </c>
      <c r="AG182" t="s">
        <v>53</v>
      </c>
    </row>
    <row r="183" spans="1:33">
      <c r="A183" t="s">
        <v>526</v>
      </c>
      <c r="B183" s="10">
        <v>45682</v>
      </c>
      <c r="C183" s="3" t="s">
        <v>194</v>
      </c>
      <c r="D183" t="s">
        <v>71</v>
      </c>
      <c r="E183" t="s">
        <v>152</v>
      </c>
      <c r="F183" t="s">
        <v>91</v>
      </c>
      <c r="G183" t="s">
        <v>92</v>
      </c>
      <c r="H183" t="s">
        <v>39</v>
      </c>
      <c r="I183" t="s">
        <v>2143</v>
      </c>
      <c r="J183" t="s">
        <v>41</v>
      </c>
      <c r="K183" t="s">
        <v>42</v>
      </c>
      <c r="L183" t="s">
        <v>527</v>
      </c>
      <c r="M183" t="s">
        <v>63</v>
      </c>
      <c r="N183" t="s">
        <v>45</v>
      </c>
      <c r="O183" t="s">
        <v>82</v>
      </c>
      <c r="P183" t="s">
        <v>83</v>
      </c>
      <c r="Q183" t="s">
        <v>66</v>
      </c>
      <c r="R183" t="s">
        <v>84</v>
      </c>
      <c r="S183">
        <v>1</v>
      </c>
      <c r="T183" s="14">
        <v>86.04</v>
      </c>
      <c r="U183" s="7">
        <v>12</v>
      </c>
      <c r="V183" s="7">
        <v>22</v>
      </c>
      <c r="W183" s="14">
        <v>120.04</v>
      </c>
      <c r="X183" s="14">
        <v>286.8</v>
      </c>
      <c r="Y183" s="16">
        <v>10</v>
      </c>
      <c r="Z183" s="12">
        <v>258.12</v>
      </c>
      <c r="AA183" s="5">
        <v>138.08000000000001</v>
      </c>
      <c r="AB183" s="18">
        <v>53.49</v>
      </c>
      <c r="AC183" t="s">
        <v>104</v>
      </c>
      <c r="AD183" t="s">
        <v>86</v>
      </c>
      <c r="AE183" t="s">
        <v>126</v>
      </c>
      <c r="AF183">
        <v>4</v>
      </c>
      <c r="AG183" t="s">
        <v>53</v>
      </c>
    </row>
    <row r="184" spans="1:33">
      <c r="A184" t="s">
        <v>528</v>
      </c>
      <c r="B184" s="10">
        <v>45761</v>
      </c>
      <c r="C184" s="3" t="s">
        <v>141</v>
      </c>
      <c r="D184" t="s">
        <v>206</v>
      </c>
      <c r="E184" t="s">
        <v>280</v>
      </c>
      <c r="F184" t="s">
        <v>131</v>
      </c>
      <c r="G184" t="s">
        <v>132</v>
      </c>
      <c r="H184" t="s">
        <v>115</v>
      </c>
      <c r="I184" t="s">
        <v>116</v>
      </c>
      <c r="J184" t="s">
        <v>117</v>
      </c>
      <c r="K184" t="s">
        <v>61</v>
      </c>
      <c r="L184" t="s">
        <v>529</v>
      </c>
      <c r="M184" t="s">
        <v>80</v>
      </c>
      <c r="N184" t="s">
        <v>81</v>
      </c>
      <c r="O184" t="s">
        <v>94</v>
      </c>
      <c r="P184" t="s">
        <v>95</v>
      </c>
      <c r="Q184" t="s">
        <v>66</v>
      </c>
      <c r="R184" t="s">
        <v>84</v>
      </c>
      <c r="S184">
        <v>1</v>
      </c>
      <c r="T184" s="14">
        <v>78.84</v>
      </c>
      <c r="U184" s="7">
        <v>12</v>
      </c>
      <c r="V184" s="7">
        <v>22</v>
      </c>
      <c r="W184" s="14">
        <v>112.84</v>
      </c>
      <c r="X184" s="14">
        <v>262.8</v>
      </c>
      <c r="Y184" s="16">
        <v>0</v>
      </c>
      <c r="Z184" s="12">
        <v>262.8</v>
      </c>
      <c r="AA184" s="5">
        <v>149.96</v>
      </c>
      <c r="AB184" s="18">
        <v>57.06</v>
      </c>
      <c r="AC184" t="s">
        <v>104</v>
      </c>
      <c r="AD184" t="s">
        <v>51</v>
      </c>
      <c r="AE184" t="s">
        <v>52</v>
      </c>
      <c r="AF184">
        <v>5</v>
      </c>
      <c r="AG184" t="s">
        <v>53</v>
      </c>
    </row>
    <row r="185" spans="1:33">
      <c r="A185" t="s">
        <v>530</v>
      </c>
      <c r="B185" s="10">
        <v>45804</v>
      </c>
      <c r="C185" s="3" t="s">
        <v>148</v>
      </c>
      <c r="D185" t="s">
        <v>156</v>
      </c>
      <c r="E185" t="s">
        <v>130</v>
      </c>
      <c r="F185" t="s">
        <v>131</v>
      </c>
      <c r="G185" t="s">
        <v>132</v>
      </c>
      <c r="H185" t="s">
        <v>115</v>
      </c>
      <c r="I185" t="s">
        <v>116</v>
      </c>
      <c r="J185" t="s">
        <v>117</v>
      </c>
      <c r="K185" t="s">
        <v>61</v>
      </c>
      <c r="L185" t="s">
        <v>531</v>
      </c>
      <c r="M185" t="s">
        <v>63</v>
      </c>
      <c r="N185" t="s">
        <v>45</v>
      </c>
      <c r="O185" t="s">
        <v>64</v>
      </c>
      <c r="P185" t="s">
        <v>65</v>
      </c>
      <c r="Q185" t="s">
        <v>66</v>
      </c>
      <c r="R185" t="s">
        <v>84</v>
      </c>
      <c r="S185">
        <v>2</v>
      </c>
      <c r="T185" s="14">
        <v>53.64</v>
      </c>
      <c r="U185" s="7">
        <v>12</v>
      </c>
      <c r="V185" s="7">
        <v>22</v>
      </c>
      <c r="W185" s="14">
        <v>87.64</v>
      </c>
      <c r="X185" s="14">
        <v>178.8</v>
      </c>
      <c r="Y185" s="16">
        <v>0</v>
      </c>
      <c r="Z185" s="12">
        <v>357.6</v>
      </c>
      <c r="AA185" s="5">
        <v>182.32</v>
      </c>
      <c r="AB185" s="18">
        <v>50.98</v>
      </c>
      <c r="AC185" t="s">
        <v>111</v>
      </c>
      <c r="AD185" t="s">
        <v>158</v>
      </c>
      <c r="AE185" t="s">
        <v>105</v>
      </c>
      <c r="AF185">
        <v>5</v>
      </c>
      <c r="AG185" t="s">
        <v>53</v>
      </c>
    </row>
    <row r="186" spans="1:33">
      <c r="A186" t="s">
        <v>532</v>
      </c>
      <c r="B186" s="10">
        <v>45847</v>
      </c>
      <c r="C186" s="3" t="s">
        <v>211</v>
      </c>
      <c r="D186" t="s">
        <v>129</v>
      </c>
      <c r="E186" t="s">
        <v>114</v>
      </c>
      <c r="F186" t="s">
        <v>73</v>
      </c>
      <c r="G186" t="s">
        <v>74</v>
      </c>
      <c r="H186" t="s">
        <v>115</v>
      </c>
      <c r="I186" t="s">
        <v>116</v>
      </c>
      <c r="J186" t="s">
        <v>117</v>
      </c>
      <c r="K186" t="s">
        <v>61</v>
      </c>
      <c r="L186" t="s">
        <v>533</v>
      </c>
      <c r="M186" t="s">
        <v>80</v>
      </c>
      <c r="N186" t="s">
        <v>81</v>
      </c>
      <c r="O186" t="s">
        <v>137</v>
      </c>
      <c r="P186" t="s">
        <v>138</v>
      </c>
      <c r="Q186" t="s">
        <v>139</v>
      </c>
      <c r="R186" t="s">
        <v>49</v>
      </c>
      <c r="S186">
        <v>2</v>
      </c>
      <c r="T186" s="14">
        <v>83.58</v>
      </c>
      <c r="U186" s="7">
        <v>12</v>
      </c>
      <c r="V186" s="7">
        <v>22</v>
      </c>
      <c r="W186" s="14">
        <v>117.58</v>
      </c>
      <c r="X186" s="14">
        <v>278.60000000000002</v>
      </c>
      <c r="Y186" s="16">
        <v>10</v>
      </c>
      <c r="Z186" s="12">
        <v>501.48</v>
      </c>
      <c r="AA186" s="5">
        <v>266.32</v>
      </c>
      <c r="AB186" s="18">
        <v>53.11</v>
      </c>
      <c r="AC186" t="s">
        <v>85</v>
      </c>
      <c r="AD186" t="s">
        <v>86</v>
      </c>
      <c r="AE186" t="s">
        <v>105</v>
      </c>
      <c r="AF186">
        <v>4</v>
      </c>
      <c r="AG186" t="s">
        <v>53</v>
      </c>
    </row>
    <row r="187" spans="1:33">
      <c r="A187" t="s">
        <v>534</v>
      </c>
      <c r="B187" s="10">
        <v>45864</v>
      </c>
      <c r="C187" s="3" t="s">
        <v>55</v>
      </c>
      <c r="D187" t="s">
        <v>71</v>
      </c>
      <c r="E187" t="s">
        <v>114</v>
      </c>
      <c r="F187" t="s">
        <v>73</v>
      </c>
      <c r="G187" t="s">
        <v>74</v>
      </c>
      <c r="H187" t="s">
        <v>142</v>
      </c>
      <c r="I187" t="s">
        <v>143</v>
      </c>
      <c r="J187" t="s">
        <v>144</v>
      </c>
      <c r="K187" t="s">
        <v>145</v>
      </c>
      <c r="L187" t="s">
        <v>535</v>
      </c>
      <c r="M187" t="s">
        <v>44</v>
      </c>
      <c r="N187" t="s">
        <v>81</v>
      </c>
      <c r="O187" t="s">
        <v>64</v>
      </c>
      <c r="P187" t="s">
        <v>65</v>
      </c>
      <c r="Q187" t="s">
        <v>66</v>
      </c>
      <c r="R187" t="s">
        <v>84</v>
      </c>
      <c r="S187">
        <v>3</v>
      </c>
      <c r="T187" s="14">
        <v>53.64</v>
      </c>
      <c r="U187" s="7">
        <v>12</v>
      </c>
      <c r="V187" s="7">
        <v>22</v>
      </c>
      <c r="W187" s="14">
        <v>87.64</v>
      </c>
      <c r="X187" s="14">
        <v>178.8</v>
      </c>
      <c r="Y187" s="16">
        <v>15</v>
      </c>
      <c r="Z187" s="12">
        <v>455.94</v>
      </c>
      <c r="AA187" s="5">
        <v>193.02</v>
      </c>
      <c r="AB187" s="18">
        <v>42.33</v>
      </c>
      <c r="AC187" t="s">
        <v>111</v>
      </c>
      <c r="AD187" t="s">
        <v>51</v>
      </c>
      <c r="AE187" t="s">
        <v>105</v>
      </c>
      <c r="AF187">
        <v>4</v>
      </c>
      <c r="AG187" t="s">
        <v>53</v>
      </c>
    </row>
    <row r="188" spans="1:33">
      <c r="A188" t="s">
        <v>536</v>
      </c>
      <c r="B188" s="10">
        <v>45827</v>
      </c>
      <c r="C188" s="3" t="s">
        <v>98</v>
      </c>
      <c r="D188" t="s">
        <v>56</v>
      </c>
      <c r="E188" t="s">
        <v>174</v>
      </c>
      <c r="F188" t="s">
        <v>131</v>
      </c>
      <c r="G188" t="s">
        <v>132</v>
      </c>
      <c r="H188" t="s">
        <v>115</v>
      </c>
      <c r="I188" t="s">
        <v>116</v>
      </c>
      <c r="J188" t="s">
        <v>117</v>
      </c>
      <c r="K188" t="s">
        <v>61</v>
      </c>
      <c r="L188" t="s">
        <v>537</v>
      </c>
      <c r="M188" t="s">
        <v>44</v>
      </c>
      <c r="N188" t="s">
        <v>81</v>
      </c>
      <c r="O188" t="s">
        <v>94</v>
      </c>
      <c r="P188" t="s">
        <v>95</v>
      </c>
      <c r="Q188" t="s">
        <v>66</v>
      </c>
      <c r="R188" t="s">
        <v>67</v>
      </c>
      <c r="S188">
        <v>2</v>
      </c>
      <c r="T188" s="14">
        <v>65.7</v>
      </c>
      <c r="U188" s="7">
        <v>12</v>
      </c>
      <c r="V188" s="7">
        <v>22</v>
      </c>
      <c r="W188" s="14">
        <v>99.7</v>
      </c>
      <c r="X188" s="14">
        <v>219</v>
      </c>
      <c r="Y188" s="16">
        <v>10</v>
      </c>
      <c r="Z188" s="12">
        <v>394.2</v>
      </c>
      <c r="AA188" s="5">
        <v>194.8</v>
      </c>
      <c r="AB188" s="18">
        <v>49.42</v>
      </c>
      <c r="AC188" t="s">
        <v>104</v>
      </c>
      <c r="AD188" t="s">
        <v>86</v>
      </c>
      <c r="AE188" t="s">
        <v>126</v>
      </c>
      <c r="AF188">
        <v>5</v>
      </c>
      <c r="AG188" t="s">
        <v>53</v>
      </c>
    </row>
    <row r="189" spans="1:33">
      <c r="A189" t="s">
        <v>538</v>
      </c>
      <c r="B189" s="10">
        <v>45833</v>
      </c>
      <c r="C189" s="3" t="s">
        <v>88</v>
      </c>
      <c r="D189" t="s">
        <v>129</v>
      </c>
      <c r="E189" t="s">
        <v>174</v>
      </c>
      <c r="F189" t="s">
        <v>131</v>
      </c>
      <c r="G189" t="s">
        <v>132</v>
      </c>
      <c r="H189" t="s">
        <v>115</v>
      </c>
      <c r="I189" t="s">
        <v>116</v>
      </c>
      <c r="J189" t="s">
        <v>117</v>
      </c>
      <c r="K189" t="s">
        <v>61</v>
      </c>
      <c r="L189" t="s">
        <v>539</v>
      </c>
      <c r="M189" t="s">
        <v>63</v>
      </c>
      <c r="N189" t="s">
        <v>110</v>
      </c>
      <c r="O189" t="s">
        <v>189</v>
      </c>
      <c r="P189" t="s">
        <v>190</v>
      </c>
      <c r="Q189" t="s">
        <v>48</v>
      </c>
      <c r="R189" t="s">
        <v>84</v>
      </c>
      <c r="S189">
        <v>2</v>
      </c>
      <c r="T189" s="14">
        <v>57.24</v>
      </c>
      <c r="U189" s="7">
        <v>12</v>
      </c>
      <c r="V189" s="7">
        <v>22</v>
      </c>
      <c r="W189" s="14">
        <v>91.240000000000009</v>
      </c>
      <c r="X189" s="14">
        <v>190.8</v>
      </c>
      <c r="Y189" s="16">
        <v>0</v>
      </c>
      <c r="Z189" s="12">
        <v>381.6</v>
      </c>
      <c r="AA189" s="5">
        <v>199.12</v>
      </c>
      <c r="AB189" s="18">
        <v>52.18</v>
      </c>
      <c r="AC189" t="s">
        <v>111</v>
      </c>
      <c r="AD189" t="s">
        <v>86</v>
      </c>
      <c r="AE189" t="s">
        <v>96</v>
      </c>
      <c r="AF189">
        <v>5</v>
      </c>
      <c r="AG189" t="s">
        <v>53</v>
      </c>
    </row>
    <row r="190" spans="1:33">
      <c r="A190" t="s">
        <v>540</v>
      </c>
      <c r="B190" s="10">
        <v>45942</v>
      </c>
      <c r="C190" s="3" t="s">
        <v>128</v>
      </c>
      <c r="D190" t="s">
        <v>89</v>
      </c>
      <c r="E190" t="s">
        <v>36</v>
      </c>
      <c r="F190" t="s">
        <v>37</v>
      </c>
      <c r="G190" t="s">
        <v>38</v>
      </c>
      <c r="H190" t="s">
        <v>142</v>
      </c>
      <c r="I190" t="s">
        <v>143</v>
      </c>
      <c r="J190" t="s">
        <v>144</v>
      </c>
      <c r="K190" t="s">
        <v>145</v>
      </c>
      <c r="L190" t="s">
        <v>541</v>
      </c>
      <c r="M190" t="s">
        <v>63</v>
      </c>
      <c r="N190" t="s">
        <v>110</v>
      </c>
      <c r="O190" t="s">
        <v>94</v>
      </c>
      <c r="P190" t="s">
        <v>95</v>
      </c>
      <c r="Q190" t="s">
        <v>66</v>
      </c>
      <c r="R190" t="s">
        <v>84</v>
      </c>
      <c r="S190">
        <v>2</v>
      </c>
      <c r="T190" s="14">
        <v>78.84</v>
      </c>
      <c r="U190" s="7">
        <v>12</v>
      </c>
      <c r="V190" s="7">
        <v>22</v>
      </c>
      <c r="W190" s="14">
        <v>112.84</v>
      </c>
      <c r="X190" s="14">
        <v>262.8</v>
      </c>
      <c r="Y190" s="16">
        <v>15</v>
      </c>
      <c r="Z190" s="12">
        <v>446.76</v>
      </c>
      <c r="AA190" s="5">
        <v>221.08</v>
      </c>
      <c r="AB190" s="18">
        <v>49.49</v>
      </c>
      <c r="AC190" t="s">
        <v>85</v>
      </c>
      <c r="AD190" t="s">
        <v>51</v>
      </c>
      <c r="AE190" t="s">
        <v>96</v>
      </c>
      <c r="AF190">
        <v>4</v>
      </c>
      <c r="AG190" t="s">
        <v>53</v>
      </c>
    </row>
    <row r="191" spans="1:33">
      <c r="A191" t="s">
        <v>542</v>
      </c>
      <c r="B191" s="10">
        <v>45959</v>
      </c>
      <c r="C191" s="3" t="s">
        <v>55</v>
      </c>
      <c r="D191" t="s">
        <v>129</v>
      </c>
      <c r="E191" t="s">
        <v>36</v>
      </c>
      <c r="F191" t="s">
        <v>37</v>
      </c>
      <c r="G191" t="s">
        <v>38</v>
      </c>
      <c r="H191" t="s">
        <v>39</v>
      </c>
      <c r="I191" t="s">
        <v>2143</v>
      </c>
      <c r="J191" t="s">
        <v>41</v>
      </c>
      <c r="K191" t="s">
        <v>42</v>
      </c>
      <c r="L191" t="s">
        <v>543</v>
      </c>
      <c r="M191" t="s">
        <v>44</v>
      </c>
      <c r="N191" t="s">
        <v>110</v>
      </c>
      <c r="O191" t="s">
        <v>168</v>
      </c>
      <c r="P191" t="s">
        <v>169</v>
      </c>
      <c r="Q191" t="s">
        <v>139</v>
      </c>
      <c r="R191" t="s">
        <v>49</v>
      </c>
      <c r="S191">
        <v>1</v>
      </c>
      <c r="T191" s="14">
        <v>66.78</v>
      </c>
      <c r="U191" s="7">
        <v>12</v>
      </c>
      <c r="V191" s="7">
        <v>22</v>
      </c>
      <c r="W191" s="14">
        <v>100.78</v>
      </c>
      <c r="X191" s="14">
        <v>222.6</v>
      </c>
      <c r="Y191" s="16">
        <v>0</v>
      </c>
      <c r="Z191" s="12">
        <v>222.6</v>
      </c>
      <c r="AA191" s="5">
        <v>121.82</v>
      </c>
      <c r="AB191" s="18">
        <v>54.73</v>
      </c>
      <c r="AC191" t="s">
        <v>50</v>
      </c>
      <c r="AD191" t="s">
        <v>51</v>
      </c>
      <c r="AE191" t="s">
        <v>96</v>
      </c>
      <c r="AF191">
        <v>4</v>
      </c>
      <c r="AG191" t="s">
        <v>53</v>
      </c>
    </row>
    <row r="192" spans="1:33">
      <c r="A192" t="s">
        <v>544</v>
      </c>
      <c r="B192" s="10">
        <v>45853</v>
      </c>
      <c r="C192" s="3" t="s">
        <v>171</v>
      </c>
      <c r="D192" t="s">
        <v>156</v>
      </c>
      <c r="E192" t="s">
        <v>114</v>
      </c>
      <c r="F192" t="s">
        <v>73</v>
      </c>
      <c r="G192" t="s">
        <v>74</v>
      </c>
      <c r="H192" t="s">
        <v>39</v>
      </c>
      <c r="I192" t="s">
        <v>2143</v>
      </c>
      <c r="J192" t="s">
        <v>41</v>
      </c>
      <c r="K192" t="s">
        <v>42</v>
      </c>
      <c r="L192" t="s">
        <v>545</v>
      </c>
      <c r="M192" t="s">
        <v>63</v>
      </c>
      <c r="N192" t="s">
        <v>81</v>
      </c>
      <c r="O192" t="s">
        <v>119</v>
      </c>
      <c r="P192" t="s">
        <v>120</v>
      </c>
      <c r="Q192" t="s">
        <v>103</v>
      </c>
      <c r="R192" t="s">
        <v>49</v>
      </c>
      <c r="S192">
        <v>1</v>
      </c>
      <c r="T192" s="14">
        <v>54.18</v>
      </c>
      <c r="U192" s="7">
        <v>12</v>
      </c>
      <c r="V192" s="7">
        <v>22</v>
      </c>
      <c r="W192" s="14">
        <v>88.18</v>
      </c>
      <c r="X192" s="14">
        <v>180.6</v>
      </c>
      <c r="Y192" s="16">
        <v>5</v>
      </c>
      <c r="Z192" s="12">
        <v>171.57</v>
      </c>
      <c r="AA192" s="5">
        <v>83.39</v>
      </c>
      <c r="AB192" s="18">
        <v>48.6</v>
      </c>
      <c r="AC192" t="s">
        <v>85</v>
      </c>
      <c r="AD192" t="s">
        <v>86</v>
      </c>
      <c r="AE192" t="s">
        <v>52</v>
      </c>
      <c r="AF192">
        <v>3</v>
      </c>
      <c r="AG192" t="s">
        <v>53</v>
      </c>
    </row>
    <row r="193" spans="1:33">
      <c r="A193" t="s">
        <v>546</v>
      </c>
      <c r="B193" s="10">
        <v>45986</v>
      </c>
      <c r="C193" s="3" t="s">
        <v>34</v>
      </c>
      <c r="D193" t="s">
        <v>156</v>
      </c>
      <c r="E193" t="s">
        <v>57</v>
      </c>
      <c r="F193" t="s">
        <v>37</v>
      </c>
      <c r="G193" t="s">
        <v>38</v>
      </c>
      <c r="H193" t="s">
        <v>115</v>
      </c>
      <c r="I193" t="s">
        <v>116</v>
      </c>
      <c r="J193" t="s">
        <v>117</v>
      </c>
      <c r="K193" t="s">
        <v>61</v>
      </c>
      <c r="L193" t="s">
        <v>547</v>
      </c>
      <c r="M193" t="s">
        <v>44</v>
      </c>
      <c r="N193" t="s">
        <v>81</v>
      </c>
      <c r="O193" t="s">
        <v>275</v>
      </c>
      <c r="P193" t="s">
        <v>276</v>
      </c>
      <c r="Q193" t="s">
        <v>125</v>
      </c>
      <c r="R193" t="s">
        <v>84</v>
      </c>
      <c r="S193">
        <v>2</v>
      </c>
      <c r="T193" s="14">
        <v>82.44</v>
      </c>
      <c r="U193" s="7">
        <v>12</v>
      </c>
      <c r="V193" s="7">
        <v>22</v>
      </c>
      <c r="W193" s="14">
        <v>116.44</v>
      </c>
      <c r="X193" s="14">
        <v>274.8</v>
      </c>
      <c r="Y193" s="16">
        <v>0</v>
      </c>
      <c r="Z193" s="12">
        <v>549.6</v>
      </c>
      <c r="AA193" s="5">
        <v>316.72000000000003</v>
      </c>
      <c r="AB193" s="18">
        <v>57.63</v>
      </c>
      <c r="AC193" t="s">
        <v>111</v>
      </c>
      <c r="AD193" t="s">
        <v>158</v>
      </c>
      <c r="AE193" t="s">
        <v>96</v>
      </c>
      <c r="AF193">
        <v>5</v>
      </c>
      <c r="AG193" t="s">
        <v>53</v>
      </c>
    </row>
    <row r="194" spans="1:33">
      <c r="A194" t="s">
        <v>548</v>
      </c>
      <c r="B194" s="10">
        <v>45803</v>
      </c>
      <c r="C194" s="3" t="s">
        <v>179</v>
      </c>
      <c r="D194" t="s">
        <v>206</v>
      </c>
      <c r="E194" t="s">
        <v>130</v>
      </c>
      <c r="F194" t="s">
        <v>131</v>
      </c>
      <c r="G194" t="s">
        <v>132</v>
      </c>
      <c r="H194" t="s">
        <v>39</v>
      </c>
      <c r="I194" t="s">
        <v>2143</v>
      </c>
      <c r="J194" t="s">
        <v>41</v>
      </c>
      <c r="K194" t="s">
        <v>42</v>
      </c>
      <c r="L194" t="s">
        <v>549</v>
      </c>
      <c r="M194" t="s">
        <v>63</v>
      </c>
      <c r="N194" t="s">
        <v>81</v>
      </c>
      <c r="O194" t="s">
        <v>189</v>
      </c>
      <c r="P194" t="s">
        <v>190</v>
      </c>
      <c r="Q194" t="s">
        <v>48</v>
      </c>
      <c r="R194" t="s">
        <v>49</v>
      </c>
      <c r="S194">
        <v>2</v>
      </c>
      <c r="T194" s="14">
        <v>66.78</v>
      </c>
      <c r="U194" s="7">
        <v>12</v>
      </c>
      <c r="V194" s="7">
        <v>22</v>
      </c>
      <c r="W194" s="14">
        <v>100.78</v>
      </c>
      <c r="X194" s="14">
        <v>222.6</v>
      </c>
      <c r="Y194" s="16">
        <v>5</v>
      </c>
      <c r="Z194" s="12">
        <v>422.94</v>
      </c>
      <c r="AA194" s="5">
        <v>221.38</v>
      </c>
      <c r="AB194" s="18">
        <v>52.34</v>
      </c>
      <c r="AC194" t="s">
        <v>104</v>
      </c>
      <c r="AD194" t="s">
        <v>86</v>
      </c>
      <c r="AE194" t="s">
        <v>105</v>
      </c>
      <c r="AF194">
        <v>3</v>
      </c>
      <c r="AG194" t="s">
        <v>53</v>
      </c>
    </row>
    <row r="195" spans="1:33">
      <c r="A195" t="s">
        <v>550</v>
      </c>
      <c r="B195" s="10">
        <v>45717</v>
      </c>
      <c r="C195" s="3" t="s">
        <v>128</v>
      </c>
      <c r="D195" t="s">
        <v>71</v>
      </c>
      <c r="E195" t="s">
        <v>108</v>
      </c>
      <c r="F195" t="s">
        <v>91</v>
      </c>
      <c r="G195" t="s">
        <v>38</v>
      </c>
      <c r="H195" t="s">
        <v>133</v>
      </c>
      <c r="I195" t="s">
        <v>134</v>
      </c>
      <c r="J195" t="s">
        <v>135</v>
      </c>
      <c r="K195" t="s">
        <v>42</v>
      </c>
      <c r="L195" t="s">
        <v>551</v>
      </c>
      <c r="M195" t="s">
        <v>63</v>
      </c>
      <c r="N195" t="s">
        <v>45</v>
      </c>
      <c r="O195" t="s">
        <v>168</v>
      </c>
      <c r="P195" t="s">
        <v>169</v>
      </c>
      <c r="Q195" t="s">
        <v>139</v>
      </c>
      <c r="R195" t="s">
        <v>49</v>
      </c>
      <c r="S195">
        <v>2</v>
      </c>
      <c r="T195" s="14">
        <v>66.78</v>
      </c>
      <c r="U195" s="7">
        <v>12</v>
      </c>
      <c r="V195" s="7">
        <v>22</v>
      </c>
      <c r="W195" s="14">
        <v>100.78</v>
      </c>
      <c r="X195" s="14">
        <v>222.6</v>
      </c>
      <c r="Y195" s="16">
        <v>10</v>
      </c>
      <c r="Z195" s="12">
        <v>400.68</v>
      </c>
      <c r="AA195" s="5">
        <v>199.12</v>
      </c>
      <c r="AB195" s="18">
        <v>49.7</v>
      </c>
      <c r="AC195" t="s">
        <v>104</v>
      </c>
      <c r="AD195" t="s">
        <v>51</v>
      </c>
      <c r="AE195" t="s">
        <v>52</v>
      </c>
      <c r="AF195">
        <v>4</v>
      </c>
      <c r="AG195" t="s">
        <v>53</v>
      </c>
    </row>
    <row r="196" spans="1:33">
      <c r="A196" t="s">
        <v>552</v>
      </c>
      <c r="B196" s="10">
        <v>45758</v>
      </c>
      <c r="C196" s="3" t="s">
        <v>141</v>
      </c>
      <c r="D196" t="s">
        <v>35</v>
      </c>
      <c r="E196" t="s">
        <v>280</v>
      </c>
      <c r="F196" t="s">
        <v>131</v>
      </c>
      <c r="G196" t="s">
        <v>132</v>
      </c>
      <c r="H196" t="s">
        <v>142</v>
      </c>
      <c r="I196" t="s">
        <v>143</v>
      </c>
      <c r="J196" t="s">
        <v>144</v>
      </c>
      <c r="K196" t="s">
        <v>145</v>
      </c>
      <c r="L196" t="s">
        <v>553</v>
      </c>
      <c r="M196" t="s">
        <v>44</v>
      </c>
      <c r="N196" t="s">
        <v>45</v>
      </c>
      <c r="O196" t="s">
        <v>46</v>
      </c>
      <c r="P196" t="s">
        <v>47</v>
      </c>
      <c r="Q196" t="s">
        <v>48</v>
      </c>
      <c r="R196" t="s">
        <v>67</v>
      </c>
      <c r="S196">
        <v>1</v>
      </c>
      <c r="T196" s="14">
        <v>77.7</v>
      </c>
      <c r="U196" s="7">
        <v>12</v>
      </c>
      <c r="V196" s="7">
        <v>22</v>
      </c>
      <c r="W196" s="14">
        <v>111.7</v>
      </c>
      <c r="X196" s="14">
        <v>259</v>
      </c>
      <c r="Y196" s="16">
        <v>5</v>
      </c>
      <c r="Z196" s="12">
        <v>246.05</v>
      </c>
      <c r="AA196" s="5">
        <v>134.35</v>
      </c>
      <c r="AB196" s="18">
        <v>54.6</v>
      </c>
      <c r="AC196" t="s">
        <v>111</v>
      </c>
      <c r="AD196" t="s">
        <v>158</v>
      </c>
      <c r="AE196" t="s">
        <v>105</v>
      </c>
      <c r="AF196">
        <v>5</v>
      </c>
      <c r="AG196" t="s">
        <v>53</v>
      </c>
    </row>
    <row r="197" spans="1:33">
      <c r="A197" t="s">
        <v>554</v>
      </c>
      <c r="B197" s="10">
        <v>45889</v>
      </c>
      <c r="C197" s="3" t="s">
        <v>88</v>
      </c>
      <c r="D197" t="s">
        <v>129</v>
      </c>
      <c r="E197" t="s">
        <v>99</v>
      </c>
      <c r="F197" t="s">
        <v>73</v>
      </c>
      <c r="G197" t="s">
        <v>74</v>
      </c>
      <c r="H197" t="s">
        <v>142</v>
      </c>
      <c r="I197" t="s">
        <v>143</v>
      </c>
      <c r="J197" t="s">
        <v>144</v>
      </c>
      <c r="K197" t="s">
        <v>145</v>
      </c>
      <c r="L197" t="s">
        <v>555</v>
      </c>
      <c r="M197" t="s">
        <v>63</v>
      </c>
      <c r="N197" t="s">
        <v>81</v>
      </c>
      <c r="O197" t="s">
        <v>162</v>
      </c>
      <c r="P197" t="s">
        <v>163</v>
      </c>
      <c r="Q197" t="s">
        <v>48</v>
      </c>
      <c r="R197" t="s">
        <v>67</v>
      </c>
      <c r="S197">
        <v>2</v>
      </c>
      <c r="T197" s="14">
        <v>74.7</v>
      </c>
      <c r="U197" s="7">
        <v>12</v>
      </c>
      <c r="V197" s="7">
        <v>22</v>
      </c>
      <c r="W197" s="14">
        <v>108.7</v>
      </c>
      <c r="X197" s="14">
        <v>249</v>
      </c>
      <c r="Y197" s="16">
        <v>5</v>
      </c>
      <c r="Z197" s="12">
        <v>473.1</v>
      </c>
      <c r="AA197" s="5">
        <v>255.7</v>
      </c>
      <c r="AB197" s="18">
        <v>54.05</v>
      </c>
      <c r="AC197" t="s">
        <v>111</v>
      </c>
      <c r="AD197" t="s">
        <v>51</v>
      </c>
      <c r="AE197" t="s">
        <v>96</v>
      </c>
      <c r="AF197">
        <v>3</v>
      </c>
      <c r="AG197" t="s">
        <v>53</v>
      </c>
    </row>
    <row r="198" spans="1:33">
      <c r="A198" t="s">
        <v>556</v>
      </c>
      <c r="B198" s="10">
        <v>45933</v>
      </c>
      <c r="C198" s="3" t="s">
        <v>155</v>
      </c>
      <c r="D198" t="s">
        <v>35</v>
      </c>
      <c r="E198" t="s">
        <v>36</v>
      </c>
      <c r="F198" t="s">
        <v>37</v>
      </c>
      <c r="G198" t="s">
        <v>38</v>
      </c>
      <c r="H198" t="s">
        <v>115</v>
      </c>
      <c r="I198" t="s">
        <v>116</v>
      </c>
      <c r="J198" t="s">
        <v>117</v>
      </c>
      <c r="K198" t="s">
        <v>61</v>
      </c>
      <c r="L198" t="s">
        <v>557</v>
      </c>
      <c r="M198" t="s">
        <v>44</v>
      </c>
      <c r="N198" t="s">
        <v>81</v>
      </c>
      <c r="O198" t="s">
        <v>64</v>
      </c>
      <c r="P198" t="s">
        <v>65</v>
      </c>
      <c r="Q198" t="s">
        <v>66</v>
      </c>
      <c r="R198" t="s">
        <v>49</v>
      </c>
      <c r="S198">
        <v>3</v>
      </c>
      <c r="T198" s="14">
        <v>62.58</v>
      </c>
      <c r="U198" s="7">
        <v>12</v>
      </c>
      <c r="V198" s="7">
        <v>22</v>
      </c>
      <c r="W198" s="14">
        <v>96.58</v>
      </c>
      <c r="X198" s="14">
        <v>208.6</v>
      </c>
      <c r="Y198" s="16">
        <v>0</v>
      </c>
      <c r="Z198" s="12">
        <v>625.79999999999995</v>
      </c>
      <c r="AA198" s="5">
        <v>336.06</v>
      </c>
      <c r="AB198" s="18">
        <v>53.7</v>
      </c>
      <c r="AC198" t="s">
        <v>104</v>
      </c>
      <c r="AD198" t="s">
        <v>86</v>
      </c>
      <c r="AE198" t="s">
        <v>68</v>
      </c>
      <c r="AF198">
        <v>3</v>
      </c>
      <c r="AG198" t="s">
        <v>53</v>
      </c>
    </row>
    <row r="199" spans="1:33">
      <c r="A199" t="s">
        <v>558</v>
      </c>
      <c r="B199" s="10">
        <v>45989</v>
      </c>
      <c r="C199" s="3" t="s">
        <v>199</v>
      </c>
      <c r="D199" t="s">
        <v>35</v>
      </c>
      <c r="E199" t="s">
        <v>57</v>
      </c>
      <c r="F199" t="s">
        <v>37</v>
      </c>
      <c r="G199" t="s">
        <v>38</v>
      </c>
      <c r="H199" t="s">
        <v>133</v>
      </c>
      <c r="I199" t="s">
        <v>134</v>
      </c>
      <c r="J199" t="s">
        <v>135</v>
      </c>
      <c r="K199" t="s">
        <v>42</v>
      </c>
      <c r="L199" t="s">
        <v>559</v>
      </c>
      <c r="M199" t="s">
        <v>44</v>
      </c>
      <c r="N199" t="s">
        <v>81</v>
      </c>
      <c r="O199" t="s">
        <v>46</v>
      </c>
      <c r="P199" t="s">
        <v>47</v>
      </c>
      <c r="Q199" t="s">
        <v>48</v>
      </c>
      <c r="R199" t="s">
        <v>49</v>
      </c>
      <c r="S199">
        <v>1</v>
      </c>
      <c r="T199" s="14">
        <v>108.78</v>
      </c>
      <c r="U199" s="7">
        <v>12</v>
      </c>
      <c r="V199" s="7">
        <v>22</v>
      </c>
      <c r="W199" s="14">
        <v>142.78</v>
      </c>
      <c r="X199" s="14">
        <v>362.6</v>
      </c>
      <c r="Y199" s="16">
        <v>0</v>
      </c>
      <c r="Z199" s="12">
        <v>362.6</v>
      </c>
      <c r="AA199" s="5">
        <v>219.82</v>
      </c>
      <c r="AB199" s="18">
        <v>60.62</v>
      </c>
      <c r="AC199" t="s">
        <v>104</v>
      </c>
      <c r="AD199" t="s">
        <v>158</v>
      </c>
      <c r="AE199" t="s">
        <v>68</v>
      </c>
      <c r="AF199">
        <v>5</v>
      </c>
      <c r="AG199" t="s">
        <v>53</v>
      </c>
    </row>
    <row r="200" spans="1:33">
      <c r="A200" t="s">
        <v>560</v>
      </c>
      <c r="B200" s="10">
        <v>45976</v>
      </c>
      <c r="C200" s="3" t="s">
        <v>88</v>
      </c>
      <c r="D200" t="s">
        <v>71</v>
      </c>
      <c r="E200" t="s">
        <v>57</v>
      </c>
      <c r="F200" t="s">
        <v>37</v>
      </c>
      <c r="G200" t="s">
        <v>38</v>
      </c>
      <c r="H200" t="s">
        <v>142</v>
      </c>
      <c r="I200" t="s">
        <v>143</v>
      </c>
      <c r="J200" t="s">
        <v>144</v>
      </c>
      <c r="K200" t="s">
        <v>145</v>
      </c>
      <c r="L200" t="s">
        <v>561</v>
      </c>
      <c r="M200" t="s">
        <v>80</v>
      </c>
      <c r="N200" t="s">
        <v>110</v>
      </c>
      <c r="O200" t="s">
        <v>189</v>
      </c>
      <c r="P200" t="s">
        <v>190</v>
      </c>
      <c r="Q200" t="s">
        <v>48</v>
      </c>
      <c r="R200" t="s">
        <v>67</v>
      </c>
      <c r="S200">
        <v>2</v>
      </c>
      <c r="T200" s="14">
        <v>47.7</v>
      </c>
      <c r="U200" s="7">
        <v>12</v>
      </c>
      <c r="V200" s="7">
        <v>22</v>
      </c>
      <c r="W200" s="14">
        <v>81.7</v>
      </c>
      <c r="X200" s="14">
        <v>159</v>
      </c>
      <c r="Y200" s="16">
        <v>15</v>
      </c>
      <c r="Z200" s="12">
        <v>270.3</v>
      </c>
      <c r="AA200" s="5">
        <v>106.9</v>
      </c>
      <c r="AB200" s="18">
        <v>39.549999999999997</v>
      </c>
      <c r="AC200" t="s">
        <v>111</v>
      </c>
      <c r="AD200" t="s">
        <v>51</v>
      </c>
      <c r="AE200" t="s">
        <v>68</v>
      </c>
      <c r="AF200">
        <v>4</v>
      </c>
      <c r="AG200" t="s">
        <v>53</v>
      </c>
    </row>
    <row r="201" spans="1:33">
      <c r="A201" t="s">
        <v>562</v>
      </c>
      <c r="B201" s="10">
        <v>45808</v>
      </c>
      <c r="C201" s="3" t="s">
        <v>148</v>
      </c>
      <c r="D201" t="s">
        <v>71</v>
      </c>
      <c r="E201" t="s">
        <v>130</v>
      </c>
      <c r="F201" t="s">
        <v>131</v>
      </c>
      <c r="G201" t="s">
        <v>132</v>
      </c>
      <c r="H201" t="s">
        <v>142</v>
      </c>
      <c r="I201" t="s">
        <v>143</v>
      </c>
      <c r="J201" t="s">
        <v>144</v>
      </c>
      <c r="K201" t="s">
        <v>145</v>
      </c>
      <c r="L201" t="s">
        <v>563</v>
      </c>
      <c r="M201" t="s">
        <v>44</v>
      </c>
      <c r="N201" t="s">
        <v>45</v>
      </c>
      <c r="O201" t="s">
        <v>64</v>
      </c>
      <c r="P201" t="s">
        <v>65</v>
      </c>
      <c r="Q201" t="s">
        <v>66</v>
      </c>
      <c r="R201" t="s">
        <v>49</v>
      </c>
      <c r="S201">
        <v>2</v>
      </c>
      <c r="T201" s="14">
        <v>62.58</v>
      </c>
      <c r="U201" s="7">
        <v>12</v>
      </c>
      <c r="V201" s="7">
        <v>22</v>
      </c>
      <c r="W201" s="14">
        <v>96.58</v>
      </c>
      <c r="X201" s="14">
        <v>208.6</v>
      </c>
      <c r="Y201" s="16">
        <v>10</v>
      </c>
      <c r="Z201" s="12">
        <v>375.48</v>
      </c>
      <c r="AA201" s="5">
        <v>182.32</v>
      </c>
      <c r="AB201" s="18">
        <v>48.56</v>
      </c>
      <c r="AC201" t="s">
        <v>111</v>
      </c>
      <c r="AD201" t="s">
        <v>51</v>
      </c>
      <c r="AE201" t="s">
        <v>96</v>
      </c>
      <c r="AF201">
        <v>5</v>
      </c>
      <c r="AG201" t="s">
        <v>53</v>
      </c>
    </row>
    <row r="202" spans="1:33">
      <c r="A202" t="s">
        <v>564</v>
      </c>
      <c r="B202" s="10">
        <v>45706</v>
      </c>
      <c r="C202" s="3" t="s">
        <v>219</v>
      </c>
      <c r="D202" t="s">
        <v>156</v>
      </c>
      <c r="E202" t="s">
        <v>90</v>
      </c>
      <c r="F202" t="s">
        <v>91</v>
      </c>
      <c r="G202" t="s">
        <v>92</v>
      </c>
      <c r="H202" t="s">
        <v>115</v>
      </c>
      <c r="I202" t="s">
        <v>116</v>
      </c>
      <c r="J202" t="s">
        <v>117</v>
      </c>
      <c r="K202" t="s">
        <v>61</v>
      </c>
      <c r="L202" t="s">
        <v>565</v>
      </c>
      <c r="M202" t="s">
        <v>80</v>
      </c>
      <c r="N202" t="s">
        <v>81</v>
      </c>
      <c r="O202" t="s">
        <v>94</v>
      </c>
      <c r="P202" t="s">
        <v>95</v>
      </c>
      <c r="Q202" t="s">
        <v>66</v>
      </c>
      <c r="R202" t="s">
        <v>84</v>
      </c>
      <c r="S202">
        <v>1</v>
      </c>
      <c r="T202" s="14">
        <v>78.84</v>
      </c>
      <c r="U202" s="7">
        <v>12</v>
      </c>
      <c r="V202" s="7">
        <v>22</v>
      </c>
      <c r="W202" s="14">
        <v>112.84</v>
      </c>
      <c r="X202" s="14">
        <v>262.8</v>
      </c>
      <c r="Y202" s="16">
        <v>0</v>
      </c>
      <c r="Z202" s="12">
        <v>262.8</v>
      </c>
      <c r="AA202" s="5">
        <v>149.96</v>
      </c>
      <c r="AB202" s="18">
        <v>57.06</v>
      </c>
      <c r="AC202" t="s">
        <v>50</v>
      </c>
      <c r="AD202" t="s">
        <v>51</v>
      </c>
      <c r="AE202" t="s">
        <v>126</v>
      </c>
      <c r="AF202">
        <v>5</v>
      </c>
      <c r="AG202" t="s">
        <v>53</v>
      </c>
    </row>
    <row r="203" spans="1:33">
      <c r="A203" t="s">
        <v>566</v>
      </c>
      <c r="B203" s="10">
        <v>45695</v>
      </c>
      <c r="C203" s="3" t="s">
        <v>194</v>
      </c>
      <c r="D203" t="s">
        <v>35</v>
      </c>
      <c r="E203" t="s">
        <v>90</v>
      </c>
      <c r="F203" t="s">
        <v>91</v>
      </c>
      <c r="G203" t="s">
        <v>92</v>
      </c>
      <c r="H203" t="s">
        <v>133</v>
      </c>
      <c r="I203" t="s">
        <v>134</v>
      </c>
      <c r="J203" t="s">
        <v>135</v>
      </c>
      <c r="K203" t="s">
        <v>42</v>
      </c>
      <c r="L203" t="s">
        <v>567</v>
      </c>
      <c r="M203" t="s">
        <v>80</v>
      </c>
      <c r="N203" t="s">
        <v>45</v>
      </c>
      <c r="O203" t="s">
        <v>94</v>
      </c>
      <c r="P203" t="s">
        <v>95</v>
      </c>
      <c r="Q203" t="s">
        <v>66</v>
      </c>
      <c r="R203" t="s">
        <v>67</v>
      </c>
      <c r="S203">
        <v>1</v>
      </c>
      <c r="T203" s="14">
        <v>65.7</v>
      </c>
      <c r="U203" s="7">
        <v>12</v>
      </c>
      <c r="V203" s="7">
        <v>22</v>
      </c>
      <c r="W203" s="14">
        <v>99.7</v>
      </c>
      <c r="X203" s="14">
        <v>219</v>
      </c>
      <c r="Y203" s="16">
        <v>5</v>
      </c>
      <c r="Z203" s="12">
        <v>208.05</v>
      </c>
      <c r="AA203" s="5">
        <v>108.35</v>
      </c>
      <c r="AB203" s="18">
        <v>52.08</v>
      </c>
      <c r="AC203" t="s">
        <v>50</v>
      </c>
      <c r="AD203" t="s">
        <v>51</v>
      </c>
      <c r="AE203" t="s">
        <v>52</v>
      </c>
      <c r="AF203">
        <v>5</v>
      </c>
      <c r="AG203" t="s">
        <v>53</v>
      </c>
    </row>
    <row r="204" spans="1:33">
      <c r="A204" t="s">
        <v>568</v>
      </c>
      <c r="B204" s="10">
        <v>45675</v>
      </c>
      <c r="C204" s="3" t="s">
        <v>211</v>
      </c>
      <c r="D204" t="s">
        <v>71</v>
      </c>
      <c r="E204" t="s">
        <v>152</v>
      </c>
      <c r="F204" t="s">
        <v>91</v>
      </c>
      <c r="G204" t="s">
        <v>92</v>
      </c>
      <c r="H204" t="s">
        <v>142</v>
      </c>
      <c r="I204" t="s">
        <v>143</v>
      </c>
      <c r="J204" t="s">
        <v>144</v>
      </c>
      <c r="K204" t="s">
        <v>145</v>
      </c>
      <c r="L204" t="s">
        <v>569</v>
      </c>
      <c r="M204" t="s">
        <v>44</v>
      </c>
      <c r="N204" t="s">
        <v>45</v>
      </c>
      <c r="O204" t="s">
        <v>94</v>
      </c>
      <c r="P204" t="s">
        <v>95</v>
      </c>
      <c r="Q204" t="s">
        <v>66</v>
      </c>
      <c r="R204" t="s">
        <v>49</v>
      </c>
      <c r="S204">
        <v>1</v>
      </c>
      <c r="T204" s="14">
        <v>91.98</v>
      </c>
      <c r="U204" s="7">
        <v>12</v>
      </c>
      <c r="V204" s="7">
        <v>22</v>
      </c>
      <c r="W204" s="14">
        <v>125.98</v>
      </c>
      <c r="X204" s="14">
        <v>306.60000000000002</v>
      </c>
      <c r="Y204" s="16">
        <v>15</v>
      </c>
      <c r="Z204" s="12">
        <v>260.61</v>
      </c>
      <c r="AA204" s="5">
        <v>134.63</v>
      </c>
      <c r="AB204" s="18">
        <v>51.66</v>
      </c>
      <c r="AC204" t="s">
        <v>85</v>
      </c>
      <c r="AD204" t="s">
        <v>51</v>
      </c>
      <c r="AE204" t="s">
        <v>52</v>
      </c>
      <c r="AF204">
        <v>5</v>
      </c>
      <c r="AG204" t="s">
        <v>53</v>
      </c>
    </row>
    <row r="205" spans="1:33">
      <c r="A205" t="s">
        <v>570</v>
      </c>
      <c r="B205" s="10">
        <v>45992</v>
      </c>
      <c r="C205" s="3" t="s">
        <v>160</v>
      </c>
      <c r="D205" t="s">
        <v>206</v>
      </c>
      <c r="E205" t="s">
        <v>149</v>
      </c>
      <c r="F205" t="s">
        <v>37</v>
      </c>
      <c r="G205" t="s">
        <v>92</v>
      </c>
      <c r="H205" t="s">
        <v>115</v>
      </c>
      <c r="I205" t="s">
        <v>116</v>
      </c>
      <c r="J205" t="s">
        <v>117</v>
      </c>
      <c r="K205" t="s">
        <v>61</v>
      </c>
      <c r="L205" t="s">
        <v>571</v>
      </c>
      <c r="M205" t="s">
        <v>80</v>
      </c>
      <c r="N205" t="s">
        <v>110</v>
      </c>
      <c r="O205" t="s">
        <v>176</v>
      </c>
      <c r="P205" t="s">
        <v>177</v>
      </c>
      <c r="Q205" t="s">
        <v>66</v>
      </c>
      <c r="R205" t="s">
        <v>49</v>
      </c>
      <c r="S205">
        <v>1</v>
      </c>
      <c r="T205" s="14">
        <v>70.98</v>
      </c>
      <c r="U205" s="7">
        <v>12</v>
      </c>
      <c r="V205" s="7">
        <v>22</v>
      </c>
      <c r="W205" s="14">
        <v>104.98</v>
      </c>
      <c r="X205" s="14">
        <v>236.6</v>
      </c>
      <c r="Y205" s="16">
        <v>0</v>
      </c>
      <c r="Z205" s="12">
        <v>236.6</v>
      </c>
      <c r="AA205" s="5">
        <v>131.62</v>
      </c>
      <c r="AB205" s="18">
        <v>55.63</v>
      </c>
      <c r="AC205" t="s">
        <v>111</v>
      </c>
      <c r="AD205" t="s">
        <v>158</v>
      </c>
      <c r="AE205" t="s">
        <v>126</v>
      </c>
      <c r="AF205">
        <v>3</v>
      </c>
      <c r="AG205" t="s">
        <v>53</v>
      </c>
    </row>
    <row r="206" spans="1:33">
      <c r="A206" t="s">
        <v>572</v>
      </c>
      <c r="B206" s="10">
        <v>45907</v>
      </c>
      <c r="C206" s="3" t="s">
        <v>182</v>
      </c>
      <c r="D206" t="s">
        <v>89</v>
      </c>
      <c r="E206" t="s">
        <v>72</v>
      </c>
      <c r="F206" t="s">
        <v>73</v>
      </c>
      <c r="G206" t="s">
        <v>74</v>
      </c>
      <c r="H206" t="s">
        <v>75</v>
      </c>
      <c r="I206" t="s">
        <v>76</v>
      </c>
      <c r="J206" t="s">
        <v>77</v>
      </c>
      <c r="K206" t="s">
        <v>78</v>
      </c>
      <c r="L206" t="s">
        <v>573</v>
      </c>
      <c r="M206" t="s">
        <v>80</v>
      </c>
      <c r="N206" t="s">
        <v>45</v>
      </c>
      <c r="O206" t="s">
        <v>119</v>
      </c>
      <c r="P206" t="s">
        <v>120</v>
      </c>
      <c r="Q206" t="s">
        <v>103</v>
      </c>
      <c r="R206" t="s">
        <v>49</v>
      </c>
      <c r="S206">
        <v>2</v>
      </c>
      <c r="T206" s="14">
        <v>54.18</v>
      </c>
      <c r="U206" s="7">
        <v>12</v>
      </c>
      <c r="V206" s="7">
        <v>22</v>
      </c>
      <c r="W206" s="14">
        <v>88.18</v>
      </c>
      <c r="X206" s="14">
        <v>180.6</v>
      </c>
      <c r="Y206" s="16">
        <v>10</v>
      </c>
      <c r="Z206" s="12">
        <v>325.08</v>
      </c>
      <c r="AA206" s="5">
        <v>148.72</v>
      </c>
      <c r="AB206" s="18">
        <v>45.75</v>
      </c>
      <c r="AC206" t="s">
        <v>50</v>
      </c>
      <c r="AD206" t="s">
        <v>51</v>
      </c>
      <c r="AE206" t="s">
        <v>126</v>
      </c>
      <c r="AF206">
        <v>3</v>
      </c>
      <c r="AG206" t="s">
        <v>53</v>
      </c>
    </row>
    <row r="207" spans="1:33">
      <c r="A207" t="s">
        <v>574</v>
      </c>
      <c r="B207" s="10">
        <v>45871</v>
      </c>
      <c r="C207" s="3" t="s">
        <v>148</v>
      </c>
      <c r="D207" t="s">
        <v>71</v>
      </c>
      <c r="E207" t="s">
        <v>99</v>
      </c>
      <c r="F207" t="s">
        <v>73</v>
      </c>
      <c r="G207" t="s">
        <v>74</v>
      </c>
      <c r="H207" t="s">
        <v>115</v>
      </c>
      <c r="I207" t="s">
        <v>116</v>
      </c>
      <c r="J207" t="s">
        <v>117</v>
      </c>
      <c r="K207" t="s">
        <v>61</v>
      </c>
      <c r="L207" t="s">
        <v>575</v>
      </c>
      <c r="M207" t="s">
        <v>63</v>
      </c>
      <c r="N207" t="s">
        <v>81</v>
      </c>
      <c r="O207" t="s">
        <v>64</v>
      </c>
      <c r="P207" t="s">
        <v>65</v>
      </c>
      <c r="Q207" t="s">
        <v>66</v>
      </c>
      <c r="R207" t="s">
        <v>67</v>
      </c>
      <c r="S207">
        <v>3</v>
      </c>
      <c r="T207" s="14">
        <v>44.7</v>
      </c>
      <c r="U207" s="7">
        <v>12</v>
      </c>
      <c r="V207" s="7">
        <v>22</v>
      </c>
      <c r="W207" s="14">
        <v>78.7</v>
      </c>
      <c r="X207" s="14">
        <v>149</v>
      </c>
      <c r="Y207" s="16">
        <v>10</v>
      </c>
      <c r="Z207" s="12">
        <v>402.3</v>
      </c>
      <c r="AA207" s="5">
        <v>166.2</v>
      </c>
      <c r="AB207" s="18">
        <v>41.31</v>
      </c>
      <c r="AC207" t="s">
        <v>2145</v>
      </c>
      <c r="AD207" t="s">
        <v>86</v>
      </c>
      <c r="AE207" t="s">
        <v>126</v>
      </c>
      <c r="AF207">
        <v>4</v>
      </c>
      <c r="AG207" t="s">
        <v>53</v>
      </c>
    </row>
    <row r="208" spans="1:33">
      <c r="A208" t="s">
        <v>576</v>
      </c>
      <c r="B208" s="10">
        <v>45686</v>
      </c>
      <c r="C208" s="3" t="s">
        <v>310</v>
      </c>
      <c r="D208" t="s">
        <v>129</v>
      </c>
      <c r="E208" t="s">
        <v>152</v>
      </c>
      <c r="F208" t="s">
        <v>91</v>
      </c>
      <c r="G208" t="s">
        <v>92</v>
      </c>
      <c r="H208" t="s">
        <v>39</v>
      </c>
      <c r="I208" t="s">
        <v>2143</v>
      </c>
      <c r="J208" t="s">
        <v>41</v>
      </c>
      <c r="K208" t="s">
        <v>42</v>
      </c>
      <c r="L208" t="s">
        <v>577</v>
      </c>
      <c r="M208" t="s">
        <v>63</v>
      </c>
      <c r="N208" t="s">
        <v>110</v>
      </c>
      <c r="O208" t="s">
        <v>46</v>
      </c>
      <c r="P208" t="s">
        <v>47</v>
      </c>
      <c r="Q208" t="s">
        <v>48</v>
      </c>
      <c r="R208" t="s">
        <v>49</v>
      </c>
      <c r="S208">
        <v>1</v>
      </c>
      <c r="T208" s="14">
        <v>108.78</v>
      </c>
      <c r="U208" s="7">
        <v>12</v>
      </c>
      <c r="V208" s="7">
        <v>22</v>
      </c>
      <c r="W208" s="14">
        <v>142.78</v>
      </c>
      <c r="X208" s="14">
        <v>362.6</v>
      </c>
      <c r="Y208" s="16">
        <v>10</v>
      </c>
      <c r="Z208" s="12">
        <v>326.33999999999997</v>
      </c>
      <c r="AA208" s="5">
        <v>183.56</v>
      </c>
      <c r="AB208" s="18">
        <v>56.25</v>
      </c>
      <c r="AC208" t="s">
        <v>104</v>
      </c>
      <c r="AD208" t="s">
        <v>86</v>
      </c>
      <c r="AE208" t="s">
        <v>96</v>
      </c>
      <c r="AF208">
        <v>3</v>
      </c>
      <c r="AG208" t="s">
        <v>53</v>
      </c>
    </row>
    <row r="209" spans="1:33">
      <c r="A209" t="s">
        <v>578</v>
      </c>
      <c r="B209" s="10">
        <v>45891</v>
      </c>
      <c r="C209" s="3" t="s">
        <v>98</v>
      </c>
      <c r="D209" t="s">
        <v>35</v>
      </c>
      <c r="E209" t="s">
        <v>99</v>
      </c>
      <c r="F209" t="s">
        <v>73</v>
      </c>
      <c r="G209" t="s">
        <v>74</v>
      </c>
      <c r="H209" t="s">
        <v>75</v>
      </c>
      <c r="I209" t="s">
        <v>76</v>
      </c>
      <c r="J209" t="s">
        <v>77</v>
      </c>
      <c r="K209" t="s">
        <v>78</v>
      </c>
      <c r="L209" t="s">
        <v>579</v>
      </c>
      <c r="M209" t="s">
        <v>63</v>
      </c>
      <c r="N209" t="s">
        <v>45</v>
      </c>
      <c r="O209" t="s">
        <v>64</v>
      </c>
      <c r="P209" t="s">
        <v>65</v>
      </c>
      <c r="Q209" t="s">
        <v>66</v>
      </c>
      <c r="R209" t="s">
        <v>49</v>
      </c>
      <c r="S209">
        <v>2</v>
      </c>
      <c r="T209" s="14">
        <v>62.58</v>
      </c>
      <c r="U209" s="7">
        <v>12</v>
      </c>
      <c r="V209" s="7">
        <v>22</v>
      </c>
      <c r="W209" s="14">
        <v>96.58</v>
      </c>
      <c r="X209" s="14">
        <v>208.6</v>
      </c>
      <c r="Y209" s="16">
        <v>5</v>
      </c>
      <c r="Z209" s="12">
        <v>396.34</v>
      </c>
      <c r="AA209" s="5">
        <v>203.18</v>
      </c>
      <c r="AB209" s="18">
        <v>51.26</v>
      </c>
      <c r="AC209" t="s">
        <v>85</v>
      </c>
      <c r="AD209" t="s">
        <v>86</v>
      </c>
      <c r="AE209" t="s">
        <v>96</v>
      </c>
      <c r="AF209">
        <v>4</v>
      </c>
      <c r="AG209" t="s">
        <v>53</v>
      </c>
    </row>
    <row r="210" spans="1:33">
      <c r="A210" t="s">
        <v>580</v>
      </c>
      <c r="B210" s="10">
        <v>45876</v>
      </c>
      <c r="C210" s="3" t="s">
        <v>390</v>
      </c>
      <c r="D210" t="s">
        <v>56</v>
      </c>
      <c r="E210" t="s">
        <v>99</v>
      </c>
      <c r="F210" t="s">
        <v>73</v>
      </c>
      <c r="G210" t="s">
        <v>74</v>
      </c>
      <c r="H210" t="s">
        <v>115</v>
      </c>
      <c r="I210" t="s">
        <v>116</v>
      </c>
      <c r="J210" t="s">
        <v>117</v>
      </c>
      <c r="K210" t="s">
        <v>61</v>
      </c>
      <c r="L210" t="s">
        <v>581</v>
      </c>
      <c r="M210" t="s">
        <v>63</v>
      </c>
      <c r="N210" t="s">
        <v>81</v>
      </c>
      <c r="O210" t="s">
        <v>275</v>
      </c>
      <c r="P210" t="s">
        <v>276</v>
      </c>
      <c r="Q210" t="s">
        <v>125</v>
      </c>
      <c r="R210" t="s">
        <v>49</v>
      </c>
      <c r="S210">
        <v>2</v>
      </c>
      <c r="T210" s="14">
        <v>96.18</v>
      </c>
      <c r="U210" s="7">
        <v>12</v>
      </c>
      <c r="V210" s="7">
        <v>22</v>
      </c>
      <c r="W210" s="14">
        <v>130.18</v>
      </c>
      <c r="X210" s="14">
        <v>320.60000000000002</v>
      </c>
      <c r="Y210" s="16">
        <v>5</v>
      </c>
      <c r="Z210" s="12">
        <v>609.14</v>
      </c>
      <c r="AA210" s="5">
        <v>348.78</v>
      </c>
      <c r="AB210" s="18">
        <v>57.26</v>
      </c>
      <c r="AC210" t="s">
        <v>104</v>
      </c>
      <c r="AD210" t="s">
        <v>51</v>
      </c>
      <c r="AE210" t="s">
        <v>68</v>
      </c>
      <c r="AF210">
        <v>3</v>
      </c>
      <c r="AG210" t="s">
        <v>53</v>
      </c>
    </row>
    <row r="211" spans="1:33">
      <c r="A211" t="s">
        <v>582</v>
      </c>
      <c r="B211" s="10">
        <v>45990</v>
      </c>
      <c r="C211" s="3" t="s">
        <v>219</v>
      </c>
      <c r="D211" t="s">
        <v>71</v>
      </c>
      <c r="E211" t="s">
        <v>57</v>
      </c>
      <c r="F211" t="s">
        <v>37</v>
      </c>
      <c r="G211" t="s">
        <v>38</v>
      </c>
      <c r="H211" t="s">
        <v>142</v>
      </c>
      <c r="I211" t="s">
        <v>143</v>
      </c>
      <c r="J211" t="s">
        <v>144</v>
      </c>
      <c r="K211" t="s">
        <v>145</v>
      </c>
      <c r="L211" t="s">
        <v>583</v>
      </c>
      <c r="M211" t="s">
        <v>63</v>
      </c>
      <c r="N211" t="s">
        <v>110</v>
      </c>
      <c r="O211" t="s">
        <v>452</v>
      </c>
      <c r="P211" t="s">
        <v>453</v>
      </c>
      <c r="Q211" t="s">
        <v>215</v>
      </c>
      <c r="R211" t="s">
        <v>49</v>
      </c>
      <c r="S211">
        <v>1</v>
      </c>
      <c r="T211" s="14">
        <v>138.18</v>
      </c>
      <c r="U211" s="7">
        <v>12</v>
      </c>
      <c r="V211" s="7">
        <v>22</v>
      </c>
      <c r="W211" s="14">
        <v>172.18</v>
      </c>
      <c r="X211" s="14">
        <v>460.6</v>
      </c>
      <c r="Y211" s="16">
        <v>10</v>
      </c>
      <c r="Z211" s="12">
        <v>414.54</v>
      </c>
      <c r="AA211" s="5">
        <v>242.36</v>
      </c>
      <c r="AB211" s="18">
        <v>58.46</v>
      </c>
      <c r="AC211" t="s">
        <v>50</v>
      </c>
      <c r="AD211" t="s">
        <v>158</v>
      </c>
      <c r="AE211" t="s">
        <v>96</v>
      </c>
      <c r="AF211">
        <v>5</v>
      </c>
      <c r="AG211" t="s">
        <v>53</v>
      </c>
    </row>
    <row r="212" spans="1:33">
      <c r="A212" t="s">
        <v>584</v>
      </c>
      <c r="B212" s="10">
        <v>45980</v>
      </c>
      <c r="C212" s="3" t="s">
        <v>107</v>
      </c>
      <c r="D212" t="s">
        <v>129</v>
      </c>
      <c r="E212" t="s">
        <v>57</v>
      </c>
      <c r="F212" t="s">
        <v>37</v>
      </c>
      <c r="G212" t="s">
        <v>38</v>
      </c>
      <c r="H212" t="s">
        <v>39</v>
      </c>
      <c r="I212" t="s">
        <v>2143</v>
      </c>
      <c r="J212" t="s">
        <v>41</v>
      </c>
      <c r="K212" t="s">
        <v>42</v>
      </c>
      <c r="L212" t="s">
        <v>585</v>
      </c>
      <c r="M212" t="s">
        <v>44</v>
      </c>
      <c r="N212" t="s">
        <v>45</v>
      </c>
      <c r="O212" t="s">
        <v>176</v>
      </c>
      <c r="P212" t="s">
        <v>177</v>
      </c>
      <c r="Q212" t="s">
        <v>66</v>
      </c>
      <c r="R212" t="s">
        <v>84</v>
      </c>
      <c r="S212">
        <v>3</v>
      </c>
      <c r="T212" s="14">
        <v>60.84</v>
      </c>
      <c r="U212" s="7">
        <v>12</v>
      </c>
      <c r="V212" s="7">
        <v>22</v>
      </c>
      <c r="W212" s="14">
        <v>94.84</v>
      </c>
      <c r="X212" s="14">
        <v>202.8</v>
      </c>
      <c r="Y212" s="16">
        <v>0</v>
      </c>
      <c r="Z212" s="12">
        <v>608.4</v>
      </c>
      <c r="AA212" s="5">
        <v>323.88</v>
      </c>
      <c r="AB212" s="18">
        <v>53.23</v>
      </c>
      <c r="AC212" t="s">
        <v>50</v>
      </c>
      <c r="AD212" t="s">
        <v>86</v>
      </c>
      <c r="AE212" t="s">
        <v>105</v>
      </c>
      <c r="AF212">
        <v>5</v>
      </c>
      <c r="AG212" t="s">
        <v>53</v>
      </c>
    </row>
    <row r="213" spans="1:33">
      <c r="A213" t="s">
        <v>586</v>
      </c>
      <c r="B213" s="10">
        <v>45766</v>
      </c>
      <c r="C213" s="3" t="s">
        <v>179</v>
      </c>
      <c r="D213" t="s">
        <v>71</v>
      </c>
      <c r="E213" t="s">
        <v>280</v>
      </c>
      <c r="F213" t="s">
        <v>131</v>
      </c>
      <c r="G213" t="s">
        <v>132</v>
      </c>
      <c r="H213" t="s">
        <v>142</v>
      </c>
      <c r="I213" t="s">
        <v>143</v>
      </c>
      <c r="J213" t="s">
        <v>144</v>
      </c>
      <c r="K213" t="s">
        <v>145</v>
      </c>
      <c r="L213" t="s">
        <v>587</v>
      </c>
      <c r="M213" t="s">
        <v>80</v>
      </c>
      <c r="N213" t="s">
        <v>81</v>
      </c>
      <c r="O213" t="s">
        <v>452</v>
      </c>
      <c r="P213" t="s">
        <v>453</v>
      </c>
      <c r="Q213" t="s">
        <v>215</v>
      </c>
      <c r="R213" t="s">
        <v>67</v>
      </c>
      <c r="S213">
        <v>3</v>
      </c>
      <c r="T213" s="14">
        <v>98.7</v>
      </c>
      <c r="U213" s="7">
        <v>12</v>
      </c>
      <c r="V213" s="7">
        <v>22</v>
      </c>
      <c r="W213" s="14">
        <v>132.69999999999999</v>
      </c>
      <c r="X213" s="14">
        <v>329</v>
      </c>
      <c r="Y213" s="16">
        <v>15</v>
      </c>
      <c r="Z213" s="12">
        <v>838.95</v>
      </c>
      <c r="AA213" s="5">
        <v>440.85</v>
      </c>
      <c r="AB213" s="18">
        <v>52.55</v>
      </c>
      <c r="AC213" t="s">
        <v>104</v>
      </c>
      <c r="AD213" t="s">
        <v>86</v>
      </c>
      <c r="AE213" t="s">
        <v>105</v>
      </c>
      <c r="AF213">
        <v>4</v>
      </c>
      <c r="AG213" t="s">
        <v>53</v>
      </c>
    </row>
    <row r="214" spans="1:33">
      <c r="A214" t="s">
        <v>588</v>
      </c>
      <c r="B214" s="10">
        <v>45740</v>
      </c>
      <c r="C214" s="3" t="s">
        <v>88</v>
      </c>
      <c r="D214" t="s">
        <v>206</v>
      </c>
      <c r="E214" t="s">
        <v>108</v>
      </c>
      <c r="F214" t="s">
        <v>91</v>
      </c>
      <c r="G214" t="s">
        <v>38</v>
      </c>
      <c r="H214" t="s">
        <v>39</v>
      </c>
      <c r="I214" t="s">
        <v>2143</v>
      </c>
      <c r="J214" t="s">
        <v>41</v>
      </c>
      <c r="K214" t="s">
        <v>42</v>
      </c>
      <c r="L214" t="s">
        <v>589</v>
      </c>
      <c r="M214" t="s">
        <v>63</v>
      </c>
      <c r="N214" t="s">
        <v>45</v>
      </c>
      <c r="O214" t="s">
        <v>94</v>
      </c>
      <c r="P214" t="s">
        <v>95</v>
      </c>
      <c r="Q214" t="s">
        <v>66</v>
      </c>
      <c r="R214" t="s">
        <v>84</v>
      </c>
      <c r="S214">
        <v>2</v>
      </c>
      <c r="T214" s="14">
        <v>78.84</v>
      </c>
      <c r="U214" s="7">
        <v>12</v>
      </c>
      <c r="V214" s="7">
        <v>22</v>
      </c>
      <c r="W214" s="14">
        <v>112.84</v>
      </c>
      <c r="X214" s="14">
        <v>262.8</v>
      </c>
      <c r="Y214" s="16">
        <v>0</v>
      </c>
      <c r="Z214" s="12">
        <v>525.6</v>
      </c>
      <c r="AA214" s="5">
        <v>299.92</v>
      </c>
      <c r="AB214" s="18">
        <v>57.06</v>
      </c>
      <c r="AC214" t="s">
        <v>111</v>
      </c>
      <c r="AD214" t="s">
        <v>51</v>
      </c>
      <c r="AE214" t="s">
        <v>126</v>
      </c>
      <c r="AF214">
        <v>4</v>
      </c>
      <c r="AG214" t="s">
        <v>53</v>
      </c>
    </row>
    <row r="215" spans="1:33">
      <c r="A215" t="s">
        <v>590</v>
      </c>
      <c r="B215" s="10">
        <v>45826</v>
      </c>
      <c r="C215" s="3" t="s">
        <v>307</v>
      </c>
      <c r="D215" t="s">
        <v>129</v>
      </c>
      <c r="E215" t="s">
        <v>174</v>
      </c>
      <c r="F215" t="s">
        <v>131</v>
      </c>
      <c r="G215" t="s">
        <v>132</v>
      </c>
      <c r="H215" t="s">
        <v>58</v>
      </c>
      <c r="I215" t="s">
        <v>59</v>
      </c>
      <c r="J215" t="s">
        <v>60</v>
      </c>
      <c r="K215" t="s">
        <v>61</v>
      </c>
      <c r="L215" t="s">
        <v>591</v>
      </c>
      <c r="M215" t="s">
        <v>80</v>
      </c>
      <c r="N215" t="s">
        <v>81</v>
      </c>
      <c r="O215" t="s">
        <v>189</v>
      </c>
      <c r="P215" t="s">
        <v>190</v>
      </c>
      <c r="Q215" t="s">
        <v>48</v>
      </c>
      <c r="R215" t="s">
        <v>67</v>
      </c>
      <c r="S215">
        <v>1</v>
      </c>
      <c r="T215" s="14">
        <v>47.7</v>
      </c>
      <c r="U215" s="7">
        <v>12</v>
      </c>
      <c r="V215" s="7">
        <v>22</v>
      </c>
      <c r="W215" s="14">
        <v>81.7</v>
      </c>
      <c r="X215" s="14">
        <v>159</v>
      </c>
      <c r="Y215" s="16">
        <v>10</v>
      </c>
      <c r="Z215" s="12">
        <v>143.1</v>
      </c>
      <c r="AA215" s="5">
        <v>61.4</v>
      </c>
      <c r="AB215" s="18">
        <v>42.91</v>
      </c>
      <c r="AC215" t="s">
        <v>111</v>
      </c>
      <c r="AD215" t="s">
        <v>158</v>
      </c>
      <c r="AE215" t="s">
        <v>105</v>
      </c>
      <c r="AF215" t="s">
        <v>2124</v>
      </c>
      <c r="AG215" t="s">
        <v>53</v>
      </c>
    </row>
    <row r="216" spans="1:33">
      <c r="A216" t="s">
        <v>592</v>
      </c>
      <c r="B216" s="10">
        <v>45724</v>
      </c>
      <c r="C216" s="3" t="s">
        <v>70</v>
      </c>
      <c r="D216" t="s">
        <v>71</v>
      </c>
      <c r="E216" t="s">
        <v>108</v>
      </c>
      <c r="F216" t="s">
        <v>91</v>
      </c>
      <c r="G216" t="s">
        <v>38</v>
      </c>
      <c r="H216" t="s">
        <v>115</v>
      </c>
      <c r="I216" t="s">
        <v>116</v>
      </c>
      <c r="J216" t="s">
        <v>117</v>
      </c>
      <c r="K216" t="s">
        <v>61</v>
      </c>
      <c r="L216" t="s">
        <v>593</v>
      </c>
      <c r="M216" t="s">
        <v>80</v>
      </c>
      <c r="N216" t="s">
        <v>45</v>
      </c>
      <c r="O216" t="s">
        <v>94</v>
      </c>
      <c r="P216" t="s">
        <v>95</v>
      </c>
      <c r="Q216" t="s">
        <v>66</v>
      </c>
      <c r="R216" t="s">
        <v>67</v>
      </c>
      <c r="S216">
        <v>4</v>
      </c>
      <c r="T216" s="14">
        <v>65.7</v>
      </c>
      <c r="U216" s="7">
        <v>12</v>
      </c>
      <c r="V216" s="7">
        <v>22</v>
      </c>
      <c r="W216" s="14">
        <v>99.7</v>
      </c>
      <c r="X216" s="14">
        <v>219</v>
      </c>
      <c r="Y216" s="16">
        <v>10</v>
      </c>
      <c r="Z216" s="12">
        <v>788.4</v>
      </c>
      <c r="AA216" s="5">
        <v>389.6</v>
      </c>
      <c r="AB216" s="18">
        <v>49.42</v>
      </c>
      <c r="AC216" t="s">
        <v>50</v>
      </c>
      <c r="AD216" t="s">
        <v>86</v>
      </c>
      <c r="AE216" t="s">
        <v>126</v>
      </c>
      <c r="AF216">
        <v>5</v>
      </c>
      <c r="AG216" t="s">
        <v>53</v>
      </c>
    </row>
    <row r="217" spans="1:33">
      <c r="A217" t="s">
        <v>594</v>
      </c>
      <c r="B217" s="10">
        <v>45841</v>
      </c>
      <c r="C217" s="3" t="s">
        <v>310</v>
      </c>
      <c r="D217" t="s">
        <v>56</v>
      </c>
      <c r="E217" t="s">
        <v>114</v>
      </c>
      <c r="F217" t="s">
        <v>73</v>
      </c>
      <c r="G217" t="s">
        <v>74</v>
      </c>
      <c r="H217" t="s">
        <v>142</v>
      </c>
      <c r="I217" t="s">
        <v>143</v>
      </c>
      <c r="J217" t="s">
        <v>144</v>
      </c>
      <c r="K217" t="s">
        <v>145</v>
      </c>
      <c r="L217" t="s">
        <v>595</v>
      </c>
      <c r="M217" t="s">
        <v>44</v>
      </c>
      <c r="N217" t="s">
        <v>45</v>
      </c>
      <c r="O217" t="s">
        <v>119</v>
      </c>
      <c r="P217" t="s">
        <v>120</v>
      </c>
      <c r="Q217" t="s">
        <v>103</v>
      </c>
      <c r="R217" t="s">
        <v>67</v>
      </c>
      <c r="S217">
        <v>3</v>
      </c>
      <c r="T217" s="14">
        <v>38.700000000000003</v>
      </c>
      <c r="U217" s="7">
        <v>12</v>
      </c>
      <c r="V217" s="7">
        <v>22</v>
      </c>
      <c r="W217" s="14">
        <v>72.7</v>
      </c>
      <c r="X217" s="14">
        <v>129</v>
      </c>
      <c r="Y217" s="16">
        <v>0</v>
      </c>
      <c r="Z217" s="12">
        <v>387</v>
      </c>
      <c r="AA217" s="5">
        <v>168.9</v>
      </c>
      <c r="AB217" s="18">
        <v>43.64</v>
      </c>
      <c r="AC217" t="s">
        <v>111</v>
      </c>
      <c r="AD217" t="s">
        <v>158</v>
      </c>
      <c r="AE217" t="s">
        <v>68</v>
      </c>
      <c r="AF217">
        <v>5</v>
      </c>
      <c r="AG217" t="s">
        <v>53</v>
      </c>
    </row>
    <row r="218" spans="1:33">
      <c r="A218" t="s">
        <v>596</v>
      </c>
      <c r="B218" s="10">
        <v>45951</v>
      </c>
      <c r="C218" s="3" t="s">
        <v>211</v>
      </c>
      <c r="D218" t="s">
        <v>156</v>
      </c>
      <c r="E218" t="s">
        <v>36</v>
      </c>
      <c r="F218" t="s">
        <v>37</v>
      </c>
      <c r="G218" t="s">
        <v>38</v>
      </c>
      <c r="H218" t="s">
        <v>142</v>
      </c>
      <c r="I218" t="s">
        <v>143</v>
      </c>
      <c r="J218" t="s">
        <v>144</v>
      </c>
      <c r="K218" t="s">
        <v>145</v>
      </c>
      <c r="L218" t="s">
        <v>597</v>
      </c>
      <c r="M218" t="s">
        <v>44</v>
      </c>
      <c r="N218" t="s">
        <v>110</v>
      </c>
      <c r="O218" t="s">
        <v>94</v>
      </c>
      <c r="P218" t="s">
        <v>95</v>
      </c>
      <c r="Q218" t="s">
        <v>66</v>
      </c>
      <c r="R218" t="s">
        <v>84</v>
      </c>
      <c r="S218">
        <v>3</v>
      </c>
      <c r="T218" s="14">
        <v>78.84</v>
      </c>
      <c r="U218" s="7">
        <v>12</v>
      </c>
      <c r="V218" s="7">
        <v>22</v>
      </c>
      <c r="W218" s="14">
        <v>112.84</v>
      </c>
      <c r="X218" s="14">
        <v>262.8</v>
      </c>
      <c r="Y218" s="16">
        <v>0</v>
      </c>
      <c r="Z218" s="12">
        <v>788.4</v>
      </c>
      <c r="AA218" s="5">
        <v>449.88</v>
      </c>
      <c r="AB218" s="18">
        <v>57.06</v>
      </c>
      <c r="AC218" t="s">
        <v>85</v>
      </c>
      <c r="AD218" t="s">
        <v>51</v>
      </c>
      <c r="AE218" t="s">
        <v>126</v>
      </c>
      <c r="AF218">
        <v>4</v>
      </c>
      <c r="AG218" t="s">
        <v>53</v>
      </c>
    </row>
    <row r="219" spans="1:33">
      <c r="A219" t="s">
        <v>598</v>
      </c>
      <c r="B219" s="10">
        <v>45806</v>
      </c>
      <c r="C219" s="3" t="s">
        <v>70</v>
      </c>
      <c r="D219" t="s">
        <v>56</v>
      </c>
      <c r="E219" t="s">
        <v>130</v>
      </c>
      <c r="F219" t="s">
        <v>131</v>
      </c>
      <c r="G219" t="s">
        <v>132</v>
      </c>
      <c r="H219" t="s">
        <v>142</v>
      </c>
      <c r="I219" t="s">
        <v>143</v>
      </c>
      <c r="J219" t="s">
        <v>144</v>
      </c>
      <c r="K219" t="s">
        <v>145</v>
      </c>
      <c r="L219" t="s">
        <v>599</v>
      </c>
      <c r="M219" t="s">
        <v>44</v>
      </c>
      <c r="N219" t="s">
        <v>81</v>
      </c>
      <c r="O219" t="s">
        <v>189</v>
      </c>
      <c r="P219" t="s">
        <v>190</v>
      </c>
      <c r="Q219" t="s">
        <v>48</v>
      </c>
      <c r="R219" t="s">
        <v>49</v>
      </c>
      <c r="S219">
        <v>2</v>
      </c>
      <c r="T219" s="14">
        <v>66.78</v>
      </c>
      <c r="U219" s="7">
        <v>12</v>
      </c>
      <c r="V219" s="7">
        <v>22</v>
      </c>
      <c r="W219" s="14">
        <v>100.78</v>
      </c>
      <c r="X219" s="14">
        <v>222.6</v>
      </c>
      <c r="Y219" s="16">
        <v>0</v>
      </c>
      <c r="Z219" s="12">
        <v>445.2</v>
      </c>
      <c r="AA219" s="5">
        <v>243.64</v>
      </c>
      <c r="AB219" s="18">
        <v>54.73</v>
      </c>
      <c r="AC219" t="s">
        <v>111</v>
      </c>
      <c r="AD219" t="s">
        <v>86</v>
      </c>
      <c r="AE219" t="s">
        <v>105</v>
      </c>
      <c r="AF219">
        <v>5</v>
      </c>
      <c r="AG219" t="s">
        <v>53</v>
      </c>
    </row>
    <row r="220" spans="1:33">
      <c r="A220" t="s">
        <v>600</v>
      </c>
      <c r="B220" s="10">
        <v>45898</v>
      </c>
      <c r="C220" s="3" t="s">
        <v>113</v>
      </c>
      <c r="D220" t="s">
        <v>35</v>
      </c>
      <c r="E220" t="s">
        <v>99</v>
      </c>
      <c r="F220" t="s">
        <v>73</v>
      </c>
      <c r="G220" t="s">
        <v>74</v>
      </c>
      <c r="H220" t="s">
        <v>133</v>
      </c>
      <c r="I220" t="s">
        <v>134</v>
      </c>
      <c r="J220" t="s">
        <v>135</v>
      </c>
      <c r="K220" t="s">
        <v>42</v>
      </c>
      <c r="L220" t="s">
        <v>601</v>
      </c>
      <c r="M220" t="s">
        <v>80</v>
      </c>
      <c r="N220" t="s">
        <v>81</v>
      </c>
      <c r="O220" t="s">
        <v>119</v>
      </c>
      <c r="P220" t="s">
        <v>120</v>
      </c>
      <c r="Q220" t="s">
        <v>103</v>
      </c>
      <c r="R220" t="s">
        <v>84</v>
      </c>
      <c r="S220">
        <v>3</v>
      </c>
      <c r="T220" s="14">
        <v>46.44</v>
      </c>
      <c r="U220" s="7">
        <v>12</v>
      </c>
      <c r="V220" s="7">
        <v>22</v>
      </c>
      <c r="W220" s="14">
        <v>80.44</v>
      </c>
      <c r="X220" s="14">
        <v>154.80000000000001</v>
      </c>
      <c r="Y220" s="16">
        <v>0</v>
      </c>
      <c r="Z220" s="12">
        <v>464.4</v>
      </c>
      <c r="AA220" s="5">
        <v>223.08</v>
      </c>
      <c r="AB220" s="18">
        <v>48.04</v>
      </c>
      <c r="AC220" t="s">
        <v>104</v>
      </c>
      <c r="AD220" t="s">
        <v>158</v>
      </c>
      <c r="AE220" t="s">
        <v>126</v>
      </c>
      <c r="AF220">
        <v>5</v>
      </c>
      <c r="AG220" t="s">
        <v>53</v>
      </c>
    </row>
    <row r="221" spans="1:33">
      <c r="A221" t="s">
        <v>602</v>
      </c>
      <c r="B221" s="10">
        <v>45665</v>
      </c>
      <c r="C221" s="3" t="s">
        <v>219</v>
      </c>
      <c r="D221" t="s">
        <v>129</v>
      </c>
      <c r="E221" t="s">
        <v>152</v>
      </c>
      <c r="F221" t="s">
        <v>91</v>
      </c>
      <c r="G221" t="s">
        <v>92</v>
      </c>
      <c r="H221" t="s">
        <v>58</v>
      </c>
      <c r="I221" t="s">
        <v>59</v>
      </c>
      <c r="J221" t="s">
        <v>60</v>
      </c>
      <c r="K221" t="s">
        <v>61</v>
      </c>
      <c r="L221" t="s">
        <v>603</v>
      </c>
      <c r="M221" t="s">
        <v>44</v>
      </c>
      <c r="N221" t="s">
        <v>45</v>
      </c>
      <c r="O221" t="s">
        <v>176</v>
      </c>
      <c r="P221" t="s">
        <v>177</v>
      </c>
      <c r="Q221" t="s">
        <v>66</v>
      </c>
      <c r="R221" t="s">
        <v>49</v>
      </c>
      <c r="S221">
        <v>3</v>
      </c>
      <c r="T221" s="14">
        <v>70.98</v>
      </c>
      <c r="U221" s="7">
        <v>12</v>
      </c>
      <c r="V221" s="7">
        <v>22</v>
      </c>
      <c r="W221" s="14">
        <v>104.98</v>
      </c>
      <c r="X221" s="14">
        <v>236.6</v>
      </c>
      <c r="Y221" s="16">
        <v>10</v>
      </c>
      <c r="Z221" s="12">
        <v>638.82000000000005</v>
      </c>
      <c r="AA221" s="5">
        <v>323.88</v>
      </c>
      <c r="AB221" s="18">
        <v>50.7</v>
      </c>
      <c r="AC221" t="s">
        <v>104</v>
      </c>
      <c r="AD221" t="s">
        <v>86</v>
      </c>
      <c r="AE221" t="s">
        <v>68</v>
      </c>
      <c r="AF221">
        <v>5</v>
      </c>
      <c r="AG221" t="s">
        <v>53</v>
      </c>
    </row>
    <row r="222" spans="1:33">
      <c r="A222" t="s">
        <v>604</v>
      </c>
      <c r="B222" s="10">
        <v>45817</v>
      </c>
      <c r="C222" s="3" t="s">
        <v>55</v>
      </c>
      <c r="D222" t="s">
        <v>206</v>
      </c>
      <c r="E222" t="s">
        <v>174</v>
      </c>
      <c r="F222" t="s">
        <v>131</v>
      </c>
      <c r="G222" t="s">
        <v>132</v>
      </c>
      <c r="H222" t="s">
        <v>133</v>
      </c>
      <c r="I222" t="s">
        <v>134</v>
      </c>
      <c r="J222" t="s">
        <v>135</v>
      </c>
      <c r="K222" t="s">
        <v>42</v>
      </c>
      <c r="L222" t="s">
        <v>605</v>
      </c>
      <c r="M222" t="s">
        <v>44</v>
      </c>
      <c r="N222" t="s">
        <v>81</v>
      </c>
      <c r="O222" t="s">
        <v>82</v>
      </c>
      <c r="P222" t="s">
        <v>83</v>
      </c>
      <c r="Q222" t="s">
        <v>66</v>
      </c>
      <c r="R222" t="s">
        <v>67</v>
      </c>
      <c r="S222">
        <v>3</v>
      </c>
      <c r="T222" s="14">
        <v>71.7</v>
      </c>
      <c r="U222" s="7">
        <v>12</v>
      </c>
      <c r="V222" s="7">
        <v>22</v>
      </c>
      <c r="W222" s="14">
        <v>105.7</v>
      </c>
      <c r="X222" s="14">
        <v>239</v>
      </c>
      <c r="Y222" s="16">
        <v>0</v>
      </c>
      <c r="Z222" s="12">
        <v>717</v>
      </c>
      <c r="AA222" s="5">
        <v>399.9</v>
      </c>
      <c r="AB222" s="18">
        <v>55.77</v>
      </c>
      <c r="AC222" t="s">
        <v>111</v>
      </c>
      <c r="AD222" t="s">
        <v>51</v>
      </c>
      <c r="AE222" t="s">
        <v>68</v>
      </c>
      <c r="AF222">
        <v>5</v>
      </c>
      <c r="AG222" t="s">
        <v>53</v>
      </c>
    </row>
    <row r="223" spans="1:33">
      <c r="A223" t="s">
        <v>606</v>
      </c>
      <c r="B223" s="10">
        <v>45872</v>
      </c>
      <c r="C223" s="3" t="s">
        <v>128</v>
      </c>
      <c r="D223" t="s">
        <v>89</v>
      </c>
      <c r="E223" t="s">
        <v>99</v>
      </c>
      <c r="F223" t="s">
        <v>73</v>
      </c>
      <c r="G223" t="s">
        <v>74</v>
      </c>
      <c r="H223" t="s">
        <v>75</v>
      </c>
      <c r="I223" t="s">
        <v>76</v>
      </c>
      <c r="J223" t="s">
        <v>77</v>
      </c>
      <c r="K223" t="s">
        <v>78</v>
      </c>
      <c r="L223" t="s">
        <v>607</v>
      </c>
      <c r="M223" t="s">
        <v>44</v>
      </c>
      <c r="N223" t="s">
        <v>110</v>
      </c>
      <c r="O223" t="s">
        <v>94</v>
      </c>
      <c r="P223" t="s">
        <v>95</v>
      </c>
      <c r="Q223" t="s">
        <v>66</v>
      </c>
      <c r="R223" t="s">
        <v>49</v>
      </c>
      <c r="S223">
        <v>3</v>
      </c>
      <c r="T223" s="14">
        <v>91.98</v>
      </c>
      <c r="U223" s="7">
        <v>12</v>
      </c>
      <c r="V223" s="7">
        <v>22</v>
      </c>
      <c r="W223" s="14">
        <v>125.98</v>
      </c>
      <c r="X223" s="14">
        <v>306.60000000000002</v>
      </c>
      <c r="Y223" s="16">
        <v>10</v>
      </c>
      <c r="Z223" s="12">
        <v>827.82</v>
      </c>
      <c r="AA223" s="5">
        <v>449.88</v>
      </c>
      <c r="AB223" s="18">
        <v>54.35</v>
      </c>
      <c r="AC223" t="s">
        <v>85</v>
      </c>
      <c r="AD223" t="s">
        <v>158</v>
      </c>
      <c r="AE223" t="s">
        <v>52</v>
      </c>
      <c r="AF223">
        <v>5</v>
      </c>
      <c r="AG223" t="s">
        <v>53</v>
      </c>
    </row>
    <row r="224" spans="1:33">
      <c r="A224" t="s">
        <v>608</v>
      </c>
      <c r="B224" s="10">
        <v>46006</v>
      </c>
      <c r="C224" s="3" t="s">
        <v>55</v>
      </c>
      <c r="D224" t="s">
        <v>206</v>
      </c>
      <c r="E224" t="s">
        <v>149</v>
      </c>
      <c r="F224" t="s">
        <v>37</v>
      </c>
      <c r="G224" t="s">
        <v>92</v>
      </c>
      <c r="H224" t="s">
        <v>115</v>
      </c>
      <c r="I224" t="s">
        <v>116</v>
      </c>
      <c r="J224" t="s">
        <v>117</v>
      </c>
      <c r="K224" t="s">
        <v>61</v>
      </c>
      <c r="L224" t="s">
        <v>609</v>
      </c>
      <c r="M224" t="s">
        <v>80</v>
      </c>
      <c r="N224" t="s">
        <v>110</v>
      </c>
      <c r="O224" t="s">
        <v>82</v>
      </c>
      <c r="P224" t="s">
        <v>83</v>
      </c>
      <c r="Q224" t="s">
        <v>66</v>
      </c>
      <c r="R224" t="s">
        <v>84</v>
      </c>
      <c r="S224">
        <v>2</v>
      </c>
      <c r="T224" s="14">
        <v>86.04</v>
      </c>
      <c r="U224" s="7">
        <v>12</v>
      </c>
      <c r="V224" s="7">
        <v>22</v>
      </c>
      <c r="W224" s="14">
        <v>120.04</v>
      </c>
      <c r="X224" s="14">
        <v>286.8</v>
      </c>
      <c r="Y224" s="16">
        <v>0</v>
      </c>
      <c r="Z224" s="12">
        <v>573.6</v>
      </c>
      <c r="AA224" s="5">
        <v>333.52</v>
      </c>
      <c r="AB224" s="18">
        <v>58.15</v>
      </c>
      <c r="AC224" t="s">
        <v>111</v>
      </c>
      <c r="AD224" t="s">
        <v>86</v>
      </c>
      <c r="AE224" t="s">
        <v>105</v>
      </c>
      <c r="AF224">
        <v>5</v>
      </c>
      <c r="AG224" t="s">
        <v>53</v>
      </c>
    </row>
    <row r="225" spans="1:33">
      <c r="A225" t="s">
        <v>610</v>
      </c>
      <c r="B225" s="10">
        <v>45825</v>
      </c>
      <c r="C225" s="3" t="s">
        <v>160</v>
      </c>
      <c r="D225" t="s">
        <v>156</v>
      </c>
      <c r="E225" t="s">
        <v>174</v>
      </c>
      <c r="F225" t="s">
        <v>131</v>
      </c>
      <c r="G225" t="s">
        <v>132</v>
      </c>
      <c r="H225" t="s">
        <v>133</v>
      </c>
      <c r="I225" t="s">
        <v>134</v>
      </c>
      <c r="J225" t="s">
        <v>135</v>
      </c>
      <c r="K225" t="s">
        <v>42</v>
      </c>
      <c r="L225" t="s">
        <v>611</v>
      </c>
      <c r="M225" t="s">
        <v>63</v>
      </c>
      <c r="N225" t="s">
        <v>81</v>
      </c>
      <c r="O225" t="s">
        <v>162</v>
      </c>
      <c r="P225" t="s">
        <v>163</v>
      </c>
      <c r="Q225" t="s">
        <v>48</v>
      </c>
      <c r="R225" t="s">
        <v>67</v>
      </c>
      <c r="S225">
        <v>1</v>
      </c>
      <c r="T225" s="14">
        <v>74.7</v>
      </c>
      <c r="U225" s="7">
        <v>12</v>
      </c>
      <c r="V225" s="7">
        <v>22</v>
      </c>
      <c r="W225" s="14">
        <v>108.7</v>
      </c>
      <c r="X225" s="14">
        <v>249</v>
      </c>
      <c r="Y225" s="16">
        <v>0</v>
      </c>
      <c r="Z225" s="12">
        <v>249</v>
      </c>
      <c r="AA225" s="5">
        <v>140.30000000000001</v>
      </c>
      <c r="AB225" s="18">
        <v>56.35</v>
      </c>
      <c r="AC225" t="s">
        <v>85</v>
      </c>
      <c r="AD225" t="s">
        <v>158</v>
      </c>
      <c r="AE225" t="s">
        <v>52</v>
      </c>
      <c r="AF225">
        <v>4</v>
      </c>
      <c r="AG225" t="s">
        <v>53</v>
      </c>
    </row>
    <row r="226" spans="1:33">
      <c r="A226" t="s">
        <v>612</v>
      </c>
      <c r="B226" s="10">
        <v>45896</v>
      </c>
      <c r="C226" s="3" t="s">
        <v>171</v>
      </c>
      <c r="D226" t="s">
        <v>129</v>
      </c>
      <c r="E226" t="s">
        <v>99</v>
      </c>
      <c r="F226" t="s">
        <v>73</v>
      </c>
      <c r="G226" t="s">
        <v>74</v>
      </c>
      <c r="H226" t="s">
        <v>142</v>
      </c>
      <c r="I226" t="s">
        <v>143</v>
      </c>
      <c r="J226" t="s">
        <v>144</v>
      </c>
      <c r="K226" t="s">
        <v>145</v>
      </c>
      <c r="L226" t="s">
        <v>613</v>
      </c>
      <c r="M226" t="s">
        <v>63</v>
      </c>
      <c r="N226" t="s">
        <v>45</v>
      </c>
      <c r="O226" t="s">
        <v>101</v>
      </c>
      <c r="P226" t="s">
        <v>102</v>
      </c>
      <c r="Q226" t="s">
        <v>103</v>
      </c>
      <c r="R226" t="s">
        <v>67</v>
      </c>
      <c r="S226">
        <v>2</v>
      </c>
      <c r="T226" s="14">
        <v>44.7</v>
      </c>
      <c r="U226" s="7">
        <v>12</v>
      </c>
      <c r="V226" s="7">
        <v>22</v>
      </c>
      <c r="W226" s="14">
        <v>78.7</v>
      </c>
      <c r="X226" s="14">
        <v>149</v>
      </c>
      <c r="Y226" s="16">
        <v>5</v>
      </c>
      <c r="Z226" s="12">
        <v>283.10000000000002</v>
      </c>
      <c r="AA226" s="5">
        <v>125.7</v>
      </c>
      <c r="AB226" s="18">
        <v>44.4</v>
      </c>
      <c r="AC226" t="s">
        <v>104</v>
      </c>
      <c r="AD226" t="s">
        <v>86</v>
      </c>
      <c r="AE226" t="s">
        <v>52</v>
      </c>
      <c r="AF226">
        <v>5</v>
      </c>
      <c r="AG226" t="s">
        <v>53</v>
      </c>
    </row>
    <row r="227" spans="1:33">
      <c r="A227" t="s">
        <v>614</v>
      </c>
      <c r="B227" s="10">
        <v>45969</v>
      </c>
      <c r="C227" s="3" t="s">
        <v>98</v>
      </c>
      <c r="D227" t="s">
        <v>71</v>
      </c>
      <c r="E227" t="s">
        <v>57</v>
      </c>
      <c r="F227" t="s">
        <v>37</v>
      </c>
      <c r="G227" t="s">
        <v>38</v>
      </c>
      <c r="H227" t="s">
        <v>115</v>
      </c>
      <c r="I227" t="s">
        <v>116</v>
      </c>
      <c r="J227" t="s">
        <v>117</v>
      </c>
      <c r="K227" t="s">
        <v>61</v>
      </c>
      <c r="L227" t="s">
        <v>615</v>
      </c>
      <c r="M227" t="s">
        <v>63</v>
      </c>
      <c r="N227" t="s">
        <v>110</v>
      </c>
      <c r="O227" t="s">
        <v>176</v>
      </c>
      <c r="P227" t="s">
        <v>177</v>
      </c>
      <c r="Q227" t="s">
        <v>66</v>
      </c>
      <c r="R227" t="s">
        <v>49</v>
      </c>
      <c r="S227">
        <v>2</v>
      </c>
      <c r="T227" s="14">
        <v>70.98</v>
      </c>
      <c r="U227" s="7">
        <v>12</v>
      </c>
      <c r="V227" s="7">
        <v>22</v>
      </c>
      <c r="W227" s="14">
        <v>104.98</v>
      </c>
      <c r="X227" s="14">
        <v>236.6</v>
      </c>
      <c r="Y227" s="16">
        <v>10</v>
      </c>
      <c r="Z227" s="12">
        <v>425.88</v>
      </c>
      <c r="AA227" s="5">
        <v>215.92</v>
      </c>
      <c r="AB227" s="18">
        <v>50.7</v>
      </c>
      <c r="AC227" t="s">
        <v>85</v>
      </c>
      <c r="AD227" t="s">
        <v>51</v>
      </c>
      <c r="AE227" t="s">
        <v>68</v>
      </c>
      <c r="AF227">
        <v>4</v>
      </c>
      <c r="AG227" t="s">
        <v>53</v>
      </c>
    </row>
    <row r="228" spans="1:33">
      <c r="A228" t="s">
        <v>616</v>
      </c>
      <c r="B228" s="10">
        <v>45929</v>
      </c>
      <c r="C228" s="3" t="s">
        <v>211</v>
      </c>
      <c r="D228" t="s">
        <v>206</v>
      </c>
      <c r="E228" t="s">
        <v>72</v>
      </c>
      <c r="F228" t="s">
        <v>73</v>
      </c>
      <c r="G228" t="s">
        <v>74</v>
      </c>
      <c r="H228" t="s">
        <v>115</v>
      </c>
      <c r="I228" t="s">
        <v>116</v>
      </c>
      <c r="J228" t="s">
        <v>117</v>
      </c>
      <c r="K228" t="s">
        <v>61</v>
      </c>
      <c r="L228" t="s">
        <v>617</v>
      </c>
      <c r="M228" t="s">
        <v>63</v>
      </c>
      <c r="N228" t="s">
        <v>110</v>
      </c>
      <c r="O228" t="s">
        <v>64</v>
      </c>
      <c r="P228" t="s">
        <v>65</v>
      </c>
      <c r="Q228" t="s">
        <v>66</v>
      </c>
      <c r="R228" t="s">
        <v>84</v>
      </c>
      <c r="S228">
        <v>3</v>
      </c>
      <c r="T228" s="14">
        <v>53.64</v>
      </c>
      <c r="U228" s="7">
        <v>12</v>
      </c>
      <c r="V228" s="7">
        <v>22</v>
      </c>
      <c r="W228" s="14">
        <v>87.64</v>
      </c>
      <c r="X228" s="14">
        <v>178.8</v>
      </c>
      <c r="Y228" s="16">
        <v>10</v>
      </c>
      <c r="Z228" s="12">
        <v>482.76</v>
      </c>
      <c r="AA228" s="5">
        <v>219.84</v>
      </c>
      <c r="AB228" s="18">
        <v>45.54</v>
      </c>
      <c r="AC228" t="s">
        <v>85</v>
      </c>
      <c r="AD228" t="s">
        <v>51</v>
      </c>
      <c r="AE228" t="s">
        <v>52</v>
      </c>
      <c r="AF228">
        <v>5</v>
      </c>
      <c r="AG228" t="s">
        <v>53</v>
      </c>
    </row>
    <row r="229" spans="1:33">
      <c r="A229" t="s">
        <v>618</v>
      </c>
      <c r="B229" s="10">
        <v>45967</v>
      </c>
      <c r="C229" s="3" t="s">
        <v>128</v>
      </c>
      <c r="D229" t="s">
        <v>56</v>
      </c>
      <c r="E229" t="s">
        <v>57</v>
      </c>
      <c r="F229" t="s">
        <v>37</v>
      </c>
      <c r="G229" t="s">
        <v>38</v>
      </c>
      <c r="H229" t="s">
        <v>39</v>
      </c>
      <c r="I229" t="s">
        <v>2143</v>
      </c>
      <c r="J229" t="s">
        <v>41</v>
      </c>
      <c r="K229" t="s">
        <v>42</v>
      </c>
      <c r="L229" t="s">
        <v>619</v>
      </c>
      <c r="M229" t="s">
        <v>80</v>
      </c>
      <c r="N229" t="s">
        <v>45</v>
      </c>
      <c r="O229" t="s">
        <v>94</v>
      </c>
      <c r="P229" t="s">
        <v>95</v>
      </c>
      <c r="Q229" t="s">
        <v>66</v>
      </c>
      <c r="R229" t="s">
        <v>49</v>
      </c>
      <c r="S229">
        <v>1</v>
      </c>
      <c r="T229" s="14">
        <v>91.98</v>
      </c>
      <c r="U229" s="7">
        <v>12</v>
      </c>
      <c r="V229" s="7">
        <v>22</v>
      </c>
      <c r="W229" s="14">
        <v>125.98</v>
      </c>
      <c r="X229" s="14">
        <v>306.60000000000002</v>
      </c>
      <c r="Y229" s="16">
        <v>0</v>
      </c>
      <c r="Z229" s="12">
        <v>306.60000000000002</v>
      </c>
      <c r="AA229" s="5">
        <v>180.62</v>
      </c>
      <c r="AB229" s="18">
        <v>58.91</v>
      </c>
      <c r="AC229" t="s">
        <v>50</v>
      </c>
      <c r="AD229" t="s">
        <v>158</v>
      </c>
      <c r="AE229" t="s">
        <v>126</v>
      </c>
      <c r="AF229">
        <v>4</v>
      </c>
      <c r="AG229" t="s">
        <v>53</v>
      </c>
    </row>
    <row r="230" spans="1:33">
      <c r="A230" t="s">
        <v>620</v>
      </c>
      <c r="B230" s="10">
        <v>45848</v>
      </c>
      <c r="C230" s="3" t="s">
        <v>185</v>
      </c>
      <c r="D230" t="s">
        <v>56</v>
      </c>
      <c r="E230" t="s">
        <v>114</v>
      </c>
      <c r="F230" t="s">
        <v>73</v>
      </c>
      <c r="G230" t="s">
        <v>74</v>
      </c>
      <c r="H230" t="s">
        <v>39</v>
      </c>
      <c r="I230" t="s">
        <v>2143</v>
      </c>
      <c r="J230" t="s">
        <v>41</v>
      </c>
      <c r="K230" t="s">
        <v>42</v>
      </c>
      <c r="L230" t="s">
        <v>621</v>
      </c>
      <c r="M230" t="s">
        <v>44</v>
      </c>
      <c r="N230" t="s">
        <v>110</v>
      </c>
      <c r="O230" t="s">
        <v>119</v>
      </c>
      <c r="P230" t="s">
        <v>120</v>
      </c>
      <c r="Q230" t="s">
        <v>103</v>
      </c>
      <c r="R230" t="s">
        <v>84</v>
      </c>
      <c r="S230">
        <v>1</v>
      </c>
      <c r="T230" s="14">
        <v>46.44</v>
      </c>
      <c r="U230" s="7">
        <v>12</v>
      </c>
      <c r="V230" s="7">
        <v>22</v>
      </c>
      <c r="W230" s="14">
        <v>80.44</v>
      </c>
      <c r="X230" s="14">
        <v>154.80000000000001</v>
      </c>
      <c r="Y230" s="16">
        <v>5</v>
      </c>
      <c r="Z230" s="12">
        <v>147.06</v>
      </c>
      <c r="AA230" s="5">
        <v>66.62</v>
      </c>
      <c r="AB230" s="18">
        <v>45.3</v>
      </c>
      <c r="AC230" t="s">
        <v>111</v>
      </c>
      <c r="AD230" t="s">
        <v>158</v>
      </c>
      <c r="AE230" t="s">
        <v>96</v>
      </c>
      <c r="AF230">
        <v>4</v>
      </c>
      <c r="AG230" t="s">
        <v>53</v>
      </c>
    </row>
    <row r="231" spans="1:33">
      <c r="A231" t="s">
        <v>622</v>
      </c>
      <c r="B231" s="10">
        <v>45977</v>
      </c>
      <c r="C231" s="3" t="s">
        <v>211</v>
      </c>
      <c r="D231" t="s">
        <v>89</v>
      </c>
      <c r="E231" t="s">
        <v>57</v>
      </c>
      <c r="F231" t="s">
        <v>37</v>
      </c>
      <c r="G231" t="s">
        <v>38</v>
      </c>
      <c r="H231" t="s">
        <v>142</v>
      </c>
      <c r="I231" t="s">
        <v>143</v>
      </c>
      <c r="J231" t="s">
        <v>144</v>
      </c>
      <c r="K231" t="s">
        <v>145</v>
      </c>
      <c r="L231" t="s">
        <v>623</v>
      </c>
      <c r="M231" t="s">
        <v>63</v>
      </c>
      <c r="N231" t="s">
        <v>110</v>
      </c>
      <c r="O231" t="s">
        <v>64</v>
      </c>
      <c r="P231" t="s">
        <v>65</v>
      </c>
      <c r="Q231" t="s">
        <v>66</v>
      </c>
      <c r="R231" t="s">
        <v>49</v>
      </c>
      <c r="S231">
        <v>2</v>
      </c>
      <c r="T231" s="14">
        <v>62.58</v>
      </c>
      <c r="U231" s="7">
        <v>12</v>
      </c>
      <c r="V231" s="7">
        <v>22</v>
      </c>
      <c r="W231" s="14">
        <v>96.58</v>
      </c>
      <c r="X231" s="14">
        <v>208.6</v>
      </c>
      <c r="Y231" s="16">
        <v>10</v>
      </c>
      <c r="Z231" s="12">
        <v>375.48</v>
      </c>
      <c r="AA231" s="5">
        <v>182.32</v>
      </c>
      <c r="AB231" s="18">
        <v>48.56</v>
      </c>
      <c r="AC231" t="s">
        <v>111</v>
      </c>
      <c r="AD231" t="s">
        <v>51</v>
      </c>
      <c r="AE231" t="s">
        <v>68</v>
      </c>
      <c r="AF231">
        <v>5</v>
      </c>
      <c r="AG231" t="s">
        <v>53</v>
      </c>
    </row>
    <row r="232" spans="1:33">
      <c r="A232" t="s">
        <v>624</v>
      </c>
      <c r="B232" s="10">
        <v>45929</v>
      </c>
      <c r="C232" s="3" t="s">
        <v>171</v>
      </c>
      <c r="D232" t="s">
        <v>206</v>
      </c>
      <c r="E232" t="s">
        <v>72</v>
      </c>
      <c r="F232" t="s">
        <v>73</v>
      </c>
      <c r="G232" t="s">
        <v>74</v>
      </c>
      <c r="H232" t="s">
        <v>39</v>
      </c>
      <c r="I232" t="s">
        <v>2143</v>
      </c>
      <c r="J232" t="s">
        <v>41</v>
      </c>
      <c r="K232" t="s">
        <v>42</v>
      </c>
      <c r="L232" t="s">
        <v>625</v>
      </c>
      <c r="M232" t="s">
        <v>63</v>
      </c>
      <c r="N232" t="s">
        <v>110</v>
      </c>
      <c r="O232" t="s">
        <v>82</v>
      </c>
      <c r="P232" t="s">
        <v>83</v>
      </c>
      <c r="Q232" t="s">
        <v>66</v>
      </c>
      <c r="R232" t="s">
        <v>84</v>
      </c>
      <c r="S232">
        <v>3</v>
      </c>
      <c r="T232" s="14">
        <v>86.04</v>
      </c>
      <c r="U232" s="7">
        <v>12</v>
      </c>
      <c r="V232" s="7">
        <v>22</v>
      </c>
      <c r="W232" s="14">
        <v>120.04</v>
      </c>
      <c r="X232" s="14">
        <v>286.8</v>
      </c>
      <c r="Y232" s="16">
        <v>0</v>
      </c>
      <c r="Z232" s="12">
        <v>860.4</v>
      </c>
      <c r="AA232" s="5">
        <v>500.28</v>
      </c>
      <c r="AB232" s="18">
        <v>58.15</v>
      </c>
      <c r="AC232" t="s">
        <v>111</v>
      </c>
      <c r="AD232" t="s">
        <v>86</v>
      </c>
      <c r="AE232" t="s">
        <v>126</v>
      </c>
      <c r="AF232">
        <v>5</v>
      </c>
      <c r="AG232" t="s">
        <v>53</v>
      </c>
    </row>
    <row r="233" spans="1:33">
      <c r="A233" t="s">
        <v>626</v>
      </c>
      <c r="B233" s="10">
        <v>45988</v>
      </c>
      <c r="C233" s="3" t="s">
        <v>171</v>
      </c>
      <c r="D233" t="s">
        <v>56</v>
      </c>
      <c r="E233" t="s">
        <v>57</v>
      </c>
      <c r="F233" t="s">
        <v>37</v>
      </c>
      <c r="G233" t="s">
        <v>38</v>
      </c>
      <c r="H233" t="s">
        <v>75</v>
      </c>
      <c r="I233" t="s">
        <v>76</v>
      </c>
      <c r="J233" t="s">
        <v>77</v>
      </c>
      <c r="K233" t="s">
        <v>78</v>
      </c>
      <c r="L233" t="s">
        <v>627</v>
      </c>
      <c r="M233" t="s">
        <v>63</v>
      </c>
      <c r="N233" t="s">
        <v>81</v>
      </c>
      <c r="O233" t="s">
        <v>176</v>
      </c>
      <c r="P233" t="s">
        <v>177</v>
      </c>
      <c r="Q233" t="s">
        <v>66</v>
      </c>
      <c r="R233" t="s">
        <v>84</v>
      </c>
      <c r="S233">
        <v>1</v>
      </c>
      <c r="T233" s="14">
        <v>60.84</v>
      </c>
      <c r="U233" s="7">
        <v>12</v>
      </c>
      <c r="V233" s="7">
        <v>22</v>
      </c>
      <c r="W233" s="14">
        <v>94.84</v>
      </c>
      <c r="X233" s="14">
        <v>202.8</v>
      </c>
      <c r="Y233" s="16">
        <v>5</v>
      </c>
      <c r="Z233" s="12">
        <v>192.66</v>
      </c>
      <c r="AA233" s="5">
        <v>97.82</v>
      </c>
      <c r="AB233" s="18">
        <v>50.77</v>
      </c>
      <c r="AC233" t="s">
        <v>111</v>
      </c>
      <c r="AD233" t="s">
        <v>86</v>
      </c>
      <c r="AE233" t="s">
        <v>96</v>
      </c>
      <c r="AF233">
        <v>5</v>
      </c>
      <c r="AG233" t="s">
        <v>53</v>
      </c>
    </row>
    <row r="234" spans="1:33">
      <c r="A234" t="s">
        <v>628</v>
      </c>
      <c r="B234" s="10">
        <v>45857</v>
      </c>
      <c r="C234" s="3" t="s">
        <v>148</v>
      </c>
      <c r="D234" t="s">
        <v>71</v>
      </c>
      <c r="E234" t="s">
        <v>114</v>
      </c>
      <c r="F234" t="s">
        <v>73</v>
      </c>
      <c r="G234" t="s">
        <v>74</v>
      </c>
      <c r="H234" t="s">
        <v>142</v>
      </c>
      <c r="I234" t="s">
        <v>143</v>
      </c>
      <c r="J234" t="s">
        <v>144</v>
      </c>
      <c r="K234" t="s">
        <v>145</v>
      </c>
      <c r="L234" t="s">
        <v>629</v>
      </c>
      <c r="M234" t="s">
        <v>80</v>
      </c>
      <c r="N234" t="s">
        <v>45</v>
      </c>
      <c r="O234" t="s">
        <v>119</v>
      </c>
      <c r="P234" t="s">
        <v>120</v>
      </c>
      <c r="Q234" t="s">
        <v>103</v>
      </c>
      <c r="R234" t="s">
        <v>84</v>
      </c>
      <c r="S234">
        <v>3</v>
      </c>
      <c r="T234" s="14">
        <v>46.44</v>
      </c>
      <c r="U234" s="7">
        <v>12</v>
      </c>
      <c r="V234" s="7">
        <v>22</v>
      </c>
      <c r="W234" s="14">
        <v>80.44</v>
      </c>
      <c r="X234" s="14">
        <v>154.80000000000001</v>
      </c>
      <c r="Y234" s="16">
        <v>10</v>
      </c>
      <c r="Z234" s="12">
        <v>417.96</v>
      </c>
      <c r="AA234" s="5">
        <v>176.64</v>
      </c>
      <c r="AB234" s="18">
        <v>42.26</v>
      </c>
      <c r="AC234" t="s">
        <v>50</v>
      </c>
      <c r="AD234" t="s">
        <v>51</v>
      </c>
      <c r="AE234" t="s">
        <v>126</v>
      </c>
      <c r="AF234">
        <v>4</v>
      </c>
      <c r="AG234" t="s">
        <v>53</v>
      </c>
    </row>
    <row r="235" spans="1:33">
      <c r="A235" t="s">
        <v>630</v>
      </c>
      <c r="B235" s="10">
        <v>45876</v>
      </c>
      <c r="C235" s="3" t="s">
        <v>182</v>
      </c>
      <c r="D235" t="s">
        <v>56</v>
      </c>
      <c r="E235" t="s">
        <v>99</v>
      </c>
      <c r="F235" t="s">
        <v>73</v>
      </c>
      <c r="G235" t="s">
        <v>74</v>
      </c>
      <c r="H235" t="s">
        <v>142</v>
      </c>
      <c r="I235" t="s">
        <v>143</v>
      </c>
      <c r="J235" t="s">
        <v>144</v>
      </c>
      <c r="K235" t="s">
        <v>145</v>
      </c>
      <c r="L235" t="s">
        <v>631</v>
      </c>
      <c r="M235" t="s">
        <v>80</v>
      </c>
      <c r="N235" t="s">
        <v>45</v>
      </c>
      <c r="O235" t="s">
        <v>101</v>
      </c>
      <c r="P235" t="s">
        <v>102</v>
      </c>
      <c r="Q235" t="s">
        <v>103</v>
      </c>
      <c r="R235" t="s">
        <v>67</v>
      </c>
      <c r="S235">
        <v>3</v>
      </c>
      <c r="T235" s="14">
        <v>44.7</v>
      </c>
      <c r="U235" s="7">
        <v>12</v>
      </c>
      <c r="V235" s="7">
        <v>22</v>
      </c>
      <c r="W235" s="14">
        <v>78.7</v>
      </c>
      <c r="X235" s="14">
        <v>149</v>
      </c>
      <c r="Y235" s="16">
        <v>0</v>
      </c>
      <c r="Z235" s="12">
        <v>402.3</v>
      </c>
      <c r="AA235" s="5">
        <v>166.2</v>
      </c>
      <c r="AB235" s="18">
        <v>41.31</v>
      </c>
      <c r="AC235" t="s">
        <v>50</v>
      </c>
      <c r="AD235" t="s">
        <v>51</v>
      </c>
      <c r="AE235" t="s">
        <v>105</v>
      </c>
      <c r="AF235">
        <v>5</v>
      </c>
      <c r="AG235" t="s">
        <v>53</v>
      </c>
    </row>
    <row r="236" spans="1:33">
      <c r="A236" t="s">
        <v>632</v>
      </c>
      <c r="B236" s="10">
        <v>45931</v>
      </c>
      <c r="C236" s="3" t="s">
        <v>310</v>
      </c>
      <c r="D236" t="s">
        <v>129</v>
      </c>
      <c r="E236" t="s">
        <v>36</v>
      </c>
      <c r="F236" t="s">
        <v>37</v>
      </c>
      <c r="G236" t="s">
        <v>38</v>
      </c>
      <c r="H236" t="s">
        <v>115</v>
      </c>
      <c r="I236" t="s">
        <v>116</v>
      </c>
      <c r="J236" t="s">
        <v>117</v>
      </c>
      <c r="K236" t="s">
        <v>61</v>
      </c>
      <c r="L236" t="s">
        <v>633</v>
      </c>
      <c r="M236" t="s">
        <v>80</v>
      </c>
      <c r="N236" t="s">
        <v>45</v>
      </c>
      <c r="O236" t="s">
        <v>176</v>
      </c>
      <c r="P236" t="s">
        <v>177</v>
      </c>
      <c r="Q236" t="s">
        <v>66</v>
      </c>
      <c r="R236" t="s">
        <v>67</v>
      </c>
      <c r="S236">
        <v>3</v>
      </c>
      <c r="T236" s="14">
        <v>50.7</v>
      </c>
      <c r="U236" s="7">
        <v>12</v>
      </c>
      <c r="V236" s="7">
        <v>22</v>
      </c>
      <c r="W236" s="14">
        <v>84.7</v>
      </c>
      <c r="X236" s="14">
        <v>169</v>
      </c>
      <c r="Y236" s="16">
        <v>0</v>
      </c>
      <c r="Z236" s="12">
        <v>507</v>
      </c>
      <c r="AA236" s="5">
        <v>252.9</v>
      </c>
      <c r="AB236" s="18">
        <v>49.88</v>
      </c>
      <c r="AC236" t="s">
        <v>104</v>
      </c>
      <c r="AD236" t="s">
        <v>51</v>
      </c>
      <c r="AE236" t="s">
        <v>52</v>
      </c>
      <c r="AF236">
        <v>5</v>
      </c>
      <c r="AG236" t="s">
        <v>53</v>
      </c>
    </row>
    <row r="237" spans="1:33">
      <c r="A237" t="s">
        <v>634</v>
      </c>
      <c r="B237" s="10">
        <v>45988</v>
      </c>
      <c r="C237" s="3" t="s">
        <v>34</v>
      </c>
      <c r="D237" t="s">
        <v>56</v>
      </c>
      <c r="E237" t="s">
        <v>57</v>
      </c>
      <c r="F237" t="s">
        <v>37</v>
      </c>
      <c r="G237" t="s">
        <v>38</v>
      </c>
      <c r="H237" t="s">
        <v>133</v>
      </c>
      <c r="I237" t="s">
        <v>134</v>
      </c>
      <c r="J237" t="s">
        <v>135</v>
      </c>
      <c r="K237" t="s">
        <v>42</v>
      </c>
      <c r="L237" t="s">
        <v>635</v>
      </c>
      <c r="M237" t="s">
        <v>63</v>
      </c>
      <c r="N237" t="s">
        <v>45</v>
      </c>
      <c r="O237" t="s">
        <v>176</v>
      </c>
      <c r="P237" t="s">
        <v>177</v>
      </c>
      <c r="Q237" t="s">
        <v>66</v>
      </c>
      <c r="R237" t="s">
        <v>67</v>
      </c>
      <c r="S237">
        <v>3</v>
      </c>
      <c r="T237" s="14">
        <v>50.7</v>
      </c>
      <c r="U237" s="7">
        <v>12</v>
      </c>
      <c r="V237" s="7">
        <v>22</v>
      </c>
      <c r="W237" s="14">
        <v>84.7</v>
      </c>
      <c r="X237" s="14">
        <v>169</v>
      </c>
      <c r="Y237" s="16">
        <v>5</v>
      </c>
      <c r="Z237" s="12">
        <v>481.65</v>
      </c>
      <c r="AA237" s="5">
        <v>227.55</v>
      </c>
      <c r="AB237" s="18">
        <v>47.24</v>
      </c>
      <c r="AC237" t="s">
        <v>50</v>
      </c>
      <c r="AD237" t="s">
        <v>86</v>
      </c>
      <c r="AE237" t="s">
        <v>68</v>
      </c>
      <c r="AF237">
        <v>5</v>
      </c>
      <c r="AG237" t="s">
        <v>53</v>
      </c>
    </row>
    <row r="238" spans="1:33">
      <c r="A238" t="s">
        <v>636</v>
      </c>
      <c r="B238" s="10">
        <v>45918</v>
      </c>
      <c r="C238" s="3" t="s">
        <v>70</v>
      </c>
      <c r="D238" t="s">
        <v>56</v>
      </c>
      <c r="E238" t="s">
        <v>72</v>
      </c>
      <c r="F238" t="s">
        <v>73</v>
      </c>
      <c r="G238" t="s">
        <v>74</v>
      </c>
      <c r="H238" t="s">
        <v>75</v>
      </c>
      <c r="I238" t="s">
        <v>76</v>
      </c>
      <c r="J238" t="s">
        <v>77</v>
      </c>
      <c r="K238" t="s">
        <v>78</v>
      </c>
      <c r="L238" t="s">
        <v>637</v>
      </c>
      <c r="M238" t="s">
        <v>63</v>
      </c>
      <c r="N238" t="s">
        <v>110</v>
      </c>
      <c r="O238" t="s">
        <v>119</v>
      </c>
      <c r="P238" t="s">
        <v>120</v>
      </c>
      <c r="Q238" t="s">
        <v>103</v>
      </c>
      <c r="R238" t="s">
        <v>49</v>
      </c>
      <c r="S238">
        <v>3</v>
      </c>
      <c r="T238" s="14">
        <v>54.18</v>
      </c>
      <c r="U238" s="7">
        <v>12</v>
      </c>
      <c r="V238" s="7">
        <v>22</v>
      </c>
      <c r="W238" s="14">
        <v>88.18</v>
      </c>
      <c r="X238" s="14">
        <v>180.6</v>
      </c>
      <c r="Y238" s="16">
        <v>0</v>
      </c>
      <c r="Z238" s="12">
        <v>541.79999999999995</v>
      </c>
      <c r="AA238" s="5">
        <v>277.26</v>
      </c>
      <c r="AB238" s="18">
        <v>51.17</v>
      </c>
      <c r="AC238" t="s">
        <v>111</v>
      </c>
      <c r="AD238" t="s">
        <v>158</v>
      </c>
      <c r="AE238" t="s">
        <v>68</v>
      </c>
      <c r="AF238">
        <v>5</v>
      </c>
      <c r="AG238" t="s">
        <v>53</v>
      </c>
    </row>
    <row r="239" spans="1:33">
      <c r="A239" t="s">
        <v>638</v>
      </c>
      <c r="B239" s="10">
        <v>45731</v>
      </c>
      <c r="C239" s="3" t="s">
        <v>107</v>
      </c>
      <c r="D239" t="s">
        <v>71</v>
      </c>
      <c r="E239" t="s">
        <v>108</v>
      </c>
      <c r="F239" t="s">
        <v>91</v>
      </c>
      <c r="G239" t="s">
        <v>38</v>
      </c>
      <c r="H239" t="s">
        <v>115</v>
      </c>
      <c r="I239" t="s">
        <v>116</v>
      </c>
      <c r="J239" t="s">
        <v>117</v>
      </c>
      <c r="K239" t="s">
        <v>61</v>
      </c>
      <c r="L239" t="s">
        <v>639</v>
      </c>
      <c r="M239" t="s">
        <v>63</v>
      </c>
      <c r="N239" t="s">
        <v>81</v>
      </c>
      <c r="O239" t="s">
        <v>452</v>
      </c>
      <c r="P239" t="s">
        <v>453</v>
      </c>
      <c r="Q239" t="s">
        <v>215</v>
      </c>
      <c r="R239" t="s">
        <v>49</v>
      </c>
      <c r="S239">
        <v>2</v>
      </c>
      <c r="T239" s="14">
        <v>138.18</v>
      </c>
      <c r="U239" s="7">
        <v>12</v>
      </c>
      <c r="V239" s="7">
        <v>22</v>
      </c>
      <c r="W239" s="14">
        <v>172.18</v>
      </c>
      <c r="X239" s="14">
        <v>460.6</v>
      </c>
      <c r="Y239" s="16">
        <v>10</v>
      </c>
      <c r="Z239" s="12">
        <v>829.08</v>
      </c>
      <c r="AA239" s="5">
        <v>484.72</v>
      </c>
      <c r="AB239" s="18">
        <v>58.46</v>
      </c>
      <c r="AC239" t="s">
        <v>85</v>
      </c>
      <c r="AD239" t="s">
        <v>51</v>
      </c>
      <c r="AE239" t="s">
        <v>96</v>
      </c>
      <c r="AF239">
        <v>5</v>
      </c>
      <c r="AG239" t="s">
        <v>53</v>
      </c>
    </row>
    <row r="240" spans="1:33">
      <c r="A240" t="s">
        <v>640</v>
      </c>
      <c r="B240" s="10">
        <v>45804</v>
      </c>
      <c r="C240" s="3" t="s">
        <v>70</v>
      </c>
      <c r="D240" t="s">
        <v>156</v>
      </c>
      <c r="E240" t="s">
        <v>130</v>
      </c>
      <c r="F240" t="s">
        <v>131</v>
      </c>
      <c r="G240" t="s">
        <v>132</v>
      </c>
      <c r="H240" t="s">
        <v>133</v>
      </c>
      <c r="I240" t="s">
        <v>134</v>
      </c>
      <c r="J240" t="s">
        <v>135</v>
      </c>
      <c r="K240" t="s">
        <v>42</v>
      </c>
      <c r="L240" t="s">
        <v>641</v>
      </c>
      <c r="M240" t="s">
        <v>63</v>
      </c>
      <c r="N240" t="s">
        <v>45</v>
      </c>
      <c r="O240" t="s">
        <v>176</v>
      </c>
      <c r="P240" t="s">
        <v>177</v>
      </c>
      <c r="Q240" t="s">
        <v>66</v>
      </c>
      <c r="R240" t="s">
        <v>49</v>
      </c>
      <c r="S240">
        <v>2</v>
      </c>
      <c r="T240" s="14">
        <v>70.98</v>
      </c>
      <c r="U240" s="7">
        <v>12</v>
      </c>
      <c r="V240" s="7">
        <v>22</v>
      </c>
      <c r="W240" s="14">
        <v>104.98</v>
      </c>
      <c r="X240" s="14">
        <v>236.6</v>
      </c>
      <c r="Y240" s="16">
        <v>0</v>
      </c>
      <c r="Z240" s="12">
        <v>473.2</v>
      </c>
      <c r="AA240" s="5">
        <v>263.24</v>
      </c>
      <c r="AB240" s="18">
        <v>55.63</v>
      </c>
      <c r="AC240" t="s">
        <v>85</v>
      </c>
      <c r="AD240" t="s">
        <v>51</v>
      </c>
      <c r="AE240" t="s">
        <v>105</v>
      </c>
      <c r="AF240">
        <v>5</v>
      </c>
      <c r="AG240" t="s">
        <v>53</v>
      </c>
    </row>
    <row r="241" spans="1:33">
      <c r="A241" t="s">
        <v>642</v>
      </c>
      <c r="B241" s="10">
        <v>46011</v>
      </c>
      <c r="C241" s="3" t="s">
        <v>113</v>
      </c>
      <c r="D241" t="s">
        <v>71</v>
      </c>
      <c r="E241" t="s">
        <v>149</v>
      </c>
      <c r="F241" t="s">
        <v>37</v>
      </c>
      <c r="G241" t="s">
        <v>92</v>
      </c>
      <c r="H241" t="s">
        <v>75</v>
      </c>
      <c r="I241" t="s">
        <v>76</v>
      </c>
      <c r="J241" t="s">
        <v>77</v>
      </c>
      <c r="K241" t="s">
        <v>78</v>
      </c>
      <c r="L241" t="s">
        <v>643</v>
      </c>
      <c r="M241" t="s">
        <v>44</v>
      </c>
      <c r="N241" t="s">
        <v>110</v>
      </c>
      <c r="O241" t="s">
        <v>119</v>
      </c>
      <c r="P241" t="s">
        <v>120</v>
      </c>
      <c r="Q241" t="s">
        <v>103</v>
      </c>
      <c r="R241" t="s">
        <v>67</v>
      </c>
      <c r="S241">
        <v>2</v>
      </c>
      <c r="T241" s="14">
        <v>38.700000000000003</v>
      </c>
      <c r="U241" s="7">
        <v>12</v>
      </c>
      <c r="V241" s="7">
        <v>22</v>
      </c>
      <c r="W241" s="14">
        <v>72.7</v>
      </c>
      <c r="X241" s="14">
        <v>129</v>
      </c>
      <c r="Y241" s="16">
        <v>15</v>
      </c>
      <c r="Z241" s="12">
        <v>219.3</v>
      </c>
      <c r="AA241" s="5">
        <v>73.900000000000006</v>
      </c>
      <c r="AB241" s="18">
        <v>33.700000000000003</v>
      </c>
      <c r="AC241" t="s">
        <v>104</v>
      </c>
      <c r="AD241" t="s">
        <v>51</v>
      </c>
      <c r="AE241" t="s">
        <v>52</v>
      </c>
      <c r="AF241">
        <v>5</v>
      </c>
      <c r="AG241" t="s">
        <v>53</v>
      </c>
    </row>
    <row r="242" spans="1:33">
      <c r="A242" t="s">
        <v>644</v>
      </c>
      <c r="B242" s="10">
        <v>46004</v>
      </c>
      <c r="C242" s="3" t="s">
        <v>171</v>
      </c>
      <c r="D242" t="s">
        <v>71</v>
      </c>
      <c r="E242" t="s">
        <v>149</v>
      </c>
      <c r="F242" t="s">
        <v>37</v>
      </c>
      <c r="G242" t="s">
        <v>92</v>
      </c>
      <c r="H242" t="s">
        <v>142</v>
      </c>
      <c r="I242" t="s">
        <v>143</v>
      </c>
      <c r="J242" t="s">
        <v>144</v>
      </c>
      <c r="K242" t="s">
        <v>145</v>
      </c>
      <c r="L242" t="s">
        <v>645</v>
      </c>
      <c r="M242" t="s">
        <v>44</v>
      </c>
      <c r="N242" t="s">
        <v>81</v>
      </c>
      <c r="O242" t="s">
        <v>176</v>
      </c>
      <c r="P242" t="s">
        <v>177</v>
      </c>
      <c r="Q242" t="s">
        <v>66</v>
      </c>
      <c r="R242" t="s">
        <v>84</v>
      </c>
      <c r="S242">
        <v>2</v>
      </c>
      <c r="T242" s="14">
        <v>60.84</v>
      </c>
      <c r="U242" s="7">
        <v>12</v>
      </c>
      <c r="V242" s="7">
        <v>22</v>
      </c>
      <c r="W242" s="14">
        <v>94.84</v>
      </c>
      <c r="X242" s="14">
        <v>202.8</v>
      </c>
      <c r="Y242" s="16">
        <v>15</v>
      </c>
      <c r="Z242" s="12">
        <v>344.76</v>
      </c>
      <c r="AA242" s="5">
        <v>155.08000000000001</v>
      </c>
      <c r="AB242" s="18">
        <v>44.98</v>
      </c>
      <c r="AC242" t="s">
        <v>85</v>
      </c>
      <c r="AD242" t="s">
        <v>86</v>
      </c>
      <c r="AE242" t="s">
        <v>126</v>
      </c>
      <c r="AF242">
        <v>5</v>
      </c>
      <c r="AG242" t="s">
        <v>53</v>
      </c>
    </row>
    <row r="243" spans="1:33">
      <c r="A243" t="s">
        <v>646</v>
      </c>
      <c r="B243" s="10">
        <v>45988</v>
      </c>
      <c r="C243" s="3" t="s">
        <v>194</v>
      </c>
      <c r="D243" t="s">
        <v>56</v>
      </c>
      <c r="E243" t="s">
        <v>57</v>
      </c>
      <c r="F243" t="s">
        <v>37</v>
      </c>
      <c r="G243" t="s">
        <v>38</v>
      </c>
      <c r="H243" t="s">
        <v>39</v>
      </c>
      <c r="I243" t="s">
        <v>2143</v>
      </c>
      <c r="J243" t="s">
        <v>41</v>
      </c>
      <c r="K243" t="s">
        <v>42</v>
      </c>
      <c r="L243" t="s">
        <v>647</v>
      </c>
      <c r="M243" t="s">
        <v>80</v>
      </c>
      <c r="N243" t="s">
        <v>45</v>
      </c>
      <c r="O243" t="s">
        <v>119</v>
      </c>
      <c r="P243" t="s">
        <v>120</v>
      </c>
      <c r="Q243" t="s">
        <v>103</v>
      </c>
      <c r="R243" t="s">
        <v>49</v>
      </c>
      <c r="S243">
        <v>2</v>
      </c>
      <c r="T243" s="14">
        <v>54.18</v>
      </c>
      <c r="U243" s="7">
        <v>12</v>
      </c>
      <c r="V243" s="7">
        <v>22</v>
      </c>
      <c r="W243" s="14">
        <v>88.18</v>
      </c>
      <c r="X243" s="14">
        <v>180.6</v>
      </c>
      <c r="Y243" s="16">
        <v>10</v>
      </c>
      <c r="Z243" s="12">
        <v>325.08</v>
      </c>
      <c r="AA243" s="5">
        <v>148.72</v>
      </c>
      <c r="AB243" s="18">
        <v>45.75</v>
      </c>
      <c r="AC243" t="s">
        <v>104</v>
      </c>
      <c r="AD243" t="s">
        <v>86</v>
      </c>
      <c r="AE243" t="s">
        <v>126</v>
      </c>
      <c r="AF243">
        <v>5</v>
      </c>
      <c r="AG243" t="s">
        <v>53</v>
      </c>
    </row>
    <row r="244" spans="1:33">
      <c r="A244" t="s">
        <v>648</v>
      </c>
      <c r="B244" s="10">
        <v>46018</v>
      </c>
      <c r="C244" s="3" t="s">
        <v>182</v>
      </c>
      <c r="D244" t="s">
        <v>71</v>
      </c>
      <c r="E244" t="s">
        <v>149</v>
      </c>
      <c r="F244" t="s">
        <v>37</v>
      </c>
      <c r="G244" t="s">
        <v>92</v>
      </c>
      <c r="H244" t="s">
        <v>133</v>
      </c>
      <c r="I244" t="s">
        <v>134</v>
      </c>
      <c r="J244" t="s">
        <v>135</v>
      </c>
      <c r="K244" t="s">
        <v>42</v>
      </c>
      <c r="L244" t="s">
        <v>649</v>
      </c>
      <c r="M244" t="s">
        <v>80</v>
      </c>
      <c r="N244" t="s">
        <v>45</v>
      </c>
      <c r="O244" t="s">
        <v>452</v>
      </c>
      <c r="P244" t="s">
        <v>453</v>
      </c>
      <c r="Q244" t="s">
        <v>215</v>
      </c>
      <c r="R244" t="s">
        <v>49</v>
      </c>
      <c r="S244">
        <v>4</v>
      </c>
      <c r="T244" s="14">
        <v>138.18</v>
      </c>
      <c r="U244" s="7">
        <v>12</v>
      </c>
      <c r="V244" s="7">
        <v>22</v>
      </c>
      <c r="W244" s="14">
        <v>172.18</v>
      </c>
      <c r="X244" s="14">
        <v>460.6</v>
      </c>
      <c r="Y244" s="16">
        <v>10</v>
      </c>
      <c r="Z244" s="12">
        <v>1658.16</v>
      </c>
      <c r="AA244" s="5">
        <v>969.44</v>
      </c>
      <c r="AB244" s="18">
        <v>58.46</v>
      </c>
      <c r="AC244" t="s">
        <v>50</v>
      </c>
      <c r="AD244" t="s">
        <v>51</v>
      </c>
      <c r="AE244" t="s">
        <v>126</v>
      </c>
      <c r="AF244">
        <v>4</v>
      </c>
      <c r="AG244" t="s">
        <v>53</v>
      </c>
    </row>
    <row r="245" spans="1:33">
      <c r="A245" t="s">
        <v>650</v>
      </c>
      <c r="B245" s="10">
        <v>45975</v>
      </c>
      <c r="C245" s="3" t="s">
        <v>219</v>
      </c>
      <c r="D245" t="s">
        <v>35</v>
      </c>
      <c r="E245" t="s">
        <v>57</v>
      </c>
      <c r="F245" t="s">
        <v>37</v>
      </c>
      <c r="G245" t="s">
        <v>38</v>
      </c>
      <c r="H245" t="s">
        <v>142</v>
      </c>
      <c r="I245" t="s">
        <v>143</v>
      </c>
      <c r="J245" t="s">
        <v>144</v>
      </c>
      <c r="K245" t="s">
        <v>145</v>
      </c>
      <c r="L245" t="s">
        <v>651</v>
      </c>
      <c r="M245" t="s">
        <v>63</v>
      </c>
      <c r="N245" t="s">
        <v>110</v>
      </c>
      <c r="O245" t="s">
        <v>176</v>
      </c>
      <c r="P245" t="s">
        <v>177</v>
      </c>
      <c r="Q245" t="s">
        <v>66</v>
      </c>
      <c r="R245" t="s">
        <v>84</v>
      </c>
      <c r="S245">
        <v>3</v>
      </c>
      <c r="T245" s="14">
        <v>60.84</v>
      </c>
      <c r="U245" s="7">
        <v>12</v>
      </c>
      <c r="V245" s="7">
        <v>22</v>
      </c>
      <c r="W245" s="14">
        <v>94.84</v>
      </c>
      <c r="X245" s="14">
        <v>202.8</v>
      </c>
      <c r="Y245" s="16">
        <v>0</v>
      </c>
      <c r="Z245" s="12">
        <v>608.4</v>
      </c>
      <c r="AA245" s="5">
        <v>323.88</v>
      </c>
      <c r="AB245" s="18">
        <v>53.23</v>
      </c>
      <c r="AC245" t="s">
        <v>85</v>
      </c>
      <c r="AD245" t="s">
        <v>51</v>
      </c>
      <c r="AE245" t="s">
        <v>105</v>
      </c>
      <c r="AF245">
        <v>3</v>
      </c>
      <c r="AG245" t="s">
        <v>53</v>
      </c>
    </row>
    <row r="246" spans="1:33">
      <c r="A246" t="s">
        <v>652</v>
      </c>
      <c r="B246" s="10">
        <v>45664</v>
      </c>
      <c r="C246" s="3" t="s">
        <v>219</v>
      </c>
      <c r="D246" t="s">
        <v>156</v>
      </c>
      <c r="E246" t="s">
        <v>152</v>
      </c>
      <c r="F246" t="s">
        <v>91</v>
      </c>
      <c r="G246" t="s">
        <v>92</v>
      </c>
      <c r="H246" t="s">
        <v>133</v>
      </c>
      <c r="I246" t="s">
        <v>134</v>
      </c>
      <c r="J246" t="s">
        <v>135</v>
      </c>
      <c r="K246" t="s">
        <v>42</v>
      </c>
      <c r="L246" t="s">
        <v>653</v>
      </c>
      <c r="M246" t="s">
        <v>80</v>
      </c>
      <c r="N246" t="s">
        <v>45</v>
      </c>
      <c r="O246" t="s">
        <v>94</v>
      </c>
      <c r="P246" t="s">
        <v>95</v>
      </c>
      <c r="Q246" t="s">
        <v>66</v>
      </c>
      <c r="R246" t="s">
        <v>49</v>
      </c>
      <c r="S246">
        <v>3</v>
      </c>
      <c r="T246" s="14">
        <v>91.98</v>
      </c>
      <c r="U246" s="7">
        <v>12</v>
      </c>
      <c r="V246" s="7">
        <v>22</v>
      </c>
      <c r="W246" s="14">
        <v>125.98</v>
      </c>
      <c r="X246" s="14">
        <v>306.60000000000002</v>
      </c>
      <c r="Y246" s="16">
        <v>0</v>
      </c>
      <c r="Z246" s="12">
        <v>919.8</v>
      </c>
      <c r="AA246" s="5">
        <v>541.86</v>
      </c>
      <c r="AB246" s="18">
        <v>58.91</v>
      </c>
      <c r="AC246" t="s">
        <v>111</v>
      </c>
      <c r="AD246" t="s">
        <v>158</v>
      </c>
      <c r="AE246" t="s">
        <v>68</v>
      </c>
      <c r="AF246">
        <v>5</v>
      </c>
      <c r="AG246" t="s">
        <v>53</v>
      </c>
    </row>
    <row r="247" spans="1:33">
      <c r="A247" t="s">
        <v>654</v>
      </c>
      <c r="B247" s="10">
        <v>45946</v>
      </c>
      <c r="C247" s="3" t="s">
        <v>307</v>
      </c>
      <c r="D247" t="s">
        <v>56</v>
      </c>
      <c r="E247" t="s">
        <v>36</v>
      </c>
      <c r="F247" t="s">
        <v>37</v>
      </c>
      <c r="G247" t="s">
        <v>38</v>
      </c>
      <c r="H247" t="s">
        <v>39</v>
      </c>
      <c r="I247" t="s">
        <v>2143</v>
      </c>
      <c r="J247" t="s">
        <v>41</v>
      </c>
      <c r="K247" t="s">
        <v>42</v>
      </c>
      <c r="L247" t="s">
        <v>655</v>
      </c>
      <c r="M247" t="s">
        <v>80</v>
      </c>
      <c r="N247" t="s">
        <v>110</v>
      </c>
      <c r="O247" t="s">
        <v>94</v>
      </c>
      <c r="P247" t="s">
        <v>95</v>
      </c>
      <c r="Q247" t="s">
        <v>66</v>
      </c>
      <c r="R247" t="s">
        <v>49</v>
      </c>
      <c r="S247">
        <v>3</v>
      </c>
      <c r="T247" s="14">
        <v>91.98</v>
      </c>
      <c r="U247" s="7">
        <v>12</v>
      </c>
      <c r="V247" s="7">
        <v>22</v>
      </c>
      <c r="W247" s="14">
        <v>125.98</v>
      </c>
      <c r="X247" s="14">
        <v>306.60000000000002</v>
      </c>
      <c r="Y247" s="16">
        <v>0</v>
      </c>
      <c r="Z247" s="12">
        <v>919.8</v>
      </c>
      <c r="AA247" s="5">
        <v>541.86</v>
      </c>
      <c r="AB247" s="18">
        <v>58.91</v>
      </c>
      <c r="AC247" t="s">
        <v>111</v>
      </c>
      <c r="AD247" t="s">
        <v>51</v>
      </c>
      <c r="AE247" t="s">
        <v>105</v>
      </c>
      <c r="AF247">
        <v>4</v>
      </c>
      <c r="AG247" t="s">
        <v>53</v>
      </c>
    </row>
    <row r="248" spans="1:33">
      <c r="A248" t="s">
        <v>656</v>
      </c>
      <c r="B248" s="10">
        <v>45808</v>
      </c>
      <c r="C248" s="3" t="s">
        <v>107</v>
      </c>
      <c r="D248" t="s">
        <v>71</v>
      </c>
      <c r="E248" t="s">
        <v>130</v>
      </c>
      <c r="F248" t="s">
        <v>131</v>
      </c>
      <c r="G248" t="s">
        <v>132</v>
      </c>
      <c r="H248" t="s">
        <v>142</v>
      </c>
      <c r="I248" t="s">
        <v>143</v>
      </c>
      <c r="J248" t="s">
        <v>144</v>
      </c>
      <c r="K248" t="s">
        <v>145</v>
      </c>
      <c r="L248" t="s">
        <v>657</v>
      </c>
      <c r="M248" t="s">
        <v>44</v>
      </c>
      <c r="N248" t="s">
        <v>45</v>
      </c>
      <c r="O248" t="s">
        <v>137</v>
      </c>
      <c r="P248" t="s">
        <v>138</v>
      </c>
      <c r="Q248" t="s">
        <v>139</v>
      </c>
      <c r="R248" t="s">
        <v>67</v>
      </c>
      <c r="S248">
        <v>3</v>
      </c>
      <c r="T248" s="14">
        <v>59.7</v>
      </c>
      <c r="U248" s="7">
        <v>12</v>
      </c>
      <c r="V248" s="7">
        <v>22</v>
      </c>
      <c r="W248" s="14">
        <v>93.7</v>
      </c>
      <c r="X248" s="14">
        <v>199</v>
      </c>
      <c r="Y248" s="16">
        <v>15</v>
      </c>
      <c r="Z248" s="12">
        <v>507.45</v>
      </c>
      <c r="AA248" s="5">
        <v>226.35</v>
      </c>
      <c r="AB248" s="18">
        <v>44.61</v>
      </c>
      <c r="AC248" t="s">
        <v>50</v>
      </c>
      <c r="AD248" t="s">
        <v>86</v>
      </c>
      <c r="AE248" t="s">
        <v>68</v>
      </c>
      <c r="AF248">
        <v>4</v>
      </c>
      <c r="AG248" t="s">
        <v>53</v>
      </c>
    </row>
    <row r="249" spans="1:33">
      <c r="A249" t="s">
        <v>658</v>
      </c>
      <c r="B249" s="10">
        <v>45967</v>
      </c>
      <c r="C249" s="3" t="s">
        <v>55</v>
      </c>
      <c r="D249" t="s">
        <v>56</v>
      </c>
      <c r="E249" t="s">
        <v>57</v>
      </c>
      <c r="F249" t="s">
        <v>37</v>
      </c>
      <c r="G249" t="s">
        <v>38</v>
      </c>
      <c r="H249" t="s">
        <v>39</v>
      </c>
      <c r="I249" t="s">
        <v>2143</v>
      </c>
      <c r="J249" t="s">
        <v>41</v>
      </c>
      <c r="K249" t="s">
        <v>42</v>
      </c>
      <c r="L249" t="s">
        <v>659</v>
      </c>
      <c r="M249" t="s">
        <v>44</v>
      </c>
      <c r="N249" t="s">
        <v>45</v>
      </c>
      <c r="O249" t="s">
        <v>64</v>
      </c>
      <c r="P249" t="s">
        <v>65</v>
      </c>
      <c r="Q249" t="s">
        <v>66</v>
      </c>
      <c r="R249" t="s">
        <v>49</v>
      </c>
      <c r="S249">
        <v>1</v>
      </c>
      <c r="T249" s="14">
        <v>62.58</v>
      </c>
      <c r="U249" s="7">
        <v>12</v>
      </c>
      <c r="V249" s="7">
        <v>22</v>
      </c>
      <c r="W249" s="14">
        <v>96.58</v>
      </c>
      <c r="X249" s="14">
        <v>208.6</v>
      </c>
      <c r="Y249" s="16">
        <v>5</v>
      </c>
      <c r="Z249" s="12">
        <v>198.17</v>
      </c>
      <c r="AA249" s="5">
        <v>101.59</v>
      </c>
      <c r="AB249" s="18">
        <v>51.26</v>
      </c>
      <c r="AC249" t="s">
        <v>111</v>
      </c>
      <c r="AD249" t="s">
        <v>86</v>
      </c>
      <c r="AE249" t="s">
        <v>105</v>
      </c>
      <c r="AF249">
        <v>5</v>
      </c>
      <c r="AG249" t="s">
        <v>53</v>
      </c>
    </row>
    <row r="250" spans="1:33">
      <c r="A250" t="s">
        <v>660</v>
      </c>
      <c r="B250" s="10">
        <v>45941</v>
      </c>
      <c r="C250" s="3" t="s">
        <v>155</v>
      </c>
      <c r="D250" t="s">
        <v>71</v>
      </c>
      <c r="E250" t="s">
        <v>36</v>
      </c>
      <c r="F250" t="s">
        <v>37</v>
      </c>
      <c r="G250" t="s">
        <v>38</v>
      </c>
      <c r="H250" t="s">
        <v>75</v>
      </c>
      <c r="I250" t="s">
        <v>76</v>
      </c>
      <c r="J250" t="s">
        <v>77</v>
      </c>
      <c r="K250" t="s">
        <v>78</v>
      </c>
      <c r="L250" t="s">
        <v>661</v>
      </c>
      <c r="M250" t="s">
        <v>44</v>
      </c>
      <c r="N250" t="s">
        <v>81</v>
      </c>
      <c r="O250" t="s">
        <v>452</v>
      </c>
      <c r="P250" t="s">
        <v>453</v>
      </c>
      <c r="Q250" t="s">
        <v>215</v>
      </c>
      <c r="R250" t="s">
        <v>84</v>
      </c>
      <c r="S250">
        <v>3</v>
      </c>
      <c r="T250" s="14">
        <v>118.44</v>
      </c>
      <c r="U250" s="7">
        <v>12</v>
      </c>
      <c r="V250" s="7">
        <v>22</v>
      </c>
      <c r="W250" s="14">
        <v>152.44</v>
      </c>
      <c r="X250" s="14">
        <v>394.8</v>
      </c>
      <c r="Y250" s="16">
        <v>15</v>
      </c>
      <c r="Z250" s="12">
        <v>1006.74</v>
      </c>
      <c r="AA250" s="5">
        <v>549.41999999999996</v>
      </c>
      <c r="AB250" s="18">
        <v>54.57</v>
      </c>
      <c r="AC250" t="s">
        <v>85</v>
      </c>
      <c r="AD250" t="s">
        <v>51</v>
      </c>
      <c r="AE250" t="s">
        <v>105</v>
      </c>
      <c r="AF250">
        <v>5</v>
      </c>
      <c r="AG250" t="s">
        <v>53</v>
      </c>
    </row>
    <row r="251" spans="1:33">
      <c r="A251" t="s">
        <v>662</v>
      </c>
      <c r="B251" s="10">
        <v>45997</v>
      </c>
      <c r="C251" s="3" t="s">
        <v>34</v>
      </c>
      <c r="D251" t="s">
        <v>71</v>
      </c>
      <c r="E251" t="s">
        <v>149</v>
      </c>
      <c r="F251" t="s">
        <v>37</v>
      </c>
      <c r="G251" t="s">
        <v>92</v>
      </c>
      <c r="H251" t="s">
        <v>39</v>
      </c>
      <c r="I251" t="s">
        <v>2143</v>
      </c>
      <c r="J251" t="s">
        <v>41</v>
      </c>
      <c r="K251" t="s">
        <v>42</v>
      </c>
      <c r="L251" t="s">
        <v>663</v>
      </c>
      <c r="M251" t="s">
        <v>63</v>
      </c>
      <c r="N251" t="s">
        <v>81</v>
      </c>
      <c r="O251" t="s">
        <v>275</v>
      </c>
      <c r="P251" t="s">
        <v>276</v>
      </c>
      <c r="Q251" t="s">
        <v>125</v>
      </c>
      <c r="R251" t="s">
        <v>84</v>
      </c>
      <c r="S251">
        <v>2</v>
      </c>
      <c r="T251" s="14">
        <v>82.44</v>
      </c>
      <c r="U251" s="7">
        <v>12</v>
      </c>
      <c r="V251" s="7">
        <v>22</v>
      </c>
      <c r="W251" s="14">
        <v>116.44</v>
      </c>
      <c r="X251" s="14">
        <v>274.8</v>
      </c>
      <c r="Y251" s="16">
        <v>15</v>
      </c>
      <c r="Z251" s="12">
        <v>467.16</v>
      </c>
      <c r="AA251" s="5">
        <v>234.28</v>
      </c>
      <c r="AB251" s="18">
        <v>50.15</v>
      </c>
      <c r="AC251" t="s">
        <v>111</v>
      </c>
      <c r="AD251" t="s">
        <v>51</v>
      </c>
      <c r="AE251" t="s">
        <v>126</v>
      </c>
      <c r="AF251">
        <v>4</v>
      </c>
      <c r="AG251" t="s">
        <v>53</v>
      </c>
    </row>
    <row r="252" spans="1:33">
      <c r="A252" t="s">
        <v>664</v>
      </c>
      <c r="B252" s="10">
        <v>45782</v>
      </c>
      <c r="C252" s="3" t="s">
        <v>155</v>
      </c>
      <c r="D252" t="s">
        <v>206</v>
      </c>
      <c r="E252" t="s">
        <v>130</v>
      </c>
      <c r="F252" t="s">
        <v>131</v>
      </c>
      <c r="G252" t="s">
        <v>132</v>
      </c>
      <c r="H252" t="s">
        <v>142</v>
      </c>
      <c r="I252" t="s">
        <v>143</v>
      </c>
      <c r="J252" t="s">
        <v>144</v>
      </c>
      <c r="K252" t="s">
        <v>145</v>
      </c>
      <c r="L252" t="s">
        <v>665</v>
      </c>
      <c r="M252" t="s">
        <v>63</v>
      </c>
      <c r="N252" t="s">
        <v>45</v>
      </c>
      <c r="O252" t="s">
        <v>189</v>
      </c>
      <c r="P252" t="s">
        <v>190</v>
      </c>
      <c r="Q252" t="s">
        <v>48</v>
      </c>
      <c r="R252" t="s">
        <v>84</v>
      </c>
      <c r="S252">
        <v>1</v>
      </c>
      <c r="T252" s="14">
        <v>57.24</v>
      </c>
      <c r="U252" s="7">
        <v>12</v>
      </c>
      <c r="V252" s="7">
        <v>22</v>
      </c>
      <c r="W252" s="14">
        <v>91.240000000000009</v>
      </c>
      <c r="X252" s="14">
        <v>190.8</v>
      </c>
      <c r="Y252" s="16">
        <v>0</v>
      </c>
      <c r="Z252" s="12">
        <v>190.8</v>
      </c>
      <c r="AA252" s="5">
        <v>99.56</v>
      </c>
      <c r="AB252" s="18">
        <v>52.18</v>
      </c>
      <c r="AC252" t="s">
        <v>50</v>
      </c>
      <c r="AD252" t="s">
        <v>86</v>
      </c>
      <c r="AE252" t="s">
        <v>52</v>
      </c>
      <c r="AF252">
        <v>5</v>
      </c>
      <c r="AG252" t="s">
        <v>53</v>
      </c>
    </row>
    <row r="253" spans="1:33">
      <c r="A253" t="s">
        <v>666</v>
      </c>
      <c r="B253" s="10">
        <v>45758</v>
      </c>
      <c r="C253" s="3" t="s">
        <v>141</v>
      </c>
      <c r="D253" t="s">
        <v>35</v>
      </c>
      <c r="E253" t="s">
        <v>280</v>
      </c>
      <c r="F253" t="s">
        <v>131</v>
      </c>
      <c r="G253" t="s">
        <v>132</v>
      </c>
      <c r="H253" t="s">
        <v>133</v>
      </c>
      <c r="I253" t="s">
        <v>134</v>
      </c>
      <c r="J253" t="s">
        <v>135</v>
      </c>
      <c r="K253" t="s">
        <v>42</v>
      </c>
      <c r="L253" t="s">
        <v>667</v>
      </c>
      <c r="M253" t="s">
        <v>63</v>
      </c>
      <c r="N253" t="s">
        <v>45</v>
      </c>
      <c r="O253" t="s">
        <v>137</v>
      </c>
      <c r="P253" t="s">
        <v>138</v>
      </c>
      <c r="Q253" t="s">
        <v>139</v>
      </c>
      <c r="R253" t="s">
        <v>84</v>
      </c>
      <c r="S253">
        <v>1</v>
      </c>
      <c r="T253" s="14">
        <v>71.64</v>
      </c>
      <c r="U253" s="7">
        <v>12</v>
      </c>
      <c r="V253" s="7">
        <v>22</v>
      </c>
      <c r="W253" s="14">
        <v>105.64</v>
      </c>
      <c r="X253" s="14">
        <v>238.8</v>
      </c>
      <c r="Y253" s="16">
        <v>10</v>
      </c>
      <c r="Z253" s="12">
        <v>214.92</v>
      </c>
      <c r="AA253" s="5">
        <v>109.28</v>
      </c>
      <c r="AB253" s="18">
        <v>50.85</v>
      </c>
      <c r="AC253" t="s">
        <v>111</v>
      </c>
      <c r="AD253" t="s">
        <v>51</v>
      </c>
      <c r="AE253" t="s">
        <v>96</v>
      </c>
      <c r="AF253">
        <v>5</v>
      </c>
      <c r="AG253" t="s">
        <v>53</v>
      </c>
    </row>
    <row r="254" spans="1:33">
      <c r="A254" t="s">
        <v>668</v>
      </c>
      <c r="B254" s="10">
        <v>45917</v>
      </c>
      <c r="C254" s="3" t="s">
        <v>128</v>
      </c>
      <c r="D254" t="s">
        <v>129</v>
      </c>
      <c r="E254" t="s">
        <v>72</v>
      </c>
      <c r="F254" t="s">
        <v>73</v>
      </c>
      <c r="G254" t="s">
        <v>74</v>
      </c>
      <c r="H254" t="s">
        <v>133</v>
      </c>
      <c r="I254" t="s">
        <v>134</v>
      </c>
      <c r="J254" t="s">
        <v>135</v>
      </c>
      <c r="K254" t="s">
        <v>42</v>
      </c>
      <c r="L254" t="s">
        <v>669</v>
      </c>
      <c r="M254" t="s">
        <v>63</v>
      </c>
      <c r="N254" t="s">
        <v>81</v>
      </c>
      <c r="O254" t="s">
        <v>137</v>
      </c>
      <c r="P254" t="s">
        <v>138</v>
      </c>
      <c r="Q254" t="s">
        <v>139</v>
      </c>
      <c r="R254" t="s">
        <v>67</v>
      </c>
      <c r="S254">
        <v>1</v>
      </c>
      <c r="T254" s="14">
        <v>59.7</v>
      </c>
      <c r="U254" s="7">
        <v>12</v>
      </c>
      <c r="V254" s="7">
        <v>22</v>
      </c>
      <c r="W254" s="14">
        <v>93.7</v>
      </c>
      <c r="X254" s="14">
        <v>199</v>
      </c>
      <c r="Y254" s="16">
        <v>5</v>
      </c>
      <c r="Z254" s="12">
        <v>189.05</v>
      </c>
      <c r="AA254" s="5">
        <v>95.35</v>
      </c>
      <c r="AB254" s="18">
        <v>50.44</v>
      </c>
      <c r="AC254" t="s">
        <v>50</v>
      </c>
      <c r="AD254" t="s">
        <v>86</v>
      </c>
      <c r="AE254" t="s">
        <v>105</v>
      </c>
      <c r="AF254">
        <v>5</v>
      </c>
      <c r="AG254" t="s">
        <v>53</v>
      </c>
    </row>
    <row r="255" spans="1:33">
      <c r="A255" t="s">
        <v>670</v>
      </c>
      <c r="B255" s="10">
        <v>45985</v>
      </c>
      <c r="C255" s="3" t="s">
        <v>179</v>
      </c>
      <c r="D255" t="s">
        <v>206</v>
      </c>
      <c r="E255" t="s">
        <v>57</v>
      </c>
      <c r="F255" t="s">
        <v>37</v>
      </c>
      <c r="G255" t="s">
        <v>38</v>
      </c>
      <c r="H255" t="s">
        <v>142</v>
      </c>
      <c r="I255" t="s">
        <v>143</v>
      </c>
      <c r="J255" t="s">
        <v>144</v>
      </c>
      <c r="K255" t="s">
        <v>145</v>
      </c>
      <c r="L255" t="s">
        <v>671</v>
      </c>
      <c r="M255" t="s">
        <v>63</v>
      </c>
      <c r="N255" t="s">
        <v>45</v>
      </c>
      <c r="O255" t="s">
        <v>101</v>
      </c>
      <c r="P255" t="s">
        <v>102</v>
      </c>
      <c r="Q255" t="s">
        <v>103</v>
      </c>
      <c r="R255" t="s">
        <v>84</v>
      </c>
      <c r="S255">
        <v>1</v>
      </c>
      <c r="T255" s="14">
        <v>53.64</v>
      </c>
      <c r="U255" s="7">
        <v>12</v>
      </c>
      <c r="V255" s="7">
        <v>22</v>
      </c>
      <c r="W255" s="14">
        <v>87.64</v>
      </c>
      <c r="X255" s="14">
        <v>178.8</v>
      </c>
      <c r="Y255" s="16">
        <v>10</v>
      </c>
      <c r="Z255" s="12">
        <v>160.91999999999999</v>
      </c>
      <c r="AA255" s="5">
        <v>73.28</v>
      </c>
      <c r="AB255" s="18">
        <v>45.54</v>
      </c>
      <c r="AC255" t="s">
        <v>104</v>
      </c>
      <c r="AD255" t="s">
        <v>86</v>
      </c>
      <c r="AE255" t="s">
        <v>126</v>
      </c>
      <c r="AF255">
        <v>5</v>
      </c>
      <c r="AG255" t="s">
        <v>53</v>
      </c>
    </row>
    <row r="256" spans="1:33">
      <c r="A256" t="s">
        <v>672</v>
      </c>
      <c r="B256" s="10">
        <v>46020</v>
      </c>
      <c r="C256" s="3" t="s">
        <v>88</v>
      </c>
      <c r="D256" t="s">
        <v>206</v>
      </c>
      <c r="E256" t="s">
        <v>149</v>
      </c>
      <c r="F256" t="s">
        <v>37</v>
      </c>
      <c r="G256" t="s">
        <v>92</v>
      </c>
      <c r="H256" t="s">
        <v>142</v>
      </c>
      <c r="I256" t="s">
        <v>143</v>
      </c>
      <c r="J256" t="s">
        <v>144</v>
      </c>
      <c r="K256" t="s">
        <v>145</v>
      </c>
      <c r="L256" t="s">
        <v>673</v>
      </c>
      <c r="M256" t="s">
        <v>44</v>
      </c>
      <c r="N256" t="s">
        <v>45</v>
      </c>
      <c r="O256" t="s">
        <v>64</v>
      </c>
      <c r="P256" t="s">
        <v>65</v>
      </c>
      <c r="Q256" t="s">
        <v>66</v>
      </c>
      <c r="R256" t="s">
        <v>49</v>
      </c>
      <c r="S256">
        <v>3</v>
      </c>
      <c r="T256" s="14">
        <v>62.58</v>
      </c>
      <c r="U256" s="7">
        <v>12</v>
      </c>
      <c r="V256" s="7">
        <v>22</v>
      </c>
      <c r="W256" s="14">
        <v>96.58</v>
      </c>
      <c r="X256" s="14">
        <v>208.6</v>
      </c>
      <c r="Y256" s="16">
        <v>10</v>
      </c>
      <c r="Z256" s="12">
        <v>563.22</v>
      </c>
      <c r="AA256" s="5">
        <v>273.48</v>
      </c>
      <c r="AB256" s="18">
        <v>48.56</v>
      </c>
      <c r="AC256" t="s">
        <v>50</v>
      </c>
      <c r="AD256" t="s">
        <v>51</v>
      </c>
      <c r="AE256" t="s">
        <v>96</v>
      </c>
      <c r="AF256">
        <v>5</v>
      </c>
      <c r="AG256" t="s">
        <v>53</v>
      </c>
    </row>
    <row r="257" spans="1:33">
      <c r="A257" t="s">
        <v>674</v>
      </c>
      <c r="B257" s="10">
        <v>45985</v>
      </c>
      <c r="C257" s="3" t="s">
        <v>194</v>
      </c>
      <c r="D257" t="s">
        <v>206</v>
      </c>
      <c r="E257" t="s">
        <v>57</v>
      </c>
      <c r="F257" t="s">
        <v>37</v>
      </c>
      <c r="G257" t="s">
        <v>38</v>
      </c>
      <c r="H257" t="s">
        <v>142</v>
      </c>
      <c r="I257" t="s">
        <v>143</v>
      </c>
      <c r="J257" t="s">
        <v>144</v>
      </c>
      <c r="K257" t="s">
        <v>145</v>
      </c>
      <c r="L257" t="s">
        <v>675</v>
      </c>
      <c r="M257" t="s">
        <v>63</v>
      </c>
      <c r="N257" t="s">
        <v>110</v>
      </c>
      <c r="O257" t="s">
        <v>82</v>
      </c>
      <c r="P257" t="s">
        <v>83</v>
      </c>
      <c r="Q257" t="s">
        <v>66</v>
      </c>
      <c r="R257" t="s">
        <v>67</v>
      </c>
      <c r="S257">
        <v>2</v>
      </c>
      <c r="T257" s="14">
        <v>71.7</v>
      </c>
      <c r="U257" s="7">
        <v>12</v>
      </c>
      <c r="V257" s="7">
        <v>22</v>
      </c>
      <c r="W257" s="14">
        <v>105.7</v>
      </c>
      <c r="X257" s="14">
        <v>239</v>
      </c>
      <c r="Y257" s="16">
        <v>10</v>
      </c>
      <c r="Z257" s="12">
        <v>430.2</v>
      </c>
      <c r="AA257" s="5">
        <v>218.8</v>
      </c>
      <c r="AB257" s="18">
        <v>50.86</v>
      </c>
      <c r="AC257" t="s">
        <v>2145</v>
      </c>
      <c r="AD257" t="s">
        <v>86</v>
      </c>
      <c r="AE257" t="s">
        <v>52</v>
      </c>
      <c r="AF257">
        <v>5</v>
      </c>
      <c r="AG257" t="s">
        <v>53</v>
      </c>
    </row>
    <row r="258" spans="1:33">
      <c r="A258" t="s">
        <v>676</v>
      </c>
      <c r="B258" s="10">
        <v>45783</v>
      </c>
      <c r="C258" s="3" t="s">
        <v>141</v>
      </c>
      <c r="D258" t="s">
        <v>156</v>
      </c>
      <c r="E258" t="s">
        <v>130</v>
      </c>
      <c r="F258" t="s">
        <v>131</v>
      </c>
      <c r="G258" t="s">
        <v>132</v>
      </c>
      <c r="H258" t="s">
        <v>133</v>
      </c>
      <c r="I258" t="s">
        <v>134</v>
      </c>
      <c r="J258" t="s">
        <v>135</v>
      </c>
      <c r="K258" t="s">
        <v>42</v>
      </c>
      <c r="L258" t="s">
        <v>677</v>
      </c>
      <c r="M258" t="s">
        <v>63</v>
      </c>
      <c r="N258" t="s">
        <v>110</v>
      </c>
      <c r="O258" t="s">
        <v>137</v>
      </c>
      <c r="P258" t="s">
        <v>138</v>
      </c>
      <c r="Q258" t="s">
        <v>139</v>
      </c>
      <c r="R258" t="s">
        <v>84</v>
      </c>
      <c r="S258">
        <v>3</v>
      </c>
      <c r="T258" s="14">
        <v>71.64</v>
      </c>
      <c r="U258" s="7">
        <v>12</v>
      </c>
      <c r="V258" s="7">
        <v>22</v>
      </c>
      <c r="W258" s="14">
        <v>105.64</v>
      </c>
      <c r="X258" s="14">
        <v>238.8</v>
      </c>
      <c r="Y258" s="16">
        <v>0</v>
      </c>
      <c r="Z258" s="12">
        <v>716.4</v>
      </c>
      <c r="AA258" s="5">
        <v>399.48</v>
      </c>
      <c r="AB258" s="18">
        <v>55.76</v>
      </c>
      <c r="AC258" t="s">
        <v>104</v>
      </c>
      <c r="AD258" t="s">
        <v>86</v>
      </c>
      <c r="AE258" t="s">
        <v>52</v>
      </c>
      <c r="AF258">
        <v>5</v>
      </c>
      <c r="AG258" t="s">
        <v>53</v>
      </c>
    </row>
    <row r="259" spans="1:33">
      <c r="A259" t="s">
        <v>678</v>
      </c>
      <c r="B259" s="10">
        <v>45717</v>
      </c>
      <c r="C259" s="3" t="s">
        <v>194</v>
      </c>
      <c r="D259" t="s">
        <v>71</v>
      </c>
      <c r="E259" t="s">
        <v>108</v>
      </c>
      <c r="F259" t="s">
        <v>91</v>
      </c>
      <c r="G259" t="s">
        <v>38</v>
      </c>
      <c r="H259" t="s">
        <v>58</v>
      </c>
      <c r="I259" t="s">
        <v>59</v>
      </c>
      <c r="J259" t="s">
        <v>60</v>
      </c>
      <c r="K259" t="s">
        <v>61</v>
      </c>
      <c r="L259" t="s">
        <v>679</v>
      </c>
      <c r="M259" t="s">
        <v>44</v>
      </c>
      <c r="N259" t="s">
        <v>45</v>
      </c>
      <c r="O259" t="s">
        <v>101</v>
      </c>
      <c r="P259" t="s">
        <v>102</v>
      </c>
      <c r="Q259" t="s">
        <v>103</v>
      </c>
      <c r="R259" t="s">
        <v>67</v>
      </c>
      <c r="S259">
        <v>3</v>
      </c>
      <c r="T259" s="14">
        <v>44.7</v>
      </c>
      <c r="U259" s="7">
        <v>12</v>
      </c>
      <c r="V259" s="7">
        <v>22</v>
      </c>
      <c r="W259" s="14">
        <v>78.7</v>
      </c>
      <c r="X259" s="14">
        <v>149</v>
      </c>
      <c r="Y259" s="16">
        <v>10</v>
      </c>
      <c r="Z259" s="12">
        <v>402.3</v>
      </c>
      <c r="AA259" s="5">
        <v>166.2</v>
      </c>
      <c r="AB259" s="18">
        <v>41.31</v>
      </c>
      <c r="AC259" t="s">
        <v>111</v>
      </c>
      <c r="AD259" t="s">
        <v>86</v>
      </c>
      <c r="AE259" t="s">
        <v>96</v>
      </c>
      <c r="AF259">
        <v>5</v>
      </c>
      <c r="AG259" t="s">
        <v>53</v>
      </c>
    </row>
    <row r="260" spans="1:33">
      <c r="A260" t="s">
        <v>680</v>
      </c>
      <c r="B260" s="10">
        <v>45926</v>
      </c>
      <c r="C260" s="3" t="s">
        <v>113</v>
      </c>
      <c r="D260" t="s">
        <v>35</v>
      </c>
      <c r="E260" t="s">
        <v>72</v>
      </c>
      <c r="F260" t="s">
        <v>73</v>
      </c>
      <c r="G260" t="s">
        <v>74</v>
      </c>
      <c r="H260" t="s">
        <v>39</v>
      </c>
      <c r="I260" t="s">
        <v>2143</v>
      </c>
      <c r="J260" t="s">
        <v>41</v>
      </c>
      <c r="K260" t="s">
        <v>42</v>
      </c>
      <c r="L260" t="s">
        <v>681</v>
      </c>
      <c r="M260" t="s">
        <v>80</v>
      </c>
      <c r="N260" t="s">
        <v>45</v>
      </c>
      <c r="O260" t="s">
        <v>119</v>
      </c>
      <c r="P260" t="s">
        <v>120</v>
      </c>
      <c r="Q260" t="s">
        <v>103</v>
      </c>
      <c r="R260" t="s">
        <v>49</v>
      </c>
      <c r="S260">
        <v>1</v>
      </c>
      <c r="T260" s="14">
        <v>54.18</v>
      </c>
      <c r="U260" s="7">
        <v>12</v>
      </c>
      <c r="V260" s="7">
        <v>22</v>
      </c>
      <c r="W260" s="14">
        <v>88.18</v>
      </c>
      <c r="X260" s="14">
        <v>180.6</v>
      </c>
      <c r="Y260" s="16">
        <v>5</v>
      </c>
      <c r="Z260" s="12">
        <v>171.57</v>
      </c>
      <c r="AA260" s="5">
        <v>83.39</v>
      </c>
      <c r="AB260" s="18">
        <v>48.6</v>
      </c>
      <c r="AC260" t="s">
        <v>104</v>
      </c>
      <c r="AD260" t="s">
        <v>86</v>
      </c>
      <c r="AE260" t="s">
        <v>96</v>
      </c>
      <c r="AF260">
        <v>5</v>
      </c>
      <c r="AG260" t="s">
        <v>53</v>
      </c>
    </row>
    <row r="261" spans="1:33">
      <c r="A261" t="s">
        <v>682</v>
      </c>
      <c r="B261" s="10">
        <v>45913</v>
      </c>
      <c r="C261" s="3" t="s">
        <v>199</v>
      </c>
      <c r="D261" t="s">
        <v>71</v>
      </c>
      <c r="E261" t="s">
        <v>72</v>
      </c>
      <c r="F261" t="s">
        <v>73</v>
      </c>
      <c r="G261" t="s">
        <v>74</v>
      </c>
      <c r="H261" t="s">
        <v>115</v>
      </c>
      <c r="I261" t="s">
        <v>116</v>
      </c>
      <c r="J261" t="s">
        <v>117</v>
      </c>
      <c r="K261" t="s">
        <v>61</v>
      </c>
      <c r="L261" t="s">
        <v>683</v>
      </c>
      <c r="M261" t="s">
        <v>44</v>
      </c>
      <c r="N261" t="s">
        <v>45</v>
      </c>
      <c r="O261" t="s">
        <v>46</v>
      </c>
      <c r="P261" t="s">
        <v>47</v>
      </c>
      <c r="Q261" t="s">
        <v>48</v>
      </c>
      <c r="R261" t="s">
        <v>49</v>
      </c>
      <c r="S261">
        <v>1</v>
      </c>
      <c r="T261" s="14">
        <v>108.78</v>
      </c>
      <c r="U261" s="7">
        <v>12</v>
      </c>
      <c r="V261" s="7">
        <v>22</v>
      </c>
      <c r="W261" s="14">
        <v>142.78</v>
      </c>
      <c r="X261" s="14">
        <v>362.6</v>
      </c>
      <c r="Y261" s="16">
        <v>15</v>
      </c>
      <c r="Z261" s="12">
        <v>308.20999999999998</v>
      </c>
      <c r="AA261" s="5">
        <v>165.43</v>
      </c>
      <c r="AB261" s="18">
        <v>53.67</v>
      </c>
      <c r="AC261" t="s">
        <v>85</v>
      </c>
      <c r="AD261" t="s">
        <v>51</v>
      </c>
      <c r="AE261" t="s">
        <v>52</v>
      </c>
      <c r="AF261">
        <v>5</v>
      </c>
      <c r="AG261" t="s">
        <v>53</v>
      </c>
    </row>
    <row r="262" spans="1:33">
      <c r="A262" t="s">
        <v>684</v>
      </c>
      <c r="B262" s="10">
        <v>45930</v>
      </c>
      <c r="C262" s="3" t="s">
        <v>70</v>
      </c>
      <c r="D262" t="s">
        <v>156</v>
      </c>
      <c r="E262" t="s">
        <v>72</v>
      </c>
      <c r="F262" t="s">
        <v>73</v>
      </c>
      <c r="G262" t="s">
        <v>74</v>
      </c>
      <c r="H262" t="s">
        <v>142</v>
      </c>
      <c r="I262" t="s">
        <v>143</v>
      </c>
      <c r="J262" t="s">
        <v>144</v>
      </c>
      <c r="K262" t="s">
        <v>145</v>
      </c>
      <c r="L262" t="s">
        <v>685</v>
      </c>
      <c r="M262" t="s">
        <v>63</v>
      </c>
      <c r="N262" t="s">
        <v>110</v>
      </c>
      <c r="O262" t="s">
        <v>64</v>
      </c>
      <c r="P262" t="s">
        <v>65</v>
      </c>
      <c r="Q262" t="s">
        <v>66</v>
      </c>
      <c r="R262" t="s">
        <v>49</v>
      </c>
      <c r="S262">
        <v>2</v>
      </c>
      <c r="T262" s="14">
        <v>62.58</v>
      </c>
      <c r="U262" s="7">
        <v>12</v>
      </c>
      <c r="V262" s="7">
        <v>22</v>
      </c>
      <c r="W262" s="14">
        <v>96.58</v>
      </c>
      <c r="X262" s="14">
        <v>208.6</v>
      </c>
      <c r="Y262" s="16">
        <v>5</v>
      </c>
      <c r="Z262" s="12">
        <v>396.34</v>
      </c>
      <c r="AA262" s="5">
        <v>203.18</v>
      </c>
      <c r="AB262" s="18">
        <v>51.26</v>
      </c>
      <c r="AC262" t="s">
        <v>50</v>
      </c>
      <c r="AD262" t="s">
        <v>51</v>
      </c>
      <c r="AE262" t="s">
        <v>52</v>
      </c>
      <c r="AF262">
        <v>5</v>
      </c>
      <c r="AG262" t="s">
        <v>53</v>
      </c>
    </row>
    <row r="263" spans="1:33">
      <c r="A263" t="s">
        <v>686</v>
      </c>
      <c r="B263" s="10">
        <v>45940</v>
      </c>
      <c r="C263" s="3" t="s">
        <v>307</v>
      </c>
      <c r="D263" t="s">
        <v>35</v>
      </c>
      <c r="E263" t="s">
        <v>36</v>
      </c>
      <c r="F263" t="s">
        <v>37</v>
      </c>
      <c r="G263" t="s">
        <v>38</v>
      </c>
      <c r="H263" t="s">
        <v>39</v>
      </c>
      <c r="I263" t="s">
        <v>2143</v>
      </c>
      <c r="J263" t="s">
        <v>41</v>
      </c>
      <c r="K263" t="s">
        <v>42</v>
      </c>
      <c r="L263" t="s">
        <v>687</v>
      </c>
      <c r="M263" t="s">
        <v>80</v>
      </c>
      <c r="N263" t="s">
        <v>81</v>
      </c>
      <c r="O263" t="s">
        <v>162</v>
      </c>
      <c r="P263" t="s">
        <v>163</v>
      </c>
      <c r="Q263" t="s">
        <v>48</v>
      </c>
      <c r="R263" t="s">
        <v>67</v>
      </c>
      <c r="S263">
        <v>1</v>
      </c>
      <c r="T263" s="14">
        <v>74.7</v>
      </c>
      <c r="U263" s="7">
        <v>12</v>
      </c>
      <c r="V263" s="7">
        <v>22</v>
      </c>
      <c r="W263" s="14">
        <v>108.7</v>
      </c>
      <c r="X263" s="14">
        <v>249</v>
      </c>
      <c r="Y263" s="16">
        <v>0</v>
      </c>
      <c r="Z263" s="12">
        <v>249</v>
      </c>
      <c r="AA263" s="5">
        <v>140.30000000000001</v>
      </c>
      <c r="AB263" s="18">
        <v>56.35</v>
      </c>
      <c r="AC263" t="s">
        <v>85</v>
      </c>
      <c r="AD263" t="s">
        <v>51</v>
      </c>
      <c r="AE263" t="s">
        <v>68</v>
      </c>
      <c r="AF263">
        <v>5</v>
      </c>
      <c r="AG263" t="s">
        <v>53</v>
      </c>
    </row>
    <row r="264" spans="1:33">
      <c r="A264" t="s">
        <v>688</v>
      </c>
      <c r="B264" s="10">
        <v>45995</v>
      </c>
      <c r="C264" s="3" t="s">
        <v>211</v>
      </c>
      <c r="D264" t="s">
        <v>56</v>
      </c>
      <c r="E264" t="s">
        <v>149</v>
      </c>
      <c r="F264" t="s">
        <v>37</v>
      </c>
      <c r="G264" t="s">
        <v>92</v>
      </c>
      <c r="H264" t="s">
        <v>133</v>
      </c>
      <c r="I264" t="s">
        <v>134</v>
      </c>
      <c r="J264" t="s">
        <v>135</v>
      </c>
      <c r="K264" t="s">
        <v>42</v>
      </c>
      <c r="L264" t="s">
        <v>689</v>
      </c>
      <c r="M264" t="s">
        <v>44</v>
      </c>
      <c r="N264" t="s">
        <v>81</v>
      </c>
      <c r="O264" t="s">
        <v>82</v>
      </c>
      <c r="P264" t="s">
        <v>83</v>
      </c>
      <c r="Q264" t="s">
        <v>66</v>
      </c>
      <c r="R264" t="s">
        <v>49</v>
      </c>
      <c r="S264">
        <v>2</v>
      </c>
      <c r="T264" s="14">
        <v>100.38</v>
      </c>
      <c r="U264" s="7">
        <v>12</v>
      </c>
      <c r="V264" s="7">
        <v>22</v>
      </c>
      <c r="W264" s="14">
        <v>134.38</v>
      </c>
      <c r="X264" s="14">
        <v>334.6</v>
      </c>
      <c r="Y264" s="16">
        <v>0</v>
      </c>
      <c r="Z264" s="12">
        <v>669.2</v>
      </c>
      <c r="AA264" s="5">
        <v>400.44</v>
      </c>
      <c r="AB264" s="18">
        <v>59.84</v>
      </c>
      <c r="AC264" t="s">
        <v>111</v>
      </c>
      <c r="AD264" t="s">
        <v>86</v>
      </c>
      <c r="AE264" t="s">
        <v>126</v>
      </c>
      <c r="AF264">
        <v>5</v>
      </c>
      <c r="AG264" t="s">
        <v>53</v>
      </c>
    </row>
    <row r="265" spans="1:33">
      <c r="A265" t="s">
        <v>690</v>
      </c>
      <c r="B265" s="10">
        <v>45748</v>
      </c>
      <c r="C265" s="3" t="s">
        <v>107</v>
      </c>
      <c r="D265" t="s">
        <v>156</v>
      </c>
      <c r="E265" t="s">
        <v>280</v>
      </c>
      <c r="F265" t="s">
        <v>131</v>
      </c>
      <c r="G265" t="s">
        <v>132</v>
      </c>
      <c r="H265" t="s">
        <v>133</v>
      </c>
      <c r="I265" t="s">
        <v>134</v>
      </c>
      <c r="J265" t="s">
        <v>135</v>
      </c>
      <c r="K265" t="s">
        <v>42</v>
      </c>
      <c r="L265" t="s">
        <v>691</v>
      </c>
      <c r="M265" t="s">
        <v>44</v>
      </c>
      <c r="N265" t="s">
        <v>45</v>
      </c>
      <c r="O265" t="s">
        <v>94</v>
      </c>
      <c r="P265" t="s">
        <v>95</v>
      </c>
      <c r="Q265" t="s">
        <v>66</v>
      </c>
      <c r="R265" t="s">
        <v>84</v>
      </c>
      <c r="S265">
        <v>2</v>
      </c>
      <c r="T265" s="14">
        <v>78.84</v>
      </c>
      <c r="U265" s="7">
        <v>12</v>
      </c>
      <c r="V265" s="7">
        <v>22</v>
      </c>
      <c r="W265" s="14">
        <v>112.84</v>
      </c>
      <c r="X265" s="14">
        <v>262.8</v>
      </c>
      <c r="Y265" s="16">
        <v>10</v>
      </c>
      <c r="Z265" s="12">
        <v>473.04</v>
      </c>
      <c r="AA265" s="5">
        <v>247.36</v>
      </c>
      <c r="AB265" s="18">
        <v>52.29</v>
      </c>
      <c r="AC265" t="s">
        <v>111</v>
      </c>
      <c r="AD265" t="s">
        <v>158</v>
      </c>
      <c r="AE265" t="s">
        <v>105</v>
      </c>
      <c r="AF265">
        <v>5</v>
      </c>
      <c r="AG265" t="s">
        <v>53</v>
      </c>
    </row>
    <row r="266" spans="1:33">
      <c r="A266" t="s">
        <v>692</v>
      </c>
      <c r="B266" s="10">
        <v>45916</v>
      </c>
      <c r="C266" s="3" t="s">
        <v>128</v>
      </c>
      <c r="D266" t="s">
        <v>156</v>
      </c>
      <c r="E266" t="s">
        <v>72</v>
      </c>
      <c r="F266" t="s">
        <v>73</v>
      </c>
      <c r="G266" t="s">
        <v>74</v>
      </c>
      <c r="H266" t="s">
        <v>133</v>
      </c>
      <c r="I266" t="s">
        <v>134</v>
      </c>
      <c r="J266" t="s">
        <v>135</v>
      </c>
      <c r="K266" t="s">
        <v>42</v>
      </c>
      <c r="L266" t="s">
        <v>693</v>
      </c>
      <c r="M266" t="s">
        <v>44</v>
      </c>
      <c r="N266" t="s">
        <v>45</v>
      </c>
      <c r="O266" t="s">
        <v>119</v>
      </c>
      <c r="P266" t="s">
        <v>120</v>
      </c>
      <c r="Q266" t="s">
        <v>103</v>
      </c>
      <c r="R266" t="s">
        <v>67</v>
      </c>
      <c r="S266">
        <v>1</v>
      </c>
      <c r="T266" s="14">
        <v>38.700000000000003</v>
      </c>
      <c r="U266" s="7">
        <v>12</v>
      </c>
      <c r="V266" s="7">
        <v>22</v>
      </c>
      <c r="W266" s="14">
        <v>72.7</v>
      </c>
      <c r="X266" s="14">
        <v>129</v>
      </c>
      <c r="Y266" s="16">
        <v>0</v>
      </c>
      <c r="Z266" s="12">
        <v>129</v>
      </c>
      <c r="AA266" s="5">
        <v>56.3</v>
      </c>
      <c r="AB266" s="18">
        <v>43.64</v>
      </c>
      <c r="AC266" t="s">
        <v>104</v>
      </c>
      <c r="AD266" t="s">
        <v>51</v>
      </c>
      <c r="AE266" t="s">
        <v>105</v>
      </c>
      <c r="AF266">
        <v>5</v>
      </c>
      <c r="AG266" t="s">
        <v>53</v>
      </c>
    </row>
    <row r="267" spans="1:33">
      <c r="A267" t="s">
        <v>694</v>
      </c>
      <c r="B267" s="10">
        <v>46002</v>
      </c>
      <c r="C267" s="3" t="s">
        <v>98</v>
      </c>
      <c r="D267" t="s">
        <v>56</v>
      </c>
      <c r="E267" t="s">
        <v>149</v>
      </c>
      <c r="F267" t="s">
        <v>37</v>
      </c>
      <c r="G267" t="s">
        <v>92</v>
      </c>
      <c r="H267" t="s">
        <v>115</v>
      </c>
      <c r="I267" t="s">
        <v>116</v>
      </c>
      <c r="J267" t="s">
        <v>117</v>
      </c>
      <c r="K267" t="s">
        <v>61</v>
      </c>
      <c r="L267" t="s">
        <v>695</v>
      </c>
      <c r="M267" t="s">
        <v>44</v>
      </c>
      <c r="N267" t="s">
        <v>110</v>
      </c>
      <c r="O267" t="s">
        <v>94</v>
      </c>
      <c r="P267" t="s">
        <v>95</v>
      </c>
      <c r="Q267" t="s">
        <v>66</v>
      </c>
      <c r="R267" t="s">
        <v>67</v>
      </c>
      <c r="S267">
        <v>3</v>
      </c>
      <c r="T267" s="14">
        <v>65.7</v>
      </c>
      <c r="U267" s="7">
        <v>12</v>
      </c>
      <c r="V267" s="7">
        <v>22</v>
      </c>
      <c r="W267" s="14">
        <v>99.7</v>
      </c>
      <c r="X267" s="14">
        <v>219</v>
      </c>
      <c r="Y267" s="16">
        <v>5</v>
      </c>
      <c r="Z267" s="12">
        <v>624.15</v>
      </c>
      <c r="AA267" s="5">
        <v>325.05</v>
      </c>
      <c r="AB267" s="18">
        <v>52.08</v>
      </c>
      <c r="AC267" t="s">
        <v>85</v>
      </c>
      <c r="AD267" t="s">
        <v>86</v>
      </c>
      <c r="AE267" t="s">
        <v>96</v>
      </c>
      <c r="AF267">
        <v>5</v>
      </c>
      <c r="AG267" t="s">
        <v>53</v>
      </c>
    </row>
    <row r="268" spans="1:33">
      <c r="A268" t="s">
        <v>696</v>
      </c>
      <c r="B268" s="10">
        <v>45846</v>
      </c>
      <c r="C268" s="3" t="s">
        <v>34</v>
      </c>
      <c r="D268" t="s">
        <v>156</v>
      </c>
      <c r="E268" t="s">
        <v>114</v>
      </c>
      <c r="F268" t="s">
        <v>73</v>
      </c>
      <c r="G268" t="s">
        <v>74</v>
      </c>
      <c r="H268" t="s">
        <v>58</v>
      </c>
      <c r="I268" t="s">
        <v>59</v>
      </c>
      <c r="J268" t="s">
        <v>60</v>
      </c>
      <c r="K268" t="s">
        <v>61</v>
      </c>
      <c r="L268" t="s">
        <v>697</v>
      </c>
      <c r="M268" t="s">
        <v>63</v>
      </c>
      <c r="N268" t="s">
        <v>110</v>
      </c>
      <c r="O268" t="s">
        <v>46</v>
      </c>
      <c r="P268" t="s">
        <v>47</v>
      </c>
      <c r="Q268" t="s">
        <v>48</v>
      </c>
      <c r="R268" t="s">
        <v>84</v>
      </c>
      <c r="S268">
        <v>1</v>
      </c>
      <c r="T268" s="14">
        <v>93.24</v>
      </c>
      <c r="U268" s="7">
        <v>12</v>
      </c>
      <c r="V268" s="7">
        <v>22</v>
      </c>
      <c r="W268" s="14">
        <v>127.24</v>
      </c>
      <c r="X268" s="14">
        <v>310.8</v>
      </c>
      <c r="Y268" s="16">
        <v>5</v>
      </c>
      <c r="Z268" s="12">
        <v>295.26</v>
      </c>
      <c r="AA268" s="5">
        <v>168.02</v>
      </c>
      <c r="AB268" s="18">
        <v>56.91</v>
      </c>
      <c r="AC268" t="s">
        <v>85</v>
      </c>
      <c r="AD268" t="s">
        <v>158</v>
      </c>
      <c r="AE268" t="s">
        <v>105</v>
      </c>
      <c r="AF268">
        <v>5</v>
      </c>
      <c r="AG268" t="s">
        <v>53</v>
      </c>
    </row>
    <row r="269" spans="1:33">
      <c r="A269" t="s">
        <v>698</v>
      </c>
      <c r="B269" s="10">
        <v>45812</v>
      </c>
      <c r="C269" s="3" t="s">
        <v>34</v>
      </c>
      <c r="D269" t="s">
        <v>129</v>
      </c>
      <c r="E269" t="s">
        <v>174</v>
      </c>
      <c r="F269" t="s">
        <v>131</v>
      </c>
      <c r="G269" t="s">
        <v>132</v>
      </c>
      <c r="H269" t="s">
        <v>115</v>
      </c>
      <c r="I269" t="s">
        <v>116</v>
      </c>
      <c r="J269" t="s">
        <v>117</v>
      </c>
      <c r="K269" t="s">
        <v>61</v>
      </c>
      <c r="L269" t="s">
        <v>699</v>
      </c>
      <c r="M269" t="s">
        <v>63</v>
      </c>
      <c r="N269" t="s">
        <v>81</v>
      </c>
      <c r="O269" t="s">
        <v>275</v>
      </c>
      <c r="P269" t="s">
        <v>276</v>
      </c>
      <c r="Q269" t="s">
        <v>125</v>
      </c>
      <c r="R269" t="s">
        <v>84</v>
      </c>
      <c r="S269">
        <v>2</v>
      </c>
      <c r="T269" s="14">
        <v>82.44</v>
      </c>
      <c r="U269" s="7">
        <v>12</v>
      </c>
      <c r="V269" s="7">
        <v>22</v>
      </c>
      <c r="W269" s="14">
        <v>116.44</v>
      </c>
      <c r="X269" s="14">
        <v>274.8</v>
      </c>
      <c r="Y269" s="16">
        <v>10</v>
      </c>
      <c r="Z269" s="12">
        <v>494.64</v>
      </c>
      <c r="AA269" s="5">
        <v>261.76</v>
      </c>
      <c r="AB269" s="18">
        <v>52.92</v>
      </c>
      <c r="AC269" t="s">
        <v>50</v>
      </c>
      <c r="AD269" t="s">
        <v>86</v>
      </c>
      <c r="AE269" t="s">
        <v>105</v>
      </c>
      <c r="AF269">
        <v>4</v>
      </c>
      <c r="AG269" t="s">
        <v>53</v>
      </c>
    </row>
    <row r="270" spans="1:33">
      <c r="A270" t="s">
        <v>700</v>
      </c>
      <c r="B270" s="10">
        <v>45983</v>
      </c>
      <c r="C270" s="3" t="s">
        <v>113</v>
      </c>
      <c r="D270" t="s">
        <v>71</v>
      </c>
      <c r="E270" t="s">
        <v>57</v>
      </c>
      <c r="F270" t="s">
        <v>37</v>
      </c>
      <c r="G270" t="s">
        <v>38</v>
      </c>
      <c r="H270" t="s">
        <v>115</v>
      </c>
      <c r="I270" t="s">
        <v>116</v>
      </c>
      <c r="J270" t="s">
        <v>117</v>
      </c>
      <c r="K270" t="s">
        <v>61</v>
      </c>
      <c r="L270" t="s">
        <v>701</v>
      </c>
      <c r="M270" t="s">
        <v>44</v>
      </c>
      <c r="N270" t="s">
        <v>45</v>
      </c>
      <c r="O270" t="s">
        <v>452</v>
      </c>
      <c r="P270" t="s">
        <v>453</v>
      </c>
      <c r="Q270" t="s">
        <v>215</v>
      </c>
      <c r="R270" t="s">
        <v>49</v>
      </c>
      <c r="S270">
        <v>2</v>
      </c>
      <c r="T270" s="14">
        <v>138.18</v>
      </c>
      <c r="U270" s="7">
        <v>12</v>
      </c>
      <c r="V270" s="7">
        <v>22</v>
      </c>
      <c r="W270" s="14">
        <v>172.18</v>
      </c>
      <c r="X270" s="14">
        <v>460.6</v>
      </c>
      <c r="Y270" s="16">
        <v>10</v>
      </c>
      <c r="Z270" s="12">
        <v>829.08</v>
      </c>
      <c r="AA270" s="5">
        <v>484.72</v>
      </c>
      <c r="AB270" s="18">
        <v>58.46</v>
      </c>
      <c r="AC270" t="s">
        <v>111</v>
      </c>
      <c r="AD270" t="s">
        <v>86</v>
      </c>
      <c r="AE270" t="s">
        <v>126</v>
      </c>
      <c r="AF270">
        <v>5</v>
      </c>
      <c r="AG270" t="s">
        <v>53</v>
      </c>
    </row>
    <row r="271" spans="1:33">
      <c r="A271" t="s">
        <v>702</v>
      </c>
      <c r="B271" s="10">
        <v>45808</v>
      </c>
      <c r="C271" s="3" t="s">
        <v>55</v>
      </c>
      <c r="D271" t="s">
        <v>71</v>
      </c>
      <c r="E271" t="s">
        <v>130</v>
      </c>
      <c r="F271" t="s">
        <v>131</v>
      </c>
      <c r="G271" t="s">
        <v>132</v>
      </c>
      <c r="H271" t="s">
        <v>58</v>
      </c>
      <c r="I271" t="s">
        <v>59</v>
      </c>
      <c r="J271" t="s">
        <v>60</v>
      </c>
      <c r="K271" t="s">
        <v>61</v>
      </c>
      <c r="L271" t="s">
        <v>703</v>
      </c>
      <c r="M271" t="s">
        <v>44</v>
      </c>
      <c r="N271" t="s">
        <v>45</v>
      </c>
      <c r="O271" t="s">
        <v>452</v>
      </c>
      <c r="P271" t="s">
        <v>453</v>
      </c>
      <c r="Q271" t="s">
        <v>215</v>
      </c>
      <c r="R271" t="s">
        <v>67</v>
      </c>
      <c r="S271">
        <v>2</v>
      </c>
      <c r="T271" s="14">
        <v>98.7</v>
      </c>
      <c r="U271" s="7">
        <v>12</v>
      </c>
      <c r="V271" s="7">
        <v>22</v>
      </c>
      <c r="W271" s="14">
        <v>132.69999999999999</v>
      </c>
      <c r="X271" s="14">
        <v>329</v>
      </c>
      <c r="Y271" s="16">
        <v>10</v>
      </c>
      <c r="Z271" s="12">
        <v>592.20000000000005</v>
      </c>
      <c r="AA271" s="5">
        <v>326.8</v>
      </c>
      <c r="AB271" s="18">
        <v>55.18</v>
      </c>
      <c r="AC271" t="s">
        <v>104</v>
      </c>
      <c r="AD271" t="s">
        <v>51</v>
      </c>
      <c r="AE271" t="s">
        <v>126</v>
      </c>
      <c r="AF271">
        <v>5</v>
      </c>
      <c r="AG271" t="s">
        <v>53</v>
      </c>
    </row>
    <row r="272" spans="1:33">
      <c r="A272" t="s">
        <v>704</v>
      </c>
      <c r="B272" s="10">
        <v>45695</v>
      </c>
      <c r="C272" s="3" t="s">
        <v>182</v>
      </c>
      <c r="D272" t="s">
        <v>35</v>
      </c>
      <c r="E272" t="s">
        <v>90</v>
      </c>
      <c r="F272" t="s">
        <v>91</v>
      </c>
      <c r="G272" t="s">
        <v>92</v>
      </c>
      <c r="H272" t="s">
        <v>58</v>
      </c>
      <c r="I272" t="s">
        <v>59</v>
      </c>
      <c r="J272" t="s">
        <v>60</v>
      </c>
      <c r="K272" t="s">
        <v>61</v>
      </c>
      <c r="L272" t="s">
        <v>705</v>
      </c>
      <c r="M272" t="s">
        <v>80</v>
      </c>
      <c r="N272" t="s">
        <v>110</v>
      </c>
      <c r="O272" t="s">
        <v>123</v>
      </c>
      <c r="P272" t="s">
        <v>124</v>
      </c>
      <c r="Q272" t="s">
        <v>125</v>
      </c>
      <c r="R272" t="s">
        <v>49</v>
      </c>
      <c r="S272">
        <v>2</v>
      </c>
      <c r="T272" s="14">
        <v>104.58</v>
      </c>
      <c r="U272" s="7">
        <v>12</v>
      </c>
      <c r="V272" s="7">
        <v>22</v>
      </c>
      <c r="W272" s="14">
        <v>138.58000000000001</v>
      </c>
      <c r="X272" s="14">
        <v>348.6</v>
      </c>
      <c r="Y272" s="16">
        <v>5</v>
      </c>
      <c r="Z272" s="12">
        <v>662.34</v>
      </c>
      <c r="AA272" s="5">
        <v>385.18</v>
      </c>
      <c r="AB272" s="18">
        <v>58.15</v>
      </c>
      <c r="AC272" t="s">
        <v>85</v>
      </c>
      <c r="AD272" t="s">
        <v>86</v>
      </c>
      <c r="AE272" t="s">
        <v>52</v>
      </c>
      <c r="AF272">
        <v>5</v>
      </c>
      <c r="AG272" t="s">
        <v>53</v>
      </c>
    </row>
    <row r="273" spans="1:33">
      <c r="A273" t="s">
        <v>706</v>
      </c>
      <c r="B273" s="10">
        <v>45884</v>
      </c>
      <c r="C273" s="3" t="s">
        <v>182</v>
      </c>
      <c r="D273" t="s">
        <v>35</v>
      </c>
      <c r="E273" t="s">
        <v>99</v>
      </c>
      <c r="F273" t="s">
        <v>73</v>
      </c>
      <c r="G273" t="s">
        <v>74</v>
      </c>
      <c r="H273" t="s">
        <v>142</v>
      </c>
      <c r="I273" t="s">
        <v>143</v>
      </c>
      <c r="J273" t="s">
        <v>144</v>
      </c>
      <c r="K273" t="s">
        <v>145</v>
      </c>
      <c r="L273" t="s">
        <v>707</v>
      </c>
      <c r="M273" t="s">
        <v>63</v>
      </c>
      <c r="N273" t="s">
        <v>110</v>
      </c>
      <c r="O273" t="s">
        <v>189</v>
      </c>
      <c r="P273" t="s">
        <v>190</v>
      </c>
      <c r="Q273" t="s">
        <v>48</v>
      </c>
      <c r="R273" t="s">
        <v>67</v>
      </c>
      <c r="S273">
        <v>3</v>
      </c>
      <c r="T273" s="14">
        <v>47.7</v>
      </c>
      <c r="U273" s="7">
        <v>12</v>
      </c>
      <c r="V273" s="7">
        <v>22</v>
      </c>
      <c r="W273" s="14">
        <v>81.7</v>
      </c>
      <c r="X273" s="14">
        <v>159</v>
      </c>
      <c r="Y273" s="16">
        <v>0</v>
      </c>
      <c r="Z273" s="12">
        <v>477</v>
      </c>
      <c r="AA273" s="5">
        <v>231.9</v>
      </c>
      <c r="AB273" s="18">
        <v>48.62</v>
      </c>
      <c r="AC273" t="s">
        <v>111</v>
      </c>
      <c r="AD273" t="s">
        <v>51</v>
      </c>
      <c r="AE273" t="s">
        <v>52</v>
      </c>
      <c r="AF273">
        <v>3</v>
      </c>
      <c r="AG273" t="s">
        <v>53</v>
      </c>
    </row>
    <row r="274" spans="1:33">
      <c r="A274" t="s">
        <v>708</v>
      </c>
      <c r="B274" s="10">
        <v>45971</v>
      </c>
      <c r="C274" s="3" t="s">
        <v>55</v>
      </c>
      <c r="D274" t="s">
        <v>206</v>
      </c>
      <c r="E274" t="s">
        <v>57</v>
      </c>
      <c r="F274" t="s">
        <v>37</v>
      </c>
      <c r="G274" t="s">
        <v>38</v>
      </c>
      <c r="H274" t="s">
        <v>115</v>
      </c>
      <c r="I274" t="s">
        <v>116</v>
      </c>
      <c r="J274" t="s">
        <v>117</v>
      </c>
      <c r="K274" t="s">
        <v>61</v>
      </c>
      <c r="L274" t="s">
        <v>709</v>
      </c>
      <c r="M274" t="s">
        <v>80</v>
      </c>
      <c r="N274" t="s">
        <v>110</v>
      </c>
      <c r="O274" t="s">
        <v>176</v>
      </c>
      <c r="P274" t="s">
        <v>177</v>
      </c>
      <c r="Q274" t="s">
        <v>66</v>
      </c>
      <c r="R274" t="s">
        <v>84</v>
      </c>
      <c r="S274">
        <v>3</v>
      </c>
      <c r="T274" s="14">
        <v>60.84</v>
      </c>
      <c r="U274" s="7">
        <v>12</v>
      </c>
      <c r="V274" s="7">
        <v>22</v>
      </c>
      <c r="W274" s="14">
        <v>94.84</v>
      </c>
      <c r="X274" s="14">
        <v>202.8</v>
      </c>
      <c r="Y274" s="16">
        <v>0</v>
      </c>
      <c r="Z274" s="12">
        <v>608.4</v>
      </c>
      <c r="AA274" s="5">
        <v>323.88</v>
      </c>
      <c r="AB274" s="18">
        <v>53.23</v>
      </c>
      <c r="AC274" t="s">
        <v>111</v>
      </c>
      <c r="AD274" t="s">
        <v>86</v>
      </c>
      <c r="AE274" t="s">
        <v>105</v>
      </c>
      <c r="AF274">
        <v>4</v>
      </c>
      <c r="AG274" t="s">
        <v>53</v>
      </c>
    </row>
    <row r="275" spans="1:33">
      <c r="A275" t="s">
        <v>710</v>
      </c>
      <c r="B275" s="10">
        <v>46020</v>
      </c>
      <c r="C275" s="3" t="s">
        <v>390</v>
      </c>
      <c r="D275" t="s">
        <v>206</v>
      </c>
      <c r="E275" t="s">
        <v>149</v>
      </c>
      <c r="F275" t="s">
        <v>37</v>
      </c>
      <c r="G275" t="s">
        <v>92</v>
      </c>
      <c r="H275" t="s">
        <v>39</v>
      </c>
      <c r="I275" t="s">
        <v>2143</v>
      </c>
      <c r="J275" t="s">
        <v>41</v>
      </c>
      <c r="K275" t="s">
        <v>42</v>
      </c>
      <c r="L275" t="s">
        <v>711</v>
      </c>
      <c r="M275" t="s">
        <v>63</v>
      </c>
      <c r="N275" t="s">
        <v>45</v>
      </c>
      <c r="O275" t="s">
        <v>123</v>
      </c>
      <c r="P275" t="s">
        <v>124</v>
      </c>
      <c r="Q275" t="s">
        <v>125</v>
      </c>
      <c r="R275" t="s">
        <v>84</v>
      </c>
      <c r="S275">
        <v>2</v>
      </c>
      <c r="T275" s="14">
        <v>89.64</v>
      </c>
      <c r="U275" s="7">
        <v>12</v>
      </c>
      <c r="V275" s="7">
        <v>22</v>
      </c>
      <c r="W275" s="14">
        <v>123.64</v>
      </c>
      <c r="X275" s="14">
        <v>298.8</v>
      </c>
      <c r="Y275" s="16">
        <v>0</v>
      </c>
      <c r="Z275" s="12">
        <v>597.6</v>
      </c>
      <c r="AA275" s="5">
        <v>350.32</v>
      </c>
      <c r="AB275" s="18">
        <v>58.62</v>
      </c>
      <c r="AC275" t="s">
        <v>104</v>
      </c>
      <c r="AD275" t="s">
        <v>86</v>
      </c>
      <c r="AE275" t="s">
        <v>52</v>
      </c>
      <c r="AF275">
        <v>4</v>
      </c>
      <c r="AG275" t="s">
        <v>53</v>
      </c>
    </row>
    <row r="276" spans="1:33">
      <c r="A276" t="s">
        <v>712</v>
      </c>
      <c r="B276" s="10">
        <v>45904</v>
      </c>
      <c r="C276" s="3" t="s">
        <v>194</v>
      </c>
      <c r="D276" t="s">
        <v>56</v>
      </c>
      <c r="E276" t="s">
        <v>72</v>
      </c>
      <c r="F276" t="s">
        <v>73</v>
      </c>
      <c r="G276" t="s">
        <v>74</v>
      </c>
      <c r="H276" t="s">
        <v>142</v>
      </c>
      <c r="I276" t="s">
        <v>143</v>
      </c>
      <c r="J276" t="s">
        <v>144</v>
      </c>
      <c r="K276" t="s">
        <v>145</v>
      </c>
      <c r="L276" t="s">
        <v>713</v>
      </c>
      <c r="M276" t="s">
        <v>44</v>
      </c>
      <c r="N276" t="s">
        <v>81</v>
      </c>
      <c r="O276" t="s">
        <v>176</v>
      </c>
      <c r="P276" t="s">
        <v>177</v>
      </c>
      <c r="Q276" t="s">
        <v>66</v>
      </c>
      <c r="R276" t="s">
        <v>84</v>
      </c>
      <c r="S276">
        <v>1</v>
      </c>
      <c r="T276" s="14">
        <v>60.84</v>
      </c>
      <c r="U276" s="7">
        <v>12</v>
      </c>
      <c r="V276" s="7">
        <v>22</v>
      </c>
      <c r="W276" s="14">
        <v>94.84</v>
      </c>
      <c r="X276" s="14">
        <v>202.8</v>
      </c>
      <c r="Y276" s="16">
        <v>0</v>
      </c>
      <c r="Z276" s="12">
        <v>202.8</v>
      </c>
      <c r="AA276" s="5">
        <v>107.96</v>
      </c>
      <c r="AB276" s="18">
        <v>53.23</v>
      </c>
      <c r="AC276" t="s">
        <v>111</v>
      </c>
      <c r="AD276" t="s">
        <v>86</v>
      </c>
      <c r="AE276" t="s">
        <v>126</v>
      </c>
      <c r="AF276">
        <v>3</v>
      </c>
      <c r="AG276" t="s">
        <v>53</v>
      </c>
    </row>
    <row r="277" spans="1:33">
      <c r="A277" t="s">
        <v>714</v>
      </c>
      <c r="B277" s="10">
        <v>45995</v>
      </c>
      <c r="C277" s="3" t="s">
        <v>155</v>
      </c>
      <c r="D277" t="s">
        <v>56</v>
      </c>
      <c r="E277" t="s">
        <v>149</v>
      </c>
      <c r="F277" t="s">
        <v>37</v>
      </c>
      <c r="G277" t="s">
        <v>92</v>
      </c>
      <c r="H277" t="s">
        <v>115</v>
      </c>
      <c r="I277" t="s">
        <v>116</v>
      </c>
      <c r="J277" t="s">
        <v>117</v>
      </c>
      <c r="K277" t="s">
        <v>61</v>
      </c>
      <c r="L277" t="s">
        <v>715</v>
      </c>
      <c r="M277" t="s">
        <v>80</v>
      </c>
      <c r="N277" t="s">
        <v>110</v>
      </c>
      <c r="O277" t="s">
        <v>101</v>
      </c>
      <c r="P277" t="s">
        <v>102</v>
      </c>
      <c r="Q277" t="s">
        <v>103</v>
      </c>
      <c r="R277" t="s">
        <v>84</v>
      </c>
      <c r="S277">
        <v>3</v>
      </c>
      <c r="T277" s="14">
        <v>53.64</v>
      </c>
      <c r="U277" s="7">
        <v>12</v>
      </c>
      <c r="V277" s="7">
        <v>22</v>
      </c>
      <c r="W277" s="14">
        <v>87.64</v>
      </c>
      <c r="X277" s="14">
        <v>178.8</v>
      </c>
      <c r="Y277" s="16">
        <v>0</v>
      </c>
      <c r="Z277" s="12">
        <v>536.4</v>
      </c>
      <c r="AA277" s="5">
        <v>273.48</v>
      </c>
      <c r="AB277" s="18">
        <v>50.98</v>
      </c>
      <c r="AC277" t="s">
        <v>111</v>
      </c>
      <c r="AD277" t="s">
        <v>158</v>
      </c>
      <c r="AE277" t="s">
        <v>52</v>
      </c>
      <c r="AF277">
        <v>4</v>
      </c>
      <c r="AG277" t="s">
        <v>53</v>
      </c>
    </row>
    <row r="278" spans="1:33">
      <c r="A278" t="s">
        <v>716</v>
      </c>
      <c r="B278" s="10">
        <v>45998</v>
      </c>
      <c r="C278" s="3" t="s">
        <v>179</v>
      </c>
      <c r="D278" t="s">
        <v>89</v>
      </c>
      <c r="E278" t="s">
        <v>149</v>
      </c>
      <c r="F278" t="s">
        <v>37</v>
      </c>
      <c r="G278" t="s">
        <v>92</v>
      </c>
      <c r="H278" t="s">
        <v>39</v>
      </c>
      <c r="I278" t="s">
        <v>2143</v>
      </c>
      <c r="J278" t="s">
        <v>41</v>
      </c>
      <c r="K278" t="s">
        <v>42</v>
      </c>
      <c r="L278" t="s">
        <v>717</v>
      </c>
      <c r="M278" t="s">
        <v>44</v>
      </c>
      <c r="N278" t="s">
        <v>45</v>
      </c>
      <c r="O278" t="s">
        <v>101</v>
      </c>
      <c r="P278" t="s">
        <v>102</v>
      </c>
      <c r="Q278" t="s">
        <v>103</v>
      </c>
      <c r="R278" t="s">
        <v>67</v>
      </c>
      <c r="S278">
        <v>3</v>
      </c>
      <c r="T278" s="14">
        <v>44.7</v>
      </c>
      <c r="U278" s="7">
        <v>12</v>
      </c>
      <c r="V278" s="7">
        <v>22</v>
      </c>
      <c r="W278" s="14">
        <v>78.7</v>
      </c>
      <c r="X278" s="14">
        <v>149</v>
      </c>
      <c r="Y278" s="16">
        <v>10</v>
      </c>
      <c r="Z278" s="12">
        <v>402.3</v>
      </c>
      <c r="AA278" s="5">
        <v>166.2</v>
      </c>
      <c r="AB278" s="18">
        <v>41.31</v>
      </c>
      <c r="AC278" t="s">
        <v>85</v>
      </c>
      <c r="AD278" t="s">
        <v>51</v>
      </c>
      <c r="AE278" t="s">
        <v>126</v>
      </c>
      <c r="AF278">
        <v>5</v>
      </c>
      <c r="AG278" t="s">
        <v>53</v>
      </c>
    </row>
    <row r="279" spans="1:33">
      <c r="A279" t="s">
        <v>718</v>
      </c>
      <c r="B279" s="10">
        <v>45876</v>
      </c>
      <c r="C279" s="3" t="s">
        <v>219</v>
      </c>
      <c r="D279" t="s">
        <v>56</v>
      </c>
      <c r="E279" t="s">
        <v>99</v>
      </c>
      <c r="F279" t="s">
        <v>73</v>
      </c>
      <c r="G279" t="s">
        <v>74</v>
      </c>
      <c r="H279" t="s">
        <v>115</v>
      </c>
      <c r="I279" t="s">
        <v>116</v>
      </c>
      <c r="J279" t="s">
        <v>117</v>
      </c>
      <c r="K279" t="s">
        <v>61</v>
      </c>
      <c r="L279" t="s">
        <v>719</v>
      </c>
      <c r="M279" t="s">
        <v>63</v>
      </c>
      <c r="N279" t="s">
        <v>45</v>
      </c>
      <c r="O279" t="s">
        <v>137</v>
      </c>
      <c r="P279" t="s">
        <v>138</v>
      </c>
      <c r="Q279" t="s">
        <v>139</v>
      </c>
      <c r="R279" t="s">
        <v>49</v>
      </c>
      <c r="S279">
        <v>1</v>
      </c>
      <c r="T279" s="14">
        <v>83.58</v>
      </c>
      <c r="U279" s="7">
        <v>12</v>
      </c>
      <c r="V279" s="7">
        <v>22</v>
      </c>
      <c r="W279" s="14">
        <v>117.58</v>
      </c>
      <c r="X279" s="14">
        <v>278.60000000000002</v>
      </c>
      <c r="Y279" s="16">
        <v>10</v>
      </c>
      <c r="Z279" s="12">
        <v>250.74</v>
      </c>
      <c r="AA279" s="5">
        <v>133.16</v>
      </c>
      <c r="AB279" s="18">
        <v>53.11</v>
      </c>
      <c r="AC279" t="s">
        <v>111</v>
      </c>
      <c r="AD279" t="s">
        <v>86</v>
      </c>
      <c r="AE279" t="s">
        <v>105</v>
      </c>
      <c r="AF279">
        <v>3</v>
      </c>
      <c r="AG279" t="s">
        <v>53</v>
      </c>
    </row>
    <row r="280" spans="1:33">
      <c r="A280" t="s">
        <v>720</v>
      </c>
      <c r="B280" s="10">
        <v>45751</v>
      </c>
      <c r="C280" s="3" t="s">
        <v>70</v>
      </c>
      <c r="D280" t="s">
        <v>35</v>
      </c>
      <c r="E280" t="s">
        <v>280</v>
      </c>
      <c r="F280" t="s">
        <v>131</v>
      </c>
      <c r="G280" t="s">
        <v>132</v>
      </c>
      <c r="H280" t="s">
        <v>115</v>
      </c>
      <c r="I280" t="s">
        <v>116</v>
      </c>
      <c r="J280" t="s">
        <v>117</v>
      </c>
      <c r="K280" t="s">
        <v>61</v>
      </c>
      <c r="L280" t="s">
        <v>721</v>
      </c>
      <c r="M280" t="s">
        <v>63</v>
      </c>
      <c r="N280" t="s">
        <v>81</v>
      </c>
      <c r="O280" t="s">
        <v>176</v>
      </c>
      <c r="P280" t="s">
        <v>177</v>
      </c>
      <c r="Q280" t="s">
        <v>66</v>
      </c>
      <c r="R280" t="s">
        <v>67</v>
      </c>
      <c r="S280">
        <v>1</v>
      </c>
      <c r="T280" s="14">
        <v>50.7</v>
      </c>
      <c r="U280" s="7">
        <v>12</v>
      </c>
      <c r="V280" s="7">
        <v>22</v>
      </c>
      <c r="W280" s="14">
        <v>84.7</v>
      </c>
      <c r="X280" s="14">
        <v>169</v>
      </c>
      <c r="Y280" s="16">
        <v>5</v>
      </c>
      <c r="Z280" s="12">
        <v>160.55000000000001</v>
      </c>
      <c r="AA280" s="5">
        <v>75.849999999999994</v>
      </c>
      <c r="AB280" s="18">
        <v>47.24</v>
      </c>
      <c r="AC280" t="s">
        <v>104</v>
      </c>
      <c r="AD280" t="s">
        <v>51</v>
      </c>
      <c r="AE280" t="s">
        <v>105</v>
      </c>
      <c r="AF280">
        <v>4</v>
      </c>
      <c r="AG280" t="s">
        <v>53</v>
      </c>
    </row>
    <row r="281" spans="1:33">
      <c r="A281" t="s">
        <v>722</v>
      </c>
      <c r="B281" s="10">
        <v>45779</v>
      </c>
      <c r="C281" s="3" t="s">
        <v>219</v>
      </c>
      <c r="D281" t="s">
        <v>35</v>
      </c>
      <c r="E281" t="s">
        <v>130</v>
      </c>
      <c r="F281" t="s">
        <v>131</v>
      </c>
      <c r="G281" t="s">
        <v>132</v>
      </c>
      <c r="H281" t="s">
        <v>39</v>
      </c>
      <c r="I281" t="s">
        <v>2143</v>
      </c>
      <c r="J281" t="s">
        <v>41</v>
      </c>
      <c r="K281" t="s">
        <v>42</v>
      </c>
      <c r="L281" t="s">
        <v>723</v>
      </c>
      <c r="M281" t="s">
        <v>80</v>
      </c>
      <c r="N281" t="s">
        <v>45</v>
      </c>
      <c r="O281" t="s">
        <v>82</v>
      </c>
      <c r="P281" t="s">
        <v>83</v>
      </c>
      <c r="Q281" t="s">
        <v>66</v>
      </c>
      <c r="R281" t="s">
        <v>67</v>
      </c>
      <c r="S281">
        <v>2</v>
      </c>
      <c r="T281" s="14">
        <v>71.7</v>
      </c>
      <c r="U281" s="7">
        <v>12</v>
      </c>
      <c r="V281" s="7">
        <v>22</v>
      </c>
      <c r="W281" s="14">
        <v>105.7</v>
      </c>
      <c r="X281" s="14">
        <v>239</v>
      </c>
      <c r="Y281" s="16">
        <v>5</v>
      </c>
      <c r="Z281" s="12">
        <v>454.1</v>
      </c>
      <c r="AA281" s="5">
        <v>242.7</v>
      </c>
      <c r="AB281" s="18">
        <v>53.45</v>
      </c>
      <c r="AC281" t="s">
        <v>50</v>
      </c>
      <c r="AD281" t="s">
        <v>51</v>
      </c>
      <c r="AE281" t="s">
        <v>105</v>
      </c>
      <c r="AF281">
        <v>4</v>
      </c>
      <c r="AG281" t="s">
        <v>53</v>
      </c>
    </row>
    <row r="282" spans="1:33">
      <c r="A282" t="s">
        <v>724</v>
      </c>
      <c r="B282" s="10">
        <v>45837</v>
      </c>
      <c r="C282" s="3" t="s">
        <v>34</v>
      </c>
      <c r="D282" t="s">
        <v>89</v>
      </c>
      <c r="E282" t="s">
        <v>174</v>
      </c>
      <c r="F282" t="s">
        <v>131</v>
      </c>
      <c r="G282" t="s">
        <v>132</v>
      </c>
      <c r="H282" t="s">
        <v>58</v>
      </c>
      <c r="I282" t="s">
        <v>59</v>
      </c>
      <c r="J282" t="s">
        <v>60</v>
      </c>
      <c r="K282" t="s">
        <v>61</v>
      </c>
      <c r="L282" t="s">
        <v>725</v>
      </c>
      <c r="M282" t="s">
        <v>63</v>
      </c>
      <c r="N282" t="s">
        <v>45</v>
      </c>
      <c r="O282" t="s">
        <v>275</v>
      </c>
      <c r="P282" t="s">
        <v>276</v>
      </c>
      <c r="Q282" t="s">
        <v>125</v>
      </c>
      <c r="R282" t="s">
        <v>67</v>
      </c>
      <c r="S282">
        <v>3</v>
      </c>
      <c r="T282" s="14">
        <v>68.7</v>
      </c>
      <c r="U282" s="7">
        <v>12</v>
      </c>
      <c r="V282" s="7">
        <v>22</v>
      </c>
      <c r="W282" s="14">
        <v>102.7</v>
      </c>
      <c r="X282" s="14">
        <v>229</v>
      </c>
      <c r="Y282" s="16">
        <v>15</v>
      </c>
      <c r="Z282" s="12">
        <v>583.95000000000005</v>
      </c>
      <c r="AA282" s="5">
        <v>275.85000000000002</v>
      </c>
      <c r="AB282" s="18">
        <v>47.24</v>
      </c>
      <c r="AC282" t="s">
        <v>111</v>
      </c>
      <c r="AD282" t="s">
        <v>51</v>
      </c>
      <c r="AE282" t="s">
        <v>68</v>
      </c>
      <c r="AF282">
        <v>5</v>
      </c>
      <c r="AG282" t="s">
        <v>53</v>
      </c>
    </row>
    <row r="283" spans="1:33">
      <c r="A283" t="s">
        <v>726</v>
      </c>
      <c r="B283" s="10">
        <v>45904</v>
      </c>
      <c r="C283" s="3" t="s">
        <v>70</v>
      </c>
      <c r="D283" t="s">
        <v>56</v>
      </c>
      <c r="E283" t="s">
        <v>72</v>
      </c>
      <c r="F283" t="s">
        <v>73</v>
      </c>
      <c r="G283" t="s">
        <v>74</v>
      </c>
      <c r="H283" t="s">
        <v>39</v>
      </c>
      <c r="I283" t="s">
        <v>2143</v>
      </c>
      <c r="J283" t="s">
        <v>41</v>
      </c>
      <c r="K283" t="s">
        <v>42</v>
      </c>
      <c r="L283" t="s">
        <v>727</v>
      </c>
      <c r="M283" t="s">
        <v>44</v>
      </c>
      <c r="N283" t="s">
        <v>81</v>
      </c>
      <c r="O283" t="s">
        <v>137</v>
      </c>
      <c r="P283" t="s">
        <v>138</v>
      </c>
      <c r="Q283" t="s">
        <v>139</v>
      </c>
      <c r="R283" t="s">
        <v>67</v>
      </c>
      <c r="S283">
        <v>1</v>
      </c>
      <c r="T283" s="14">
        <v>59.7</v>
      </c>
      <c r="U283" s="7">
        <v>12</v>
      </c>
      <c r="V283" s="7">
        <v>22</v>
      </c>
      <c r="W283" s="14">
        <v>93.7</v>
      </c>
      <c r="X283" s="14">
        <v>199</v>
      </c>
      <c r="Y283" s="16">
        <v>0</v>
      </c>
      <c r="Z283" s="12">
        <v>199</v>
      </c>
      <c r="AA283" s="5">
        <v>105.3</v>
      </c>
      <c r="AB283" s="18">
        <v>52.91</v>
      </c>
      <c r="AC283" t="s">
        <v>104</v>
      </c>
      <c r="AD283" t="s">
        <v>51</v>
      </c>
      <c r="AE283" t="s">
        <v>96</v>
      </c>
      <c r="AF283">
        <v>5</v>
      </c>
      <c r="AG283" t="s">
        <v>53</v>
      </c>
    </row>
    <row r="284" spans="1:33">
      <c r="A284" t="s">
        <v>728</v>
      </c>
      <c r="B284" s="10">
        <v>45975</v>
      </c>
      <c r="C284" s="3" t="s">
        <v>171</v>
      </c>
      <c r="D284" t="s">
        <v>35</v>
      </c>
      <c r="E284" t="s">
        <v>57</v>
      </c>
      <c r="F284" t="s">
        <v>37</v>
      </c>
      <c r="G284" t="s">
        <v>38</v>
      </c>
      <c r="H284" t="s">
        <v>133</v>
      </c>
      <c r="I284" t="s">
        <v>134</v>
      </c>
      <c r="J284" t="s">
        <v>135</v>
      </c>
      <c r="K284" t="s">
        <v>42</v>
      </c>
      <c r="L284" t="s">
        <v>729</v>
      </c>
      <c r="M284" t="s">
        <v>63</v>
      </c>
      <c r="N284" t="s">
        <v>81</v>
      </c>
      <c r="O284" t="s">
        <v>119</v>
      </c>
      <c r="P284" t="s">
        <v>120</v>
      </c>
      <c r="Q284" t="s">
        <v>103</v>
      </c>
      <c r="R284" t="s">
        <v>67</v>
      </c>
      <c r="S284">
        <v>1</v>
      </c>
      <c r="T284" s="14">
        <v>38.700000000000003</v>
      </c>
      <c r="U284" s="7">
        <v>12</v>
      </c>
      <c r="V284" s="7">
        <v>22</v>
      </c>
      <c r="W284" s="14">
        <v>72.7</v>
      </c>
      <c r="X284" s="14">
        <v>129</v>
      </c>
      <c r="Y284" s="16">
        <v>10</v>
      </c>
      <c r="Z284" s="12">
        <v>116.1</v>
      </c>
      <c r="AA284" s="5">
        <v>43.4</v>
      </c>
      <c r="AB284" s="18">
        <v>37.380000000000003</v>
      </c>
      <c r="AC284" t="s">
        <v>104</v>
      </c>
      <c r="AD284" t="s">
        <v>86</v>
      </c>
      <c r="AE284" t="s">
        <v>126</v>
      </c>
      <c r="AF284">
        <v>5</v>
      </c>
      <c r="AG284" t="s">
        <v>53</v>
      </c>
    </row>
    <row r="285" spans="1:33">
      <c r="A285" t="s">
        <v>730</v>
      </c>
      <c r="B285" s="10">
        <v>45959</v>
      </c>
      <c r="C285" s="3" t="s">
        <v>199</v>
      </c>
      <c r="D285" t="s">
        <v>129</v>
      </c>
      <c r="E285" t="s">
        <v>36</v>
      </c>
      <c r="F285" t="s">
        <v>37</v>
      </c>
      <c r="G285" t="s">
        <v>38</v>
      </c>
      <c r="H285" t="s">
        <v>115</v>
      </c>
      <c r="I285" t="s">
        <v>116</v>
      </c>
      <c r="J285" t="s">
        <v>117</v>
      </c>
      <c r="K285" t="s">
        <v>61</v>
      </c>
      <c r="L285" t="s">
        <v>731</v>
      </c>
      <c r="M285" t="s">
        <v>63</v>
      </c>
      <c r="N285" t="s">
        <v>45</v>
      </c>
      <c r="O285" t="s">
        <v>162</v>
      </c>
      <c r="P285" t="s">
        <v>163</v>
      </c>
      <c r="Q285" t="s">
        <v>48</v>
      </c>
      <c r="R285" t="s">
        <v>84</v>
      </c>
      <c r="S285">
        <v>1</v>
      </c>
      <c r="T285" s="14">
        <v>89.64</v>
      </c>
      <c r="U285" s="7">
        <v>12</v>
      </c>
      <c r="V285" s="7">
        <v>22</v>
      </c>
      <c r="W285" s="14">
        <v>123.64</v>
      </c>
      <c r="X285" s="14">
        <v>298.8</v>
      </c>
      <c r="Y285" s="16">
        <v>0</v>
      </c>
      <c r="Z285" s="12">
        <v>298.8</v>
      </c>
      <c r="AA285" s="5">
        <v>175.16</v>
      </c>
      <c r="AB285" s="18">
        <v>58.62</v>
      </c>
      <c r="AC285" t="s">
        <v>50</v>
      </c>
      <c r="AD285" t="s">
        <v>86</v>
      </c>
      <c r="AE285" t="s">
        <v>105</v>
      </c>
      <c r="AF285">
        <v>5</v>
      </c>
      <c r="AG285" t="s">
        <v>53</v>
      </c>
    </row>
    <row r="286" spans="1:33">
      <c r="A286" t="s">
        <v>732</v>
      </c>
      <c r="B286" s="10">
        <v>45702</v>
      </c>
      <c r="C286" s="3" t="s">
        <v>211</v>
      </c>
      <c r="D286" t="s">
        <v>35</v>
      </c>
      <c r="E286" t="s">
        <v>90</v>
      </c>
      <c r="F286" t="s">
        <v>91</v>
      </c>
      <c r="G286" t="s">
        <v>92</v>
      </c>
      <c r="H286" t="s">
        <v>142</v>
      </c>
      <c r="I286" t="s">
        <v>143</v>
      </c>
      <c r="J286" t="s">
        <v>144</v>
      </c>
      <c r="K286" t="s">
        <v>145</v>
      </c>
      <c r="L286" t="s">
        <v>733</v>
      </c>
      <c r="M286" t="s">
        <v>80</v>
      </c>
      <c r="N286" t="s">
        <v>110</v>
      </c>
      <c r="O286" t="s">
        <v>64</v>
      </c>
      <c r="P286" t="s">
        <v>65</v>
      </c>
      <c r="Q286" t="s">
        <v>66</v>
      </c>
      <c r="R286" t="s">
        <v>84</v>
      </c>
      <c r="S286">
        <v>1</v>
      </c>
      <c r="T286" s="14">
        <v>53.64</v>
      </c>
      <c r="U286" s="7">
        <v>12</v>
      </c>
      <c r="V286" s="7">
        <v>22</v>
      </c>
      <c r="W286" s="14">
        <v>87.64</v>
      </c>
      <c r="X286" s="14">
        <v>178.8</v>
      </c>
      <c r="Y286" s="16">
        <v>10</v>
      </c>
      <c r="Z286" s="12">
        <v>160.91999999999999</v>
      </c>
      <c r="AA286" s="5">
        <v>73.28</v>
      </c>
      <c r="AB286" s="18">
        <v>45.54</v>
      </c>
      <c r="AC286" t="s">
        <v>2145</v>
      </c>
      <c r="AD286" t="s">
        <v>158</v>
      </c>
      <c r="AE286" t="s">
        <v>126</v>
      </c>
      <c r="AF286">
        <v>5</v>
      </c>
      <c r="AG286" t="s">
        <v>53</v>
      </c>
    </row>
    <row r="287" spans="1:33">
      <c r="A287" t="s">
        <v>734</v>
      </c>
      <c r="B287" s="10">
        <v>45986</v>
      </c>
      <c r="C287" s="3" t="s">
        <v>148</v>
      </c>
      <c r="D287" t="s">
        <v>156</v>
      </c>
      <c r="E287" t="s">
        <v>57</v>
      </c>
      <c r="F287" t="s">
        <v>37</v>
      </c>
      <c r="G287" t="s">
        <v>38</v>
      </c>
      <c r="H287" t="s">
        <v>75</v>
      </c>
      <c r="I287" t="s">
        <v>76</v>
      </c>
      <c r="J287" t="s">
        <v>77</v>
      </c>
      <c r="K287" t="s">
        <v>78</v>
      </c>
      <c r="L287" t="s">
        <v>735</v>
      </c>
      <c r="M287" t="s">
        <v>63</v>
      </c>
      <c r="N287" t="s">
        <v>81</v>
      </c>
      <c r="O287" t="s">
        <v>82</v>
      </c>
      <c r="P287" t="s">
        <v>83</v>
      </c>
      <c r="Q287" t="s">
        <v>66</v>
      </c>
      <c r="R287" t="s">
        <v>67</v>
      </c>
      <c r="S287">
        <v>3</v>
      </c>
      <c r="T287" s="14">
        <v>71.7</v>
      </c>
      <c r="U287" s="7">
        <v>12</v>
      </c>
      <c r="V287" s="7">
        <v>22</v>
      </c>
      <c r="W287" s="14">
        <v>105.7</v>
      </c>
      <c r="X287" s="14">
        <v>239</v>
      </c>
      <c r="Y287" s="16">
        <v>5</v>
      </c>
      <c r="Z287" s="12">
        <v>681.15</v>
      </c>
      <c r="AA287" s="5">
        <v>364.05</v>
      </c>
      <c r="AB287" s="18">
        <v>53.45</v>
      </c>
      <c r="AC287" t="s">
        <v>104</v>
      </c>
      <c r="AD287" t="s">
        <v>86</v>
      </c>
      <c r="AE287" t="s">
        <v>96</v>
      </c>
      <c r="AF287">
        <v>5</v>
      </c>
      <c r="AG287" t="s">
        <v>53</v>
      </c>
    </row>
    <row r="288" spans="1:33">
      <c r="A288" t="s">
        <v>736</v>
      </c>
      <c r="B288" s="10">
        <v>45727</v>
      </c>
      <c r="C288" s="3" t="s">
        <v>113</v>
      </c>
      <c r="D288" t="s">
        <v>156</v>
      </c>
      <c r="E288" t="s">
        <v>108</v>
      </c>
      <c r="F288" t="s">
        <v>91</v>
      </c>
      <c r="G288" t="s">
        <v>38</v>
      </c>
      <c r="H288" t="s">
        <v>142</v>
      </c>
      <c r="I288" t="s">
        <v>143</v>
      </c>
      <c r="J288" t="s">
        <v>144</v>
      </c>
      <c r="K288" t="s">
        <v>145</v>
      </c>
      <c r="L288" t="s">
        <v>737</v>
      </c>
      <c r="M288" t="s">
        <v>63</v>
      </c>
      <c r="N288" t="s">
        <v>110</v>
      </c>
      <c r="O288" t="s">
        <v>94</v>
      </c>
      <c r="P288" t="s">
        <v>95</v>
      </c>
      <c r="Q288" t="s">
        <v>66</v>
      </c>
      <c r="R288" t="s">
        <v>49</v>
      </c>
      <c r="S288">
        <v>3</v>
      </c>
      <c r="T288" s="14">
        <v>91.98</v>
      </c>
      <c r="U288" s="7">
        <v>12</v>
      </c>
      <c r="V288" s="7">
        <v>22</v>
      </c>
      <c r="W288" s="14">
        <v>125.98</v>
      </c>
      <c r="X288" s="14">
        <v>306.60000000000002</v>
      </c>
      <c r="Y288" s="16">
        <v>10</v>
      </c>
      <c r="Z288" s="12">
        <v>827.82</v>
      </c>
      <c r="AA288" s="5">
        <v>449.88</v>
      </c>
      <c r="AB288" s="18">
        <v>54.35</v>
      </c>
      <c r="AC288" t="s">
        <v>104</v>
      </c>
      <c r="AD288" t="s">
        <v>158</v>
      </c>
      <c r="AE288" t="s">
        <v>105</v>
      </c>
      <c r="AF288">
        <v>5</v>
      </c>
      <c r="AG288" t="s">
        <v>53</v>
      </c>
    </row>
    <row r="289" spans="1:33">
      <c r="A289" t="s">
        <v>738</v>
      </c>
      <c r="B289" s="10">
        <v>45973</v>
      </c>
      <c r="C289" s="3" t="s">
        <v>128</v>
      </c>
      <c r="D289" t="s">
        <v>129</v>
      </c>
      <c r="E289" t="s">
        <v>57</v>
      </c>
      <c r="F289" t="s">
        <v>37</v>
      </c>
      <c r="G289" t="s">
        <v>38</v>
      </c>
      <c r="H289" t="s">
        <v>115</v>
      </c>
      <c r="I289" t="s">
        <v>116</v>
      </c>
      <c r="J289" t="s">
        <v>117</v>
      </c>
      <c r="K289" t="s">
        <v>61</v>
      </c>
      <c r="L289" t="s">
        <v>739</v>
      </c>
      <c r="M289" t="s">
        <v>44</v>
      </c>
      <c r="N289" t="s">
        <v>45</v>
      </c>
      <c r="O289" t="s">
        <v>176</v>
      </c>
      <c r="P289" t="s">
        <v>177</v>
      </c>
      <c r="Q289" t="s">
        <v>66</v>
      </c>
      <c r="R289" t="s">
        <v>67</v>
      </c>
      <c r="S289">
        <v>3</v>
      </c>
      <c r="T289" s="14">
        <v>50.7</v>
      </c>
      <c r="U289" s="7">
        <v>12</v>
      </c>
      <c r="V289" s="7">
        <v>22</v>
      </c>
      <c r="W289" s="14">
        <v>84.7</v>
      </c>
      <c r="X289" s="14">
        <v>169</v>
      </c>
      <c r="Y289" s="16">
        <v>55</v>
      </c>
      <c r="Z289" s="12">
        <v>507</v>
      </c>
      <c r="AA289" s="5">
        <v>252.9</v>
      </c>
      <c r="AB289" s="18">
        <v>49.88</v>
      </c>
      <c r="AC289" t="s">
        <v>104</v>
      </c>
      <c r="AD289" t="s">
        <v>51</v>
      </c>
      <c r="AE289" t="s">
        <v>105</v>
      </c>
      <c r="AF289">
        <v>4</v>
      </c>
      <c r="AG289" t="s">
        <v>53</v>
      </c>
    </row>
    <row r="290" spans="1:33">
      <c r="A290" t="s">
        <v>740</v>
      </c>
      <c r="B290" s="10">
        <v>45840</v>
      </c>
      <c r="C290" s="3" t="s">
        <v>155</v>
      </c>
      <c r="D290" t="s">
        <v>129</v>
      </c>
      <c r="E290" t="s">
        <v>114</v>
      </c>
      <c r="F290" t="s">
        <v>73</v>
      </c>
      <c r="G290" t="s">
        <v>74</v>
      </c>
      <c r="H290" t="s">
        <v>58</v>
      </c>
      <c r="I290" t="s">
        <v>59</v>
      </c>
      <c r="J290" t="s">
        <v>60</v>
      </c>
      <c r="K290" t="s">
        <v>61</v>
      </c>
      <c r="L290" t="s">
        <v>741</v>
      </c>
      <c r="M290" t="s">
        <v>63</v>
      </c>
      <c r="N290" t="s">
        <v>110</v>
      </c>
      <c r="O290" t="s">
        <v>119</v>
      </c>
      <c r="P290" t="s">
        <v>120</v>
      </c>
      <c r="Q290" t="s">
        <v>103</v>
      </c>
      <c r="R290" t="s">
        <v>84</v>
      </c>
      <c r="S290">
        <v>3</v>
      </c>
      <c r="T290" s="14">
        <v>46.44</v>
      </c>
      <c r="U290" s="7">
        <v>12</v>
      </c>
      <c r="V290" s="7">
        <v>22</v>
      </c>
      <c r="W290" s="14">
        <v>80.44</v>
      </c>
      <c r="X290" s="14">
        <v>154.80000000000001</v>
      </c>
      <c r="Y290" s="16">
        <v>0</v>
      </c>
      <c r="Z290" s="12">
        <v>464.4</v>
      </c>
      <c r="AA290" s="5">
        <v>223.08</v>
      </c>
      <c r="AB290" s="18">
        <v>48.04</v>
      </c>
      <c r="AC290" t="s">
        <v>104</v>
      </c>
      <c r="AD290" t="s">
        <v>158</v>
      </c>
      <c r="AE290" t="s">
        <v>68</v>
      </c>
      <c r="AF290">
        <v>5</v>
      </c>
      <c r="AG290" t="s">
        <v>53</v>
      </c>
    </row>
    <row r="291" spans="1:33">
      <c r="A291" t="s">
        <v>742</v>
      </c>
      <c r="B291" s="10">
        <v>45663</v>
      </c>
      <c r="C291" s="3" t="s">
        <v>179</v>
      </c>
      <c r="D291" t="s">
        <v>206</v>
      </c>
      <c r="E291" t="s">
        <v>152</v>
      </c>
      <c r="F291" t="s">
        <v>91</v>
      </c>
      <c r="G291" t="s">
        <v>92</v>
      </c>
      <c r="H291" t="s">
        <v>75</v>
      </c>
      <c r="I291" t="s">
        <v>76</v>
      </c>
      <c r="J291" t="s">
        <v>77</v>
      </c>
      <c r="K291" t="s">
        <v>78</v>
      </c>
      <c r="L291" t="s">
        <v>743</v>
      </c>
      <c r="M291" t="s">
        <v>80</v>
      </c>
      <c r="N291" t="s">
        <v>81</v>
      </c>
      <c r="O291" t="s">
        <v>94</v>
      </c>
      <c r="P291" t="s">
        <v>95</v>
      </c>
      <c r="Q291" t="s">
        <v>66</v>
      </c>
      <c r="R291" t="s">
        <v>49</v>
      </c>
      <c r="S291">
        <v>3</v>
      </c>
      <c r="T291" s="14">
        <v>91.98</v>
      </c>
      <c r="U291" s="7">
        <v>12</v>
      </c>
      <c r="V291" s="7">
        <v>22</v>
      </c>
      <c r="W291" s="14">
        <v>125.98</v>
      </c>
      <c r="X291" s="14">
        <v>306.60000000000002</v>
      </c>
      <c r="Y291" s="16">
        <v>5</v>
      </c>
      <c r="Z291" s="12">
        <v>873.81</v>
      </c>
      <c r="AA291" s="5">
        <v>495.87</v>
      </c>
      <c r="AB291" s="18">
        <v>56.75</v>
      </c>
      <c r="AC291" t="s">
        <v>85</v>
      </c>
      <c r="AD291" t="s">
        <v>158</v>
      </c>
      <c r="AE291" t="s">
        <v>52</v>
      </c>
      <c r="AF291">
        <v>5</v>
      </c>
      <c r="AG291" t="s">
        <v>53</v>
      </c>
    </row>
    <row r="292" spans="1:33">
      <c r="A292" t="s">
        <v>744</v>
      </c>
      <c r="B292" s="10">
        <v>45796</v>
      </c>
      <c r="C292" s="3" t="s">
        <v>219</v>
      </c>
      <c r="D292" t="s">
        <v>206</v>
      </c>
      <c r="E292" t="s">
        <v>130</v>
      </c>
      <c r="F292" t="s">
        <v>131</v>
      </c>
      <c r="G292" t="s">
        <v>132</v>
      </c>
      <c r="H292" t="s">
        <v>142</v>
      </c>
      <c r="I292" t="s">
        <v>143</v>
      </c>
      <c r="J292" t="s">
        <v>144</v>
      </c>
      <c r="K292" t="s">
        <v>145</v>
      </c>
      <c r="L292" t="s">
        <v>745</v>
      </c>
      <c r="M292" t="s">
        <v>80</v>
      </c>
      <c r="N292" t="s">
        <v>45</v>
      </c>
      <c r="O292" t="s">
        <v>46</v>
      </c>
      <c r="P292" t="s">
        <v>47</v>
      </c>
      <c r="Q292" t="s">
        <v>48</v>
      </c>
      <c r="R292" t="s">
        <v>67</v>
      </c>
      <c r="S292">
        <v>2</v>
      </c>
      <c r="T292" s="14">
        <v>77.7</v>
      </c>
      <c r="U292" s="7">
        <v>12</v>
      </c>
      <c r="V292" s="7">
        <v>22</v>
      </c>
      <c r="W292" s="14">
        <v>111.7</v>
      </c>
      <c r="X292" s="14">
        <v>259</v>
      </c>
      <c r="Y292" s="16">
        <v>0</v>
      </c>
      <c r="Z292" s="12">
        <v>518</v>
      </c>
      <c r="AA292" s="5">
        <v>294.60000000000002</v>
      </c>
      <c r="AB292" s="18">
        <v>56.87</v>
      </c>
      <c r="AC292" t="s">
        <v>111</v>
      </c>
      <c r="AD292" t="s">
        <v>86</v>
      </c>
      <c r="AE292" t="s">
        <v>105</v>
      </c>
      <c r="AF292">
        <v>5</v>
      </c>
      <c r="AG292" t="s">
        <v>53</v>
      </c>
    </row>
    <row r="293" spans="1:33">
      <c r="A293" t="s">
        <v>746</v>
      </c>
      <c r="B293" s="10">
        <v>45697</v>
      </c>
      <c r="C293" s="3" t="s">
        <v>185</v>
      </c>
      <c r="D293" t="s">
        <v>89</v>
      </c>
      <c r="E293" t="s">
        <v>90</v>
      </c>
      <c r="F293" t="s">
        <v>91</v>
      </c>
      <c r="G293" t="s">
        <v>92</v>
      </c>
      <c r="H293" t="s">
        <v>133</v>
      </c>
      <c r="I293" t="s">
        <v>134</v>
      </c>
      <c r="J293" t="s">
        <v>135</v>
      </c>
      <c r="K293" t="s">
        <v>42</v>
      </c>
      <c r="L293" t="s">
        <v>747</v>
      </c>
      <c r="M293" t="s">
        <v>63</v>
      </c>
      <c r="N293" t="s">
        <v>110</v>
      </c>
      <c r="O293" t="s">
        <v>213</v>
      </c>
      <c r="P293" t="s">
        <v>214</v>
      </c>
      <c r="Q293" t="s">
        <v>215</v>
      </c>
      <c r="R293" t="s">
        <v>49</v>
      </c>
      <c r="S293">
        <v>1</v>
      </c>
      <c r="T293" s="14">
        <v>125.58</v>
      </c>
      <c r="U293" s="7">
        <v>12</v>
      </c>
      <c r="V293" s="7">
        <v>22</v>
      </c>
      <c r="W293" s="14">
        <v>159.58000000000001</v>
      </c>
      <c r="X293" s="14">
        <v>418.6</v>
      </c>
      <c r="Y293" s="16">
        <v>15</v>
      </c>
      <c r="Z293" s="12">
        <v>355.81</v>
      </c>
      <c r="AA293" s="5">
        <v>196.23</v>
      </c>
      <c r="AB293" s="18">
        <v>55.15</v>
      </c>
      <c r="AC293" t="s">
        <v>85</v>
      </c>
      <c r="AD293" t="s">
        <v>86</v>
      </c>
      <c r="AE293" t="s">
        <v>52</v>
      </c>
      <c r="AF293">
        <v>5</v>
      </c>
      <c r="AG293" t="s">
        <v>53</v>
      </c>
    </row>
    <row r="294" spans="1:33">
      <c r="A294" t="s">
        <v>748</v>
      </c>
      <c r="B294" s="10">
        <v>45701</v>
      </c>
      <c r="C294" s="3" t="s">
        <v>194</v>
      </c>
      <c r="D294" t="s">
        <v>56</v>
      </c>
      <c r="E294" t="s">
        <v>90</v>
      </c>
      <c r="F294" t="s">
        <v>91</v>
      </c>
      <c r="G294" t="s">
        <v>92</v>
      </c>
      <c r="H294" t="s">
        <v>75</v>
      </c>
      <c r="I294" t="s">
        <v>76</v>
      </c>
      <c r="J294" t="s">
        <v>77</v>
      </c>
      <c r="K294" t="s">
        <v>78</v>
      </c>
      <c r="L294" t="s">
        <v>749</v>
      </c>
      <c r="M294" t="s">
        <v>63</v>
      </c>
      <c r="N294" t="s">
        <v>110</v>
      </c>
      <c r="O294" t="s">
        <v>82</v>
      </c>
      <c r="P294" t="s">
        <v>83</v>
      </c>
      <c r="Q294" t="s">
        <v>66</v>
      </c>
      <c r="R294" t="s">
        <v>84</v>
      </c>
      <c r="S294">
        <v>3</v>
      </c>
      <c r="T294" s="14">
        <v>86.04</v>
      </c>
      <c r="U294" s="7">
        <v>12</v>
      </c>
      <c r="V294" s="7">
        <v>22</v>
      </c>
      <c r="W294" s="14">
        <v>120.04</v>
      </c>
      <c r="X294" s="14">
        <v>286.8</v>
      </c>
      <c r="Y294" s="16">
        <v>5</v>
      </c>
      <c r="Z294" s="12">
        <v>817.38</v>
      </c>
      <c r="AA294" s="5">
        <v>457.26</v>
      </c>
      <c r="AB294" s="18">
        <v>55.94</v>
      </c>
      <c r="AC294" t="s">
        <v>111</v>
      </c>
      <c r="AD294" t="s">
        <v>86</v>
      </c>
      <c r="AE294" t="s">
        <v>52</v>
      </c>
      <c r="AF294">
        <v>5</v>
      </c>
      <c r="AG294" t="s">
        <v>53</v>
      </c>
    </row>
    <row r="295" spans="1:33">
      <c r="A295" t="s">
        <v>750</v>
      </c>
      <c r="B295" s="10">
        <v>45812</v>
      </c>
      <c r="C295" s="3" t="s">
        <v>179</v>
      </c>
      <c r="D295" t="s">
        <v>129</v>
      </c>
      <c r="E295" t="s">
        <v>174</v>
      </c>
      <c r="F295" t="s">
        <v>131</v>
      </c>
      <c r="G295" t="s">
        <v>132</v>
      </c>
      <c r="H295" t="s">
        <v>142</v>
      </c>
      <c r="I295" t="s">
        <v>143</v>
      </c>
      <c r="J295" t="s">
        <v>144</v>
      </c>
      <c r="K295" t="s">
        <v>145</v>
      </c>
      <c r="L295" t="s">
        <v>751</v>
      </c>
      <c r="M295" t="s">
        <v>80</v>
      </c>
      <c r="N295" t="s">
        <v>110</v>
      </c>
      <c r="O295" t="s">
        <v>101</v>
      </c>
      <c r="P295" t="s">
        <v>102</v>
      </c>
      <c r="Q295" t="s">
        <v>103</v>
      </c>
      <c r="R295" t="s">
        <v>84</v>
      </c>
      <c r="S295">
        <v>1</v>
      </c>
      <c r="T295" s="14">
        <v>53.64</v>
      </c>
      <c r="U295" s="7">
        <v>12</v>
      </c>
      <c r="V295" s="7">
        <v>22</v>
      </c>
      <c r="W295" s="14">
        <v>87.64</v>
      </c>
      <c r="X295" s="14">
        <v>178.8</v>
      </c>
      <c r="Y295" s="16">
        <v>0</v>
      </c>
      <c r="Z295" s="12">
        <v>178.8</v>
      </c>
      <c r="AA295" s="5">
        <v>91.16</v>
      </c>
      <c r="AB295" s="18">
        <v>50.98</v>
      </c>
      <c r="AC295" t="s">
        <v>111</v>
      </c>
      <c r="AD295" t="s">
        <v>86</v>
      </c>
      <c r="AE295" t="s">
        <v>68</v>
      </c>
      <c r="AF295">
        <v>4</v>
      </c>
      <c r="AG295" t="s">
        <v>53</v>
      </c>
    </row>
    <row r="296" spans="1:33">
      <c r="A296" t="s">
        <v>752</v>
      </c>
      <c r="B296" s="10">
        <v>45942</v>
      </c>
      <c r="C296" s="3" t="s">
        <v>182</v>
      </c>
      <c r="D296" t="s">
        <v>89</v>
      </c>
      <c r="E296" t="s">
        <v>36</v>
      </c>
      <c r="F296" t="s">
        <v>37</v>
      </c>
      <c r="G296" t="s">
        <v>38</v>
      </c>
      <c r="H296" t="s">
        <v>142</v>
      </c>
      <c r="I296" t="s">
        <v>143</v>
      </c>
      <c r="J296" t="s">
        <v>144</v>
      </c>
      <c r="K296" t="s">
        <v>145</v>
      </c>
      <c r="L296" t="s">
        <v>753</v>
      </c>
      <c r="M296" t="s">
        <v>44</v>
      </c>
      <c r="N296" t="s">
        <v>110</v>
      </c>
      <c r="O296" t="s">
        <v>275</v>
      </c>
      <c r="P296" t="s">
        <v>276</v>
      </c>
      <c r="Q296" t="s">
        <v>125</v>
      </c>
      <c r="R296" t="s">
        <v>84</v>
      </c>
      <c r="S296">
        <v>3</v>
      </c>
      <c r="T296" s="14">
        <v>82.44</v>
      </c>
      <c r="U296" s="7">
        <v>12</v>
      </c>
      <c r="V296" s="7">
        <v>22</v>
      </c>
      <c r="W296" s="14">
        <v>116.44</v>
      </c>
      <c r="X296" s="14">
        <v>274.8</v>
      </c>
      <c r="Y296" s="16">
        <v>10</v>
      </c>
      <c r="Z296" s="12">
        <v>741.96</v>
      </c>
      <c r="AA296" s="5">
        <v>392.64</v>
      </c>
      <c r="AB296" s="18">
        <v>52.92</v>
      </c>
      <c r="AC296" t="s">
        <v>104</v>
      </c>
      <c r="AD296" t="s">
        <v>158</v>
      </c>
      <c r="AE296" t="s">
        <v>96</v>
      </c>
      <c r="AF296">
        <v>5</v>
      </c>
      <c r="AG296" t="s">
        <v>53</v>
      </c>
    </row>
    <row r="297" spans="1:33">
      <c r="A297" t="s">
        <v>754</v>
      </c>
      <c r="B297" s="10">
        <v>45867</v>
      </c>
      <c r="C297" s="3" t="s">
        <v>160</v>
      </c>
      <c r="D297" t="s">
        <v>156</v>
      </c>
      <c r="E297" t="s">
        <v>114</v>
      </c>
      <c r="F297" t="s">
        <v>73</v>
      </c>
      <c r="G297" t="s">
        <v>74</v>
      </c>
      <c r="H297" t="s">
        <v>115</v>
      </c>
      <c r="I297" t="s">
        <v>116</v>
      </c>
      <c r="J297" t="s">
        <v>117</v>
      </c>
      <c r="K297" t="s">
        <v>61</v>
      </c>
      <c r="L297" t="s">
        <v>755</v>
      </c>
      <c r="M297" t="s">
        <v>44</v>
      </c>
      <c r="N297" t="s">
        <v>110</v>
      </c>
      <c r="O297" t="s">
        <v>64</v>
      </c>
      <c r="P297" t="s">
        <v>65</v>
      </c>
      <c r="Q297" t="s">
        <v>66</v>
      </c>
      <c r="R297" t="s">
        <v>49</v>
      </c>
      <c r="S297">
        <v>2</v>
      </c>
      <c r="T297" s="14">
        <v>62.58</v>
      </c>
      <c r="U297" s="7">
        <v>12</v>
      </c>
      <c r="V297" s="7">
        <v>22</v>
      </c>
      <c r="W297" s="14">
        <v>96.58</v>
      </c>
      <c r="X297" s="14">
        <v>208.6</v>
      </c>
      <c r="Y297" s="16">
        <v>0</v>
      </c>
      <c r="Z297" s="12">
        <v>417.2</v>
      </c>
      <c r="AA297" s="5">
        <v>224.04</v>
      </c>
      <c r="AB297" s="18">
        <v>53.7</v>
      </c>
      <c r="AC297" t="s">
        <v>85</v>
      </c>
      <c r="AD297" t="s">
        <v>51</v>
      </c>
      <c r="AE297" t="s">
        <v>96</v>
      </c>
      <c r="AF297">
        <v>5</v>
      </c>
      <c r="AG297" t="s">
        <v>53</v>
      </c>
    </row>
    <row r="298" spans="1:33">
      <c r="A298" t="s">
        <v>756</v>
      </c>
      <c r="B298" s="10">
        <v>46021</v>
      </c>
      <c r="C298" s="3" t="s">
        <v>211</v>
      </c>
      <c r="D298" t="s">
        <v>156</v>
      </c>
      <c r="E298" t="s">
        <v>149</v>
      </c>
      <c r="F298" t="s">
        <v>37</v>
      </c>
      <c r="G298" t="s">
        <v>92</v>
      </c>
      <c r="H298" t="s">
        <v>39</v>
      </c>
      <c r="I298" t="s">
        <v>2143</v>
      </c>
      <c r="J298" t="s">
        <v>41</v>
      </c>
      <c r="K298" t="s">
        <v>42</v>
      </c>
      <c r="L298" t="s">
        <v>757</v>
      </c>
      <c r="M298" t="s">
        <v>63</v>
      </c>
      <c r="N298" t="s">
        <v>110</v>
      </c>
      <c r="O298" t="s">
        <v>94</v>
      </c>
      <c r="P298" t="s">
        <v>95</v>
      </c>
      <c r="Q298" t="s">
        <v>66</v>
      </c>
      <c r="R298" t="s">
        <v>67</v>
      </c>
      <c r="S298">
        <v>3</v>
      </c>
      <c r="T298" s="14">
        <v>65.7</v>
      </c>
      <c r="U298" s="7">
        <v>12</v>
      </c>
      <c r="V298" s="7">
        <v>22</v>
      </c>
      <c r="W298" s="14">
        <v>99.7</v>
      </c>
      <c r="X298" s="14">
        <v>219</v>
      </c>
      <c r="Y298" s="16">
        <v>0</v>
      </c>
      <c r="Z298" s="12">
        <v>657</v>
      </c>
      <c r="AA298" s="5">
        <v>357.9</v>
      </c>
      <c r="AB298" s="18">
        <v>54.47</v>
      </c>
      <c r="AC298" t="s">
        <v>111</v>
      </c>
      <c r="AD298" t="s">
        <v>51</v>
      </c>
      <c r="AE298" t="s">
        <v>52</v>
      </c>
      <c r="AF298">
        <v>5</v>
      </c>
      <c r="AG298" t="s">
        <v>53</v>
      </c>
    </row>
    <row r="299" spans="1:33">
      <c r="A299" t="s">
        <v>758</v>
      </c>
      <c r="B299" s="10">
        <v>45908</v>
      </c>
      <c r="C299" s="3" t="s">
        <v>179</v>
      </c>
      <c r="D299" t="s">
        <v>206</v>
      </c>
      <c r="E299" t="s">
        <v>72</v>
      </c>
      <c r="F299" t="s">
        <v>73</v>
      </c>
      <c r="G299" t="s">
        <v>74</v>
      </c>
      <c r="H299" t="s">
        <v>39</v>
      </c>
      <c r="I299" t="s">
        <v>2143</v>
      </c>
      <c r="J299" t="s">
        <v>41</v>
      </c>
      <c r="K299" t="s">
        <v>42</v>
      </c>
      <c r="L299" t="s">
        <v>759</v>
      </c>
      <c r="M299" t="s">
        <v>80</v>
      </c>
      <c r="N299" t="s">
        <v>81</v>
      </c>
      <c r="O299" t="s">
        <v>64</v>
      </c>
      <c r="P299" t="s">
        <v>65</v>
      </c>
      <c r="Q299" t="s">
        <v>66</v>
      </c>
      <c r="R299" t="s">
        <v>49</v>
      </c>
      <c r="S299">
        <v>1</v>
      </c>
      <c r="T299" s="14">
        <v>62.58</v>
      </c>
      <c r="U299" s="7">
        <v>12</v>
      </c>
      <c r="V299" s="7">
        <v>22</v>
      </c>
      <c r="W299" s="14">
        <v>96.58</v>
      </c>
      <c r="X299" s="14">
        <v>208.6</v>
      </c>
      <c r="Y299" s="16">
        <v>5</v>
      </c>
      <c r="Z299" s="12">
        <v>198.17</v>
      </c>
      <c r="AA299" s="5">
        <v>101.59</v>
      </c>
      <c r="AB299" s="18">
        <v>51.26</v>
      </c>
      <c r="AC299" t="s">
        <v>50</v>
      </c>
      <c r="AD299" t="s">
        <v>86</v>
      </c>
      <c r="AE299" t="s">
        <v>68</v>
      </c>
      <c r="AF299">
        <v>5</v>
      </c>
      <c r="AG299" t="s">
        <v>53</v>
      </c>
    </row>
    <row r="300" spans="1:33">
      <c r="A300" t="s">
        <v>760</v>
      </c>
      <c r="B300" s="10">
        <v>46013</v>
      </c>
      <c r="C300" s="3" t="s">
        <v>185</v>
      </c>
      <c r="D300" t="s">
        <v>206</v>
      </c>
      <c r="E300" t="s">
        <v>149</v>
      </c>
      <c r="F300" t="s">
        <v>37</v>
      </c>
      <c r="G300" t="s">
        <v>92</v>
      </c>
      <c r="H300" t="s">
        <v>58</v>
      </c>
      <c r="I300" t="s">
        <v>59</v>
      </c>
      <c r="J300" t="s">
        <v>60</v>
      </c>
      <c r="K300" t="s">
        <v>61</v>
      </c>
      <c r="L300" t="s">
        <v>761</v>
      </c>
      <c r="M300" t="s">
        <v>63</v>
      </c>
      <c r="N300" t="s">
        <v>110</v>
      </c>
      <c r="O300" t="s">
        <v>101</v>
      </c>
      <c r="P300" t="s">
        <v>102</v>
      </c>
      <c r="Q300" t="s">
        <v>103</v>
      </c>
      <c r="R300" t="s">
        <v>49</v>
      </c>
      <c r="S300">
        <v>1</v>
      </c>
      <c r="T300" s="14">
        <v>62.58</v>
      </c>
      <c r="U300" s="7">
        <v>12</v>
      </c>
      <c r="V300" s="7">
        <v>22</v>
      </c>
      <c r="W300" s="14">
        <v>96.58</v>
      </c>
      <c r="X300" s="14">
        <v>208.6</v>
      </c>
      <c r="Y300" s="16">
        <v>0</v>
      </c>
      <c r="Z300" s="12">
        <v>208.6</v>
      </c>
      <c r="AA300" s="5">
        <v>112.02</v>
      </c>
      <c r="AB300" s="18">
        <v>53.7</v>
      </c>
      <c r="AC300" t="s">
        <v>85</v>
      </c>
      <c r="AD300" t="s">
        <v>86</v>
      </c>
      <c r="AE300" t="s">
        <v>105</v>
      </c>
      <c r="AF300">
        <v>5</v>
      </c>
      <c r="AG300" t="s">
        <v>53</v>
      </c>
    </row>
    <row r="301" spans="1:33">
      <c r="A301" t="s">
        <v>762</v>
      </c>
      <c r="B301" s="10">
        <v>45917</v>
      </c>
      <c r="C301" s="3" t="s">
        <v>70</v>
      </c>
      <c r="D301" t="s">
        <v>129</v>
      </c>
      <c r="E301" t="s">
        <v>72</v>
      </c>
      <c r="F301" t="s">
        <v>73</v>
      </c>
      <c r="G301" t="s">
        <v>74</v>
      </c>
      <c r="H301" t="s">
        <v>142</v>
      </c>
      <c r="I301" t="s">
        <v>143</v>
      </c>
      <c r="J301" t="s">
        <v>144</v>
      </c>
      <c r="K301" t="s">
        <v>145</v>
      </c>
      <c r="L301" t="s">
        <v>763</v>
      </c>
      <c r="M301" t="s">
        <v>80</v>
      </c>
      <c r="N301" t="s">
        <v>45</v>
      </c>
      <c r="O301" t="s">
        <v>94</v>
      </c>
      <c r="P301" t="s">
        <v>95</v>
      </c>
      <c r="Q301" t="s">
        <v>66</v>
      </c>
      <c r="R301" t="s">
        <v>84</v>
      </c>
      <c r="S301">
        <v>1</v>
      </c>
      <c r="T301" s="14">
        <v>78.84</v>
      </c>
      <c r="U301" s="7">
        <v>12</v>
      </c>
      <c r="V301" s="7">
        <v>22</v>
      </c>
      <c r="W301" s="14">
        <v>112.84</v>
      </c>
      <c r="X301" s="14">
        <v>262.8</v>
      </c>
      <c r="Y301" s="16">
        <v>5</v>
      </c>
      <c r="Z301" s="12">
        <v>249.66</v>
      </c>
      <c r="AA301" s="5">
        <v>136.82</v>
      </c>
      <c r="AB301" s="18">
        <v>54.8</v>
      </c>
      <c r="AC301" t="s">
        <v>85</v>
      </c>
      <c r="AD301" t="s">
        <v>86</v>
      </c>
      <c r="AE301" t="s">
        <v>52</v>
      </c>
      <c r="AF301">
        <v>3</v>
      </c>
      <c r="AG301" t="s">
        <v>53</v>
      </c>
    </row>
    <row r="302" spans="1:33">
      <c r="A302" t="s">
        <v>764</v>
      </c>
      <c r="B302" s="10">
        <v>45825</v>
      </c>
      <c r="C302" s="3" t="s">
        <v>160</v>
      </c>
      <c r="D302" t="s">
        <v>156</v>
      </c>
      <c r="E302" t="s">
        <v>174</v>
      </c>
      <c r="F302" t="s">
        <v>131</v>
      </c>
      <c r="G302" t="s">
        <v>132</v>
      </c>
      <c r="H302" t="s">
        <v>39</v>
      </c>
      <c r="I302" t="s">
        <v>2143</v>
      </c>
      <c r="J302" t="s">
        <v>41</v>
      </c>
      <c r="K302" t="s">
        <v>42</v>
      </c>
      <c r="L302" t="s">
        <v>765</v>
      </c>
      <c r="M302" t="s">
        <v>63</v>
      </c>
      <c r="N302" t="s">
        <v>81</v>
      </c>
      <c r="O302" t="s">
        <v>275</v>
      </c>
      <c r="P302" t="s">
        <v>276</v>
      </c>
      <c r="Q302" t="s">
        <v>125</v>
      </c>
      <c r="R302" t="s">
        <v>49</v>
      </c>
      <c r="S302">
        <v>2</v>
      </c>
      <c r="T302" s="14">
        <v>96.18</v>
      </c>
      <c r="U302" s="7">
        <v>12</v>
      </c>
      <c r="V302" s="7">
        <v>22</v>
      </c>
      <c r="W302" s="14">
        <v>130.18</v>
      </c>
      <c r="X302" s="14">
        <v>320.60000000000002</v>
      </c>
      <c r="Y302" s="16">
        <v>0</v>
      </c>
      <c r="Z302" s="12">
        <v>641.20000000000005</v>
      </c>
      <c r="AA302" s="5">
        <v>380.84</v>
      </c>
      <c r="AB302" s="18">
        <v>59.39</v>
      </c>
      <c r="AC302" t="s">
        <v>85</v>
      </c>
      <c r="AD302" t="s">
        <v>51</v>
      </c>
      <c r="AE302" t="s">
        <v>126</v>
      </c>
      <c r="AF302">
        <v>4</v>
      </c>
      <c r="AG302" t="s">
        <v>53</v>
      </c>
    </row>
    <row r="303" spans="1:33">
      <c r="A303" t="s">
        <v>766</v>
      </c>
      <c r="B303" s="10">
        <v>45876</v>
      </c>
      <c r="C303" s="3" t="s">
        <v>128</v>
      </c>
      <c r="D303" t="s">
        <v>56</v>
      </c>
      <c r="E303" t="s">
        <v>99</v>
      </c>
      <c r="F303" t="s">
        <v>73</v>
      </c>
      <c r="G303" t="s">
        <v>74</v>
      </c>
      <c r="H303" t="s">
        <v>133</v>
      </c>
      <c r="I303" t="s">
        <v>134</v>
      </c>
      <c r="J303" t="s">
        <v>135</v>
      </c>
      <c r="K303" t="s">
        <v>42</v>
      </c>
      <c r="L303" t="s">
        <v>767</v>
      </c>
      <c r="M303" t="s">
        <v>80</v>
      </c>
      <c r="N303" t="s">
        <v>110</v>
      </c>
      <c r="O303" t="s">
        <v>101</v>
      </c>
      <c r="P303" t="s">
        <v>102</v>
      </c>
      <c r="Q303" t="s">
        <v>103</v>
      </c>
      <c r="R303" t="s">
        <v>84</v>
      </c>
      <c r="S303">
        <v>3</v>
      </c>
      <c r="T303" s="14">
        <v>53.64</v>
      </c>
      <c r="U303" s="7">
        <v>12</v>
      </c>
      <c r="V303" s="7">
        <v>22</v>
      </c>
      <c r="W303" s="14">
        <v>87.64</v>
      </c>
      <c r="X303" s="14">
        <v>178.8</v>
      </c>
      <c r="Y303" s="16">
        <v>5</v>
      </c>
      <c r="Z303" s="12">
        <v>509.58</v>
      </c>
      <c r="AA303" s="5">
        <v>246.66</v>
      </c>
      <c r="AB303" s="18">
        <v>48.4</v>
      </c>
      <c r="AC303" t="s">
        <v>104</v>
      </c>
      <c r="AD303" t="s">
        <v>86</v>
      </c>
      <c r="AE303" t="s">
        <v>52</v>
      </c>
      <c r="AF303">
        <v>4</v>
      </c>
      <c r="AG303" t="s">
        <v>53</v>
      </c>
    </row>
    <row r="304" spans="1:33">
      <c r="A304" t="s">
        <v>768</v>
      </c>
      <c r="B304" s="10">
        <v>45993</v>
      </c>
      <c r="C304" s="3" t="s">
        <v>141</v>
      </c>
      <c r="D304" t="s">
        <v>156</v>
      </c>
      <c r="E304" t="s">
        <v>149</v>
      </c>
      <c r="F304" t="s">
        <v>37</v>
      </c>
      <c r="G304" t="s">
        <v>92</v>
      </c>
      <c r="H304" t="s">
        <v>115</v>
      </c>
      <c r="I304" t="s">
        <v>116</v>
      </c>
      <c r="J304" t="s">
        <v>117</v>
      </c>
      <c r="K304" t="s">
        <v>61</v>
      </c>
      <c r="L304" t="s">
        <v>769</v>
      </c>
      <c r="M304" t="s">
        <v>44</v>
      </c>
      <c r="N304" t="s">
        <v>110</v>
      </c>
      <c r="O304" t="s">
        <v>168</v>
      </c>
      <c r="P304" t="s">
        <v>169</v>
      </c>
      <c r="Q304" t="s">
        <v>139</v>
      </c>
      <c r="R304" t="s">
        <v>49</v>
      </c>
      <c r="S304">
        <v>2</v>
      </c>
      <c r="T304" s="14">
        <v>66.78</v>
      </c>
      <c r="U304" s="7">
        <v>12</v>
      </c>
      <c r="V304" s="7">
        <v>22</v>
      </c>
      <c r="W304" s="14">
        <v>100.78</v>
      </c>
      <c r="X304" s="14">
        <v>222.6</v>
      </c>
      <c r="Y304" s="16">
        <v>0</v>
      </c>
      <c r="Z304" s="12">
        <v>445.2</v>
      </c>
      <c r="AA304" s="5">
        <v>243.64</v>
      </c>
      <c r="AB304" s="18">
        <v>54.73</v>
      </c>
      <c r="AC304" t="s">
        <v>104</v>
      </c>
      <c r="AD304" t="s">
        <v>51</v>
      </c>
      <c r="AE304" t="s">
        <v>52</v>
      </c>
      <c r="AF304">
        <v>4</v>
      </c>
      <c r="AG304" t="s">
        <v>53</v>
      </c>
    </row>
    <row r="305" spans="1:33">
      <c r="A305" t="s">
        <v>770</v>
      </c>
      <c r="B305" s="10">
        <v>45768</v>
      </c>
      <c r="C305" s="3" t="s">
        <v>307</v>
      </c>
      <c r="D305" t="s">
        <v>206</v>
      </c>
      <c r="E305" t="s">
        <v>280</v>
      </c>
      <c r="F305" t="s">
        <v>131</v>
      </c>
      <c r="G305" t="s">
        <v>132</v>
      </c>
      <c r="H305" t="s">
        <v>58</v>
      </c>
      <c r="I305" t="s">
        <v>59</v>
      </c>
      <c r="J305" t="s">
        <v>60</v>
      </c>
      <c r="K305" t="s">
        <v>61</v>
      </c>
      <c r="L305" t="s">
        <v>771</v>
      </c>
      <c r="M305" t="s">
        <v>63</v>
      </c>
      <c r="N305" t="s">
        <v>81</v>
      </c>
      <c r="O305" t="s">
        <v>46</v>
      </c>
      <c r="P305" t="s">
        <v>47</v>
      </c>
      <c r="Q305" t="s">
        <v>48</v>
      </c>
      <c r="R305" t="s">
        <v>49</v>
      </c>
      <c r="S305">
        <v>1</v>
      </c>
      <c r="T305" s="14">
        <v>108.78</v>
      </c>
      <c r="U305" s="7">
        <v>12</v>
      </c>
      <c r="V305" s="7">
        <v>22</v>
      </c>
      <c r="W305" s="14">
        <v>142.78</v>
      </c>
      <c r="X305" s="14">
        <v>362.6</v>
      </c>
      <c r="Y305" s="16">
        <v>0</v>
      </c>
      <c r="Z305" s="12">
        <v>362.6</v>
      </c>
      <c r="AA305" s="5">
        <v>219.82</v>
      </c>
      <c r="AB305" s="18">
        <v>60.62</v>
      </c>
      <c r="AC305" t="s">
        <v>85</v>
      </c>
      <c r="AD305" t="s">
        <v>51</v>
      </c>
      <c r="AE305" t="s">
        <v>96</v>
      </c>
      <c r="AF305">
        <v>5</v>
      </c>
      <c r="AG305" t="s">
        <v>53</v>
      </c>
    </row>
    <row r="306" spans="1:33">
      <c r="A306" t="s">
        <v>772</v>
      </c>
      <c r="B306" s="10">
        <v>45963</v>
      </c>
      <c r="C306" s="3" t="s">
        <v>211</v>
      </c>
      <c r="D306" t="s">
        <v>89</v>
      </c>
      <c r="E306" t="s">
        <v>57</v>
      </c>
      <c r="F306" t="s">
        <v>37</v>
      </c>
      <c r="G306" t="s">
        <v>38</v>
      </c>
      <c r="H306" t="s">
        <v>75</v>
      </c>
      <c r="I306" t="s">
        <v>76</v>
      </c>
      <c r="J306" t="s">
        <v>77</v>
      </c>
      <c r="K306" t="s">
        <v>78</v>
      </c>
      <c r="L306" t="s">
        <v>773</v>
      </c>
      <c r="M306" t="s">
        <v>80</v>
      </c>
      <c r="N306" t="s">
        <v>45</v>
      </c>
      <c r="O306" t="s">
        <v>213</v>
      </c>
      <c r="P306" t="s">
        <v>214</v>
      </c>
      <c r="Q306" t="s">
        <v>215</v>
      </c>
      <c r="R306" t="s">
        <v>67</v>
      </c>
      <c r="S306">
        <v>4</v>
      </c>
      <c r="T306" s="14">
        <v>89.7</v>
      </c>
      <c r="U306" s="7">
        <v>12</v>
      </c>
      <c r="V306" s="7">
        <v>22</v>
      </c>
      <c r="W306" s="14">
        <v>123.7</v>
      </c>
      <c r="X306" s="14">
        <v>299</v>
      </c>
      <c r="Y306" s="16">
        <v>15</v>
      </c>
      <c r="Z306" s="12">
        <v>1016.6</v>
      </c>
      <c r="AA306" s="5">
        <v>521.79999999999995</v>
      </c>
      <c r="AB306" s="18">
        <v>51.33</v>
      </c>
      <c r="AC306" t="s">
        <v>85</v>
      </c>
      <c r="AD306" t="s">
        <v>86</v>
      </c>
      <c r="AE306" t="s">
        <v>126</v>
      </c>
      <c r="AF306">
        <v>4</v>
      </c>
      <c r="AG306" t="s">
        <v>53</v>
      </c>
    </row>
    <row r="307" spans="1:33">
      <c r="A307" t="s">
        <v>774</v>
      </c>
      <c r="B307" s="10">
        <v>45685</v>
      </c>
      <c r="C307" s="3" t="s">
        <v>339</v>
      </c>
      <c r="D307" t="s">
        <v>156</v>
      </c>
      <c r="E307" t="s">
        <v>152</v>
      </c>
      <c r="F307" t="s">
        <v>91</v>
      </c>
      <c r="G307" t="s">
        <v>92</v>
      </c>
      <c r="H307" t="s">
        <v>133</v>
      </c>
      <c r="I307" t="s">
        <v>134</v>
      </c>
      <c r="J307" t="s">
        <v>135</v>
      </c>
      <c r="K307" t="s">
        <v>42</v>
      </c>
      <c r="L307" t="s">
        <v>775</v>
      </c>
      <c r="M307" t="s">
        <v>44</v>
      </c>
      <c r="N307" t="s">
        <v>45</v>
      </c>
      <c r="O307" t="s">
        <v>82</v>
      </c>
      <c r="P307" t="s">
        <v>83</v>
      </c>
      <c r="Q307" t="s">
        <v>66</v>
      </c>
      <c r="R307" t="s">
        <v>67</v>
      </c>
      <c r="S307">
        <v>1</v>
      </c>
      <c r="T307" s="14">
        <v>71.7</v>
      </c>
      <c r="U307" s="7">
        <v>12</v>
      </c>
      <c r="V307" s="7">
        <v>22</v>
      </c>
      <c r="W307" s="14">
        <v>105.7</v>
      </c>
      <c r="X307" s="14">
        <v>239</v>
      </c>
      <c r="Y307" s="16">
        <v>5</v>
      </c>
      <c r="Z307" s="12">
        <v>227.05</v>
      </c>
      <c r="AA307" s="5">
        <v>121.35</v>
      </c>
      <c r="AB307" s="18">
        <v>53.45</v>
      </c>
      <c r="AC307" t="s">
        <v>111</v>
      </c>
      <c r="AD307" t="s">
        <v>86</v>
      </c>
      <c r="AE307" t="s">
        <v>68</v>
      </c>
      <c r="AF307">
        <v>5</v>
      </c>
      <c r="AG307" t="s">
        <v>53</v>
      </c>
    </row>
    <row r="308" spans="1:33">
      <c r="A308" t="s">
        <v>776</v>
      </c>
      <c r="B308" s="10">
        <v>45818</v>
      </c>
      <c r="C308" s="3" t="s">
        <v>160</v>
      </c>
      <c r="D308" t="s">
        <v>156</v>
      </c>
      <c r="E308" t="s">
        <v>174</v>
      </c>
      <c r="F308" t="s">
        <v>131</v>
      </c>
      <c r="G308" t="s">
        <v>132</v>
      </c>
      <c r="H308" t="s">
        <v>58</v>
      </c>
      <c r="I308" t="s">
        <v>59</v>
      </c>
      <c r="J308" t="s">
        <v>60</v>
      </c>
      <c r="K308" t="s">
        <v>61</v>
      </c>
      <c r="L308" t="s">
        <v>777</v>
      </c>
      <c r="M308" t="s">
        <v>63</v>
      </c>
      <c r="N308" t="s">
        <v>110</v>
      </c>
      <c r="O308" t="s">
        <v>46</v>
      </c>
      <c r="P308" t="s">
        <v>47</v>
      </c>
      <c r="Q308" t="s">
        <v>48</v>
      </c>
      <c r="R308" t="s">
        <v>84</v>
      </c>
      <c r="S308">
        <v>3</v>
      </c>
      <c r="T308" s="14">
        <v>93.24</v>
      </c>
      <c r="U308" s="7">
        <v>12</v>
      </c>
      <c r="V308" s="7">
        <v>22</v>
      </c>
      <c r="W308" s="14">
        <v>127.24</v>
      </c>
      <c r="X308" s="14">
        <v>310.8</v>
      </c>
      <c r="Y308" s="16">
        <v>10</v>
      </c>
      <c r="Z308" s="12">
        <v>839.16</v>
      </c>
      <c r="AA308" s="5">
        <v>457.44</v>
      </c>
      <c r="AB308" s="18">
        <v>54.51</v>
      </c>
      <c r="AC308" t="s">
        <v>50</v>
      </c>
      <c r="AD308" t="s">
        <v>51</v>
      </c>
      <c r="AE308" t="s">
        <v>105</v>
      </c>
      <c r="AF308">
        <v>3</v>
      </c>
      <c r="AG308" t="s">
        <v>53</v>
      </c>
    </row>
    <row r="309" spans="1:33">
      <c r="A309" t="s">
        <v>778</v>
      </c>
      <c r="B309" s="10">
        <v>45675</v>
      </c>
      <c r="C309" s="3" t="s">
        <v>155</v>
      </c>
      <c r="D309" t="s">
        <v>71</v>
      </c>
      <c r="E309" t="s">
        <v>152</v>
      </c>
      <c r="F309" t="s">
        <v>91</v>
      </c>
      <c r="G309" t="s">
        <v>92</v>
      </c>
      <c r="H309" t="s">
        <v>39</v>
      </c>
      <c r="I309" t="s">
        <v>2143</v>
      </c>
      <c r="J309" t="s">
        <v>41</v>
      </c>
      <c r="K309" t="s">
        <v>42</v>
      </c>
      <c r="L309" t="s">
        <v>779</v>
      </c>
      <c r="M309" t="s">
        <v>63</v>
      </c>
      <c r="N309" t="s">
        <v>81</v>
      </c>
      <c r="O309" t="s">
        <v>213</v>
      </c>
      <c r="P309" t="s">
        <v>214</v>
      </c>
      <c r="Q309" t="s">
        <v>215</v>
      </c>
      <c r="R309" t="s">
        <v>84</v>
      </c>
      <c r="S309">
        <v>1</v>
      </c>
      <c r="T309" s="14">
        <v>107.64</v>
      </c>
      <c r="U309" s="7">
        <v>12</v>
      </c>
      <c r="V309" s="7">
        <v>22</v>
      </c>
      <c r="W309" s="14">
        <v>141.63999999999999</v>
      </c>
      <c r="X309" s="14">
        <v>358.8</v>
      </c>
      <c r="Y309" s="16">
        <v>10</v>
      </c>
      <c r="Z309" s="12">
        <v>322.92</v>
      </c>
      <c r="AA309" s="5">
        <v>181.28</v>
      </c>
      <c r="AB309" s="18">
        <v>56.14</v>
      </c>
      <c r="AC309" t="s">
        <v>85</v>
      </c>
      <c r="AD309" t="s">
        <v>86</v>
      </c>
      <c r="AE309" t="s">
        <v>52</v>
      </c>
      <c r="AF309">
        <v>4</v>
      </c>
      <c r="AG309" t="s">
        <v>53</v>
      </c>
    </row>
    <row r="310" spans="1:33">
      <c r="A310" t="s">
        <v>780</v>
      </c>
      <c r="B310" s="10">
        <v>45855</v>
      </c>
      <c r="C310" s="3" t="s">
        <v>185</v>
      </c>
      <c r="D310" t="s">
        <v>56</v>
      </c>
      <c r="E310" t="s">
        <v>114</v>
      </c>
      <c r="F310" t="s">
        <v>73</v>
      </c>
      <c r="G310" t="s">
        <v>74</v>
      </c>
      <c r="H310" t="s">
        <v>115</v>
      </c>
      <c r="I310" t="s">
        <v>116</v>
      </c>
      <c r="J310" t="s">
        <v>117</v>
      </c>
      <c r="K310" t="s">
        <v>61</v>
      </c>
      <c r="L310" t="s">
        <v>781</v>
      </c>
      <c r="M310" t="s">
        <v>63</v>
      </c>
      <c r="N310" t="s">
        <v>81</v>
      </c>
      <c r="O310" t="s">
        <v>176</v>
      </c>
      <c r="P310" t="s">
        <v>177</v>
      </c>
      <c r="Q310" t="s">
        <v>66</v>
      </c>
      <c r="R310" t="s">
        <v>84</v>
      </c>
      <c r="S310">
        <v>3</v>
      </c>
      <c r="T310" s="14">
        <v>60.84</v>
      </c>
      <c r="U310" s="7">
        <v>12</v>
      </c>
      <c r="V310" s="7">
        <v>22</v>
      </c>
      <c r="W310" s="14">
        <v>94.84</v>
      </c>
      <c r="X310" s="14">
        <v>202.8</v>
      </c>
      <c r="Y310" s="16">
        <v>5</v>
      </c>
      <c r="Z310" s="12">
        <v>577.98</v>
      </c>
      <c r="AA310" s="5">
        <v>293.45999999999998</v>
      </c>
      <c r="AB310" s="18">
        <v>50.77</v>
      </c>
      <c r="AC310" t="s">
        <v>85</v>
      </c>
      <c r="AD310" t="s">
        <v>86</v>
      </c>
      <c r="AE310" t="s">
        <v>68</v>
      </c>
      <c r="AF310">
        <v>4</v>
      </c>
      <c r="AG310" t="s">
        <v>53</v>
      </c>
    </row>
    <row r="311" spans="1:33">
      <c r="A311" t="s">
        <v>782</v>
      </c>
      <c r="B311" s="10">
        <v>46013</v>
      </c>
      <c r="C311" s="3" t="s">
        <v>339</v>
      </c>
      <c r="D311" t="s">
        <v>206</v>
      </c>
      <c r="E311" t="s">
        <v>149</v>
      </c>
      <c r="F311" t="s">
        <v>37</v>
      </c>
      <c r="G311" t="s">
        <v>92</v>
      </c>
      <c r="H311" t="s">
        <v>133</v>
      </c>
      <c r="I311" t="s">
        <v>134</v>
      </c>
      <c r="J311" t="s">
        <v>135</v>
      </c>
      <c r="K311" t="s">
        <v>42</v>
      </c>
      <c r="L311" t="s">
        <v>783</v>
      </c>
      <c r="M311" t="s">
        <v>80</v>
      </c>
      <c r="N311" t="s">
        <v>110</v>
      </c>
      <c r="O311" t="s">
        <v>176</v>
      </c>
      <c r="P311" t="s">
        <v>177</v>
      </c>
      <c r="Q311" t="s">
        <v>66</v>
      </c>
      <c r="R311" t="s">
        <v>84</v>
      </c>
      <c r="S311">
        <v>2</v>
      </c>
      <c r="T311" s="14">
        <v>60.84</v>
      </c>
      <c r="U311" s="7">
        <v>12</v>
      </c>
      <c r="V311" s="7">
        <v>22</v>
      </c>
      <c r="W311" s="14">
        <v>94.84</v>
      </c>
      <c r="X311" s="14">
        <v>202.8</v>
      </c>
      <c r="Y311" s="16">
        <v>0</v>
      </c>
      <c r="Z311" s="12">
        <v>405.6</v>
      </c>
      <c r="AA311" s="5">
        <v>215.92</v>
      </c>
      <c r="AB311" s="18">
        <v>53.23</v>
      </c>
      <c r="AC311" t="s">
        <v>111</v>
      </c>
      <c r="AD311" t="s">
        <v>51</v>
      </c>
      <c r="AE311" t="s">
        <v>52</v>
      </c>
      <c r="AF311">
        <v>5</v>
      </c>
      <c r="AG311" t="s">
        <v>53</v>
      </c>
    </row>
    <row r="312" spans="1:33">
      <c r="A312" t="s">
        <v>784</v>
      </c>
      <c r="B312" s="10">
        <v>45885</v>
      </c>
      <c r="C312" s="3" t="s">
        <v>55</v>
      </c>
      <c r="D312" t="s">
        <v>71</v>
      </c>
      <c r="E312" t="s">
        <v>99</v>
      </c>
      <c r="F312" t="s">
        <v>73</v>
      </c>
      <c r="G312" t="s">
        <v>74</v>
      </c>
      <c r="H312" t="s">
        <v>133</v>
      </c>
      <c r="I312" t="s">
        <v>134</v>
      </c>
      <c r="J312" t="s">
        <v>135</v>
      </c>
      <c r="K312" t="s">
        <v>42</v>
      </c>
      <c r="L312" t="s">
        <v>785</v>
      </c>
      <c r="M312" t="s">
        <v>80</v>
      </c>
      <c r="N312" t="s">
        <v>81</v>
      </c>
      <c r="O312" t="s">
        <v>168</v>
      </c>
      <c r="P312" t="s">
        <v>169</v>
      </c>
      <c r="Q312" t="s">
        <v>139</v>
      </c>
      <c r="R312" t="s">
        <v>67</v>
      </c>
      <c r="S312">
        <v>4</v>
      </c>
      <c r="T312" s="14">
        <v>47.7</v>
      </c>
      <c r="U312" s="7">
        <v>12</v>
      </c>
      <c r="V312" s="7">
        <v>22</v>
      </c>
      <c r="W312" s="14">
        <v>81.7</v>
      </c>
      <c r="X312" s="14">
        <v>159</v>
      </c>
      <c r="Y312" s="16">
        <v>15</v>
      </c>
      <c r="Z312" s="12">
        <v>540.6</v>
      </c>
      <c r="AA312" s="5">
        <v>213.8</v>
      </c>
      <c r="AB312" s="18">
        <v>39.549999999999997</v>
      </c>
      <c r="AC312" t="s">
        <v>85</v>
      </c>
      <c r="AD312" t="s">
        <v>158</v>
      </c>
      <c r="AE312" t="s">
        <v>105</v>
      </c>
      <c r="AF312">
        <v>5</v>
      </c>
      <c r="AG312" t="s">
        <v>53</v>
      </c>
    </row>
    <row r="313" spans="1:33">
      <c r="A313" t="s">
        <v>786</v>
      </c>
      <c r="B313" s="10">
        <v>45891</v>
      </c>
      <c r="C313" s="3" t="s">
        <v>98</v>
      </c>
      <c r="D313" t="s">
        <v>35</v>
      </c>
      <c r="E313" t="s">
        <v>99</v>
      </c>
      <c r="F313" t="s">
        <v>73</v>
      </c>
      <c r="G313" t="s">
        <v>74</v>
      </c>
      <c r="H313" t="s">
        <v>115</v>
      </c>
      <c r="I313" t="s">
        <v>116</v>
      </c>
      <c r="J313" t="s">
        <v>117</v>
      </c>
      <c r="K313" t="s">
        <v>61</v>
      </c>
      <c r="L313" t="s">
        <v>787</v>
      </c>
      <c r="M313" t="s">
        <v>63</v>
      </c>
      <c r="N313" t="s">
        <v>81</v>
      </c>
      <c r="O313" t="s">
        <v>94</v>
      </c>
      <c r="P313" t="s">
        <v>95</v>
      </c>
      <c r="Q313" t="s">
        <v>66</v>
      </c>
      <c r="R313" t="s">
        <v>67</v>
      </c>
      <c r="S313">
        <v>2</v>
      </c>
      <c r="T313" s="14">
        <v>65.7</v>
      </c>
      <c r="U313" s="7">
        <v>12</v>
      </c>
      <c r="V313" s="7">
        <v>22</v>
      </c>
      <c r="W313" s="14">
        <v>99.7</v>
      </c>
      <c r="X313" s="14">
        <v>219</v>
      </c>
      <c r="Y313" s="16">
        <v>0</v>
      </c>
      <c r="Z313" s="12">
        <v>438</v>
      </c>
      <c r="AA313" s="5">
        <v>238.6</v>
      </c>
      <c r="AB313" s="18">
        <v>54.47</v>
      </c>
      <c r="AC313" t="s">
        <v>104</v>
      </c>
      <c r="AD313" t="s">
        <v>158</v>
      </c>
      <c r="AE313" t="s">
        <v>52</v>
      </c>
      <c r="AF313">
        <v>4</v>
      </c>
      <c r="AG313" t="s">
        <v>53</v>
      </c>
    </row>
    <row r="314" spans="1:33">
      <c r="A314" t="s">
        <v>788</v>
      </c>
      <c r="B314" s="10">
        <v>46009</v>
      </c>
      <c r="C314" s="3" t="s">
        <v>113</v>
      </c>
      <c r="D314" t="s">
        <v>56</v>
      </c>
      <c r="E314" t="s">
        <v>149</v>
      </c>
      <c r="F314" t="s">
        <v>37</v>
      </c>
      <c r="G314" t="s">
        <v>92</v>
      </c>
      <c r="H314" t="s">
        <v>39</v>
      </c>
      <c r="I314" t="s">
        <v>2143</v>
      </c>
      <c r="J314" t="s">
        <v>41</v>
      </c>
      <c r="K314" t="s">
        <v>42</v>
      </c>
      <c r="L314" t="s">
        <v>789</v>
      </c>
      <c r="M314" t="s">
        <v>63</v>
      </c>
      <c r="N314" t="s">
        <v>45</v>
      </c>
      <c r="O314" t="s">
        <v>82</v>
      </c>
      <c r="P314" t="s">
        <v>83</v>
      </c>
      <c r="Q314" t="s">
        <v>66</v>
      </c>
      <c r="R314" t="s">
        <v>84</v>
      </c>
      <c r="S314">
        <v>3</v>
      </c>
      <c r="T314" s="14">
        <v>86.04</v>
      </c>
      <c r="U314" s="7">
        <v>12</v>
      </c>
      <c r="V314" s="7">
        <v>22</v>
      </c>
      <c r="W314" s="14">
        <v>120.04</v>
      </c>
      <c r="X314" s="14">
        <v>286.8</v>
      </c>
      <c r="Y314" s="16">
        <v>0</v>
      </c>
      <c r="Z314" s="12">
        <v>860.4</v>
      </c>
      <c r="AA314" s="5">
        <v>500.28</v>
      </c>
      <c r="AB314" s="18">
        <v>58.15</v>
      </c>
      <c r="AC314" t="s">
        <v>111</v>
      </c>
      <c r="AD314" t="s">
        <v>158</v>
      </c>
      <c r="AE314" t="s">
        <v>68</v>
      </c>
      <c r="AF314">
        <v>5</v>
      </c>
      <c r="AG314" t="s">
        <v>53</v>
      </c>
    </row>
    <row r="315" spans="1:33">
      <c r="A315" t="s">
        <v>790</v>
      </c>
      <c r="B315" s="10">
        <v>45870</v>
      </c>
      <c r="C315" s="3" t="s">
        <v>182</v>
      </c>
      <c r="D315" t="s">
        <v>35</v>
      </c>
      <c r="E315" t="s">
        <v>99</v>
      </c>
      <c r="F315" t="s">
        <v>73</v>
      </c>
      <c r="G315" t="s">
        <v>74</v>
      </c>
      <c r="H315" t="s">
        <v>133</v>
      </c>
      <c r="I315" t="s">
        <v>134</v>
      </c>
      <c r="J315" t="s">
        <v>135</v>
      </c>
      <c r="K315" t="s">
        <v>42</v>
      </c>
      <c r="L315" t="s">
        <v>791</v>
      </c>
      <c r="M315" t="s">
        <v>63</v>
      </c>
      <c r="N315" t="s">
        <v>110</v>
      </c>
      <c r="O315" t="s">
        <v>189</v>
      </c>
      <c r="P315" t="s">
        <v>190</v>
      </c>
      <c r="Q315" t="s">
        <v>48</v>
      </c>
      <c r="R315" t="s">
        <v>67</v>
      </c>
      <c r="S315">
        <v>2</v>
      </c>
      <c r="T315" s="14">
        <v>47.7</v>
      </c>
      <c r="U315" s="7">
        <v>12</v>
      </c>
      <c r="V315" s="7">
        <v>22</v>
      </c>
      <c r="W315" s="14">
        <v>81.7</v>
      </c>
      <c r="X315" s="14">
        <v>159</v>
      </c>
      <c r="Y315" s="16">
        <v>0</v>
      </c>
      <c r="Z315" s="12">
        <v>318</v>
      </c>
      <c r="AA315" s="5">
        <v>154.6</v>
      </c>
      <c r="AB315" s="18">
        <v>48.62</v>
      </c>
      <c r="AC315" t="s">
        <v>104</v>
      </c>
      <c r="AD315" t="s">
        <v>51</v>
      </c>
      <c r="AE315" t="s">
        <v>96</v>
      </c>
      <c r="AF315">
        <v>5</v>
      </c>
      <c r="AG315" t="s">
        <v>53</v>
      </c>
    </row>
    <row r="316" spans="1:33">
      <c r="A316" t="s">
        <v>792</v>
      </c>
      <c r="B316" s="10">
        <v>46021</v>
      </c>
      <c r="C316" s="3" t="s">
        <v>160</v>
      </c>
      <c r="D316" t="s">
        <v>156</v>
      </c>
      <c r="E316" t="s">
        <v>149</v>
      </c>
      <c r="F316" t="s">
        <v>37</v>
      </c>
      <c r="G316" t="s">
        <v>92</v>
      </c>
      <c r="H316" t="s">
        <v>115</v>
      </c>
      <c r="I316" t="s">
        <v>116</v>
      </c>
      <c r="J316" t="s">
        <v>117</v>
      </c>
      <c r="K316" t="s">
        <v>61</v>
      </c>
      <c r="L316" t="s">
        <v>793</v>
      </c>
      <c r="M316" t="s">
        <v>44</v>
      </c>
      <c r="N316" t="s">
        <v>81</v>
      </c>
      <c r="O316" t="s">
        <v>46</v>
      </c>
      <c r="P316" t="s">
        <v>47</v>
      </c>
      <c r="Q316" t="s">
        <v>48</v>
      </c>
      <c r="R316" t="s">
        <v>49</v>
      </c>
      <c r="S316">
        <v>3</v>
      </c>
      <c r="T316" s="14">
        <v>108.78</v>
      </c>
      <c r="U316" s="7">
        <v>12</v>
      </c>
      <c r="V316" s="7">
        <v>22</v>
      </c>
      <c r="W316" s="14">
        <v>142.78</v>
      </c>
      <c r="X316" s="14">
        <v>362.6</v>
      </c>
      <c r="Y316" s="16">
        <v>5</v>
      </c>
      <c r="Z316" s="12">
        <v>1033.4100000000001</v>
      </c>
      <c r="AA316" s="5">
        <v>605.07000000000005</v>
      </c>
      <c r="AB316" s="18">
        <v>58.55</v>
      </c>
      <c r="AC316" t="s">
        <v>104</v>
      </c>
      <c r="AD316" t="s">
        <v>51</v>
      </c>
      <c r="AE316" t="s">
        <v>96</v>
      </c>
      <c r="AF316">
        <v>5</v>
      </c>
      <c r="AG316" t="s">
        <v>53</v>
      </c>
    </row>
    <row r="317" spans="1:33">
      <c r="A317" t="s">
        <v>794</v>
      </c>
      <c r="B317" s="10">
        <v>46009</v>
      </c>
      <c r="C317" s="3" t="s">
        <v>113</v>
      </c>
      <c r="D317" t="s">
        <v>56</v>
      </c>
      <c r="E317" t="s">
        <v>149</v>
      </c>
      <c r="F317" t="s">
        <v>37</v>
      </c>
      <c r="G317" t="s">
        <v>92</v>
      </c>
      <c r="H317" t="s">
        <v>75</v>
      </c>
      <c r="I317" t="s">
        <v>76</v>
      </c>
      <c r="J317" t="s">
        <v>77</v>
      </c>
      <c r="K317" t="s">
        <v>78</v>
      </c>
      <c r="L317" t="s">
        <v>795</v>
      </c>
      <c r="M317" t="s">
        <v>44</v>
      </c>
      <c r="N317" t="s">
        <v>110</v>
      </c>
      <c r="O317" t="s">
        <v>64</v>
      </c>
      <c r="P317" t="s">
        <v>65</v>
      </c>
      <c r="Q317" t="s">
        <v>66</v>
      </c>
      <c r="R317" t="s">
        <v>49</v>
      </c>
      <c r="S317">
        <v>3</v>
      </c>
      <c r="T317" s="14">
        <v>62.58</v>
      </c>
      <c r="U317" s="7">
        <v>12</v>
      </c>
      <c r="V317" s="7">
        <v>22</v>
      </c>
      <c r="W317" s="14">
        <v>96.58</v>
      </c>
      <c r="X317" s="14">
        <v>208.6</v>
      </c>
      <c r="Y317" s="16">
        <v>0</v>
      </c>
      <c r="Z317" s="12">
        <v>625.79999999999995</v>
      </c>
      <c r="AA317" s="5">
        <v>336.06</v>
      </c>
      <c r="AB317" s="18">
        <v>53.7</v>
      </c>
      <c r="AC317" t="s">
        <v>85</v>
      </c>
      <c r="AD317" t="s">
        <v>86</v>
      </c>
      <c r="AE317" t="s">
        <v>96</v>
      </c>
      <c r="AF317">
        <v>5</v>
      </c>
      <c r="AG317" t="s">
        <v>53</v>
      </c>
    </row>
    <row r="318" spans="1:33">
      <c r="A318" t="s">
        <v>796</v>
      </c>
      <c r="B318" s="10">
        <v>45796</v>
      </c>
      <c r="C318" s="3" t="s">
        <v>182</v>
      </c>
      <c r="D318" t="s">
        <v>206</v>
      </c>
      <c r="E318" t="s">
        <v>130</v>
      </c>
      <c r="F318" t="s">
        <v>131</v>
      </c>
      <c r="G318" t="s">
        <v>132</v>
      </c>
      <c r="H318" t="s">
        <v>58</v>
      </c>
      <c r="I318" t="s">
        <v>59</v>
      </c>
      <c r="J318" t="s">
        <v>60</v>
      </c>
      <c r="K318" t="s">
        <v>61</v>
      </c>
      <c r="L318" t="s">
        <v>797</v>
      </c>
      <c r="M318" t="s">
        <v>80</v>
      </c>
      <c r="N318" t="s">
        <v>110</v>
      </c>
      <c r="O318" t="s">
        <v>189</v>
      </c>
      <c r="P318" t="s">
        <v>190</v>
      </c>
      <c r="Q318" t="s">
        <v>48</v>
      </c>
      <c r="R318" t="s">
        <v>67</v>
      </c>
      <c r="S318">
        <v>3</v>
      </c>
      <c r="T318" s="14">
        <v>47.7</v>
      </c>
      <c r="U318" s="7">
        <v>12</v>
      </c>
      <c r="V318" s="7">
        <v>22</v>
      </c>
      <c r="W318" s="14">
        <v>81.7</v>
      </c>
      <c r="X318" s="14">
        <v>159</v>
      </c>
      <c r="Y318" s="16">
        <v>0</v>
      </c>
      <c r="Z318" s="12">
        <v>477</v>
      </c>
      <c r="AA318" s="5">
        <v>231.9</v>
      </c>
      <c r="AB318" s="18">
        <v>48.62</v>
      </c>
      <c r="AC318" t="s">
        <v>85</v>
      </c>
      <c r="AD318" t="s">
        <v>158</v>
      </c>
      <c r="AE318" t="s">
        <v>105</v>
      </c>
      <c r="AF318">
        <v>4</v>
      </c>
      <c r="AG318" t="s">
        <v>53</v>
      </c>
    </row>
    <row r="319" spans="1:33">
      <c r="A319" t="s">
        <v>798</v>
      </c>
      <c r="B319" s="10">
        <v>45944</v>
      </c>
      <c r="C319" s="3" t="s">
        <v>339</v>
      </c>
      <c r="D319" t="s">
        <v>156</v>
      </c>
      <c r="E319" t="s">
        <v>36</v>
      </c>
      <c r="F319" t="s">
        <v>37</v>
      </c>
      <c r="G319" t="s">
        <v>38</v>
      </c>
      <c r="H319" t="s">
        <v>75</v>
      </c>
      <c r="I319" t="s">
        <v>76</v>
      </c>
      <c r="J319" t="s">
        <v>77</v>
      </c>
      <c r="K319" t="s">
        <v>78</v>
      </c>
      <c r="L319" t="s">
        <v>799</v>
      </c>
      <c r="M319" t="s">
        <v>80</v>
      </c>
      <c r="N319" t="s">
        <v>110</v>
      </c>
      <c r="O319" t="s">
        <v>94</v>
      </c>
      <c r="P319" t="s">
        <v>95</v>
      </c>
      <c r="Q319" t="s">
        <v>66</v>
      </c>
      <c r="R319" t="s">
        <v>49</v>
      </c>
      <c r="S319">
        <v>1</v>
      </c>
      <c r="T319" s="14">
        <v>91.98</v>
      </c>
      <c r="U319" s="7">
        <v>12</v>
      </c>
      <c r="V319" s="7">
        <v>22</v>
      </c>
      <c r="W319" s="14">
        <v>125.98</v>
      </c>
      <c r="X319" s="14">
        <v>306.60000000000002</v>
      </c>
      <c r="Y319" s="16">
        <v>5</v>
      </c>
      <c r="Z319" s="12">
        <v>291.27</v>
      </c>
      <c r="AA319" s="5">
        <v>165.29</v>
      </c>
      <c r="AB319" s="18">
        <v>56.75</v>
      </c>
      <c r="AC319" t="s">
        <v>111</v>
      </c>
      <c r="AD319" t="s">
        <v>51</v>
      </c>
      <c r="AE319" t="s">
        <v>68</v>
      </c>
      <c r="AF319">
        <v>5</v>
      </c>
      <c r="AG319" t="s">
        <v>53</v>
      </c>
    </row>
    <row r="320" spans="1:33">
      <c r="A320" t="s">
        <v>800</v>
      </c>
      <c r="B320" s="10">
        <v>45922</v>
      </c>
      <c r="C320" s="3" t="s">
        <v>160</v>
      </c>
      <c r="D320" t="s">
        <v>206</v>
      </c>
      <c r="E320" t="s">
        <v>72</v>
      </c>
      <c r="F320" t="s">
        <v>73</v>
      </c>
      <c r="G320" t="s">
        <v>74</v>
      </c>
      <c r="H320" t="s">
        <v>75</v>
      </c>
      <c r="I320" t="s">
        <v>76</v>
      </c>
      <c r="J320" t="s">
        <v>77</v>
      </c>
      <c r="K320" t="s">
        <v>78</v>
      </c>
      <c r="L320" t="s">
        <v>801</v>
      </c>
      <c r="M320" t="s">
        <v>44</v>
      </c>
      <c r="N320" t="s">
        <v>81</v>
      </c>
      <c r="O320" t="s">
        <v>123</v>
      </c>
      <c r="P320" t="s">
        <v>124</v>
      </c>
      <c r="Q320" t="s">
        <v>125</v>
      </c>
      <c r="R320" t="s">
        <v>67</v>
      </c>
      <c r="S320">
        <v>1</v>
      </c>
      <c r="T320" s="14">
        <v>74.7</v>
      </c>
      <c r="U320" s="7">
        <v>12</v>
      </c>
      <c r="V320" s="7">
        <v>22</v>
      </c>
      <c r="W320" s="14">
        <v>108.7</v>
      </c>
      <c r="X320" s="14">
        <v>249</v>
      </c>
      <c r="Y320" s="16">
        <v>5</v>
      </c>
      <c r="Z320" s="12">
        <v>236.55</v>
      </c>
      <c r="AA320" s="5">
        <v>127.85</v>
      </c>
      <c r="AB320" s="18">
        <v>54.05</v>
      </c>
      <c r="AC320" t="s">
        <v>111</v>
      </c>
      <c r="AD320" t="s">
        <v>51</v>
      </c>
      <c r="AE320" t="s">
        <v>96</v>
      </c>
      <c r="AF320">
        <v>5</v>
      </c>
      <c r="AG320" t="s">
        <v>53</v>
      </c>
    </row>
    <row r="321" spans="1:33">
      <c r="A321" t="s">
        <v>802</v>
      </c>
      <c r="B321" s="10">
        <v>46021</v>
      </c>
      <c r="C321" s="3" t="s">
        <v>34</v>
      </c>
      <c r="D321" t="s">
        <v>156</v>
      </c>
      <c r="E321" t="s">
        <v>149</v>
      </c>
      <c r="F321" t="s">
        <v>37</v>
      </c>
      <c r="G321" t="s">
        <v>92</v>
      </c>
      <c r="H321" t="s">
        <v>142</v>
      </c>
      <c r="I321" t="s">
        <v>143</v>
      </c>
      <c r="J321" t="s">
        <v>144</v>
      </c>
      <c r="K321" t="s">
        <v>145</v>
      </c>
      <c r="L321" t="s">
        <v>803</v>
      </c>
      <c r="M321" t="s">
        <v>63</v>
      </c>
      <c r="N321" t="s">
        <v>45</v>
      </c>
      <c r="O321" t="s">
        <v>46</v>
      </c>
      <c r="P321" t="s">
        <v>47</v>
      </c>
      <c r="Q321" t="s">
        <v>48</v>
      </c>
      <c r="R321" t="s">
        <v>84</v>
      </c>
      <c r="S321">
        <v>1</v>
      </c>
      <c r="T321" s="14">
        <v>93.24</v>
      </c>
      <c r="U321" s="7">
        <v>12</v>
      </c>
      <c r="V321" s="7">
        <v>22</v>
      </c>
      <c r="W321" s="14">
        <v>127.24</v>
      </c>
      <c r="X321" s="14">
        <v>310.8</v>
      </c>
      <c r="Y321" s="16">
        <v>10</v>
      </c>
      <c r="Z321" s="12">
        <v>279.72000000000003</v>
      </c>
      <c r="AA321" s="5">
        <v>152.47999999999999</v>
      </c>
      <c r="AB321" s="18">
        <v>54.51</v>
      </c>
      <c r="AC321" t="s">
        <v>111</v>
      </c>
      <c r="AD321" t="s">
        <v>51</v>
      </c>
      <c r="AE321" t="s">
        <v>52</v>
      </c>
      <c r="AF321">
        <v>4</v>
      </c>
      <c r="AG321" t="s">
        <v>53</v>
      </c>
    </row>
    <row r="322" spans="1:33">
      <c r="A322" t="s">
        <v>804</v>
      </c>
      <c r="B322" s="10">
        <v>45923</v>
      </c>
      <c r="C322" s="3" t="s">
        <v>34</v>
      </c>
      <c r="D322" t="s">
        <v>156</v>
      </c>
      <c r="E322" t="s">
        <v>72</v>
      </c>
      <c r="F322" t="s">
        <v>73</v>
      </c>
      <c r="G322" t="s">
        <v>74</v>
      </c>
      <c r="H322" t="s">
        <v>58</v>
      </c>
      <c r="I322" t="s">
        <v>59</v>
      </c>
      <c r="J322" t="s">
        <v>60</v>
      </c>
      <c r="K322" t="s">
        <v>61</v>
      </c>
      <c r="L322" t="s">
        <v>805</v>
      </c>
      <c r="M322" t="s">
        <v>63</v>
      </c>
      <c r="N322" t="s">
        <v>45</v>
      </c>
      <c r="O322" t="s">
        <v>101</v>
      </c>
      <c r="P322" t="s">
        <v>102</v>
      </c>
      <c r="Q322" t="s">
        <v>103</v>
      </c>
      <c r="R322" t="s">
        <v>84</v>
      </c>
      <c r="S322">
        <v>3</v>
      </c>
      <c r="T322" s="14">
        <v>53.64</v>
      </c>
      <c r="U322" s="7">
        <v>12</v>
      </c>
      <c r="V322" s="7">
        <v>22</v>
      </c>
      <c r="W322" s="14">
        <v>87.64</v>
      </c>
      <c r="X322" s="14">
        <v>178.8</v>
      </c>
      <c r="Y322" s="16">
        <v>0</v>
      </c>
      <c r="Z322" s="12">
        <v>536.4</v>
      </c>
      <c r="AA322" s="5">
        <v>273.48</v>
      </c>
      <c r="AB322" s="18">
        <v>50.98</v>
      </c>
      <c r="AC322" t="s">
        <v>50</v>
      </c>
      <c r="AD322" t="s">
        <v>51</v>
      </c>
      <c r="AE322" t="s">
        <v>126</v>
      </c>
      <c r="AF322">
        <v>5</v>
      </c>
      <c r="AG322" t="s">
        <v>53</v>
      </c>
    </row>
    <row r="323" spans="1:33">
      <c r="A323" t="s">
        <v>806</v>
      </c>
      <c r="B323" s="10">
        <v>45789</v>
      </c>
      <c r="C323" s="3" t="s">
        <v>148</v>
      </c>
      <c r="D323" t="s">
        <v>206</v>
      </c>
      <c r="E323" t="s">
        <v>130</v>
      </c>
      <c r="F323" t="s">
        <v>131</v>
      </c>
      <c r="G323" t="s">
        <v>132</v>
      </c>
      <c r="H323" t="s">
        <v>39</v>
      </c>
      <c r="I323" t="s">
        <v>2143</v>
      </c>
      <c r="J323" t="s">
        <v>41</v>
      </c>
      <c r="K323" t="s">
        <v>42</v>
      </c>
      <c r="L323" t="s">
        <v>807</v>
      </c>
      <c r="M323" t="s">
        <v>44</v>
      </c>
      <c r="N323" t="s">
        <v>45</v>
      </c>
      <c r="O323" t="s">
        <v>101</v>
      </c>
      <c r="P323" t="s">
        <v>102</v>
      </c>
      <c r="Q323" t="s">
        <v>103</v>
      </c>
      <c r="R323" t="s">
        <v>67</v>
      </c>
      <c r="S323">
        <v>2</v>
      </c>
      <c r="T323" s="14">
        <v>44.7</v>
      </c>
      <c r="U323" s="7">
        <v>12</v>
      </c>
      <c r="V323" s="7">
        <v>22</v>
      </c>
      <c r="W323" s="14">
        <v>78.7</v>
      </c>
      <c r="X323" s="14">
        <v>149</v>
      </c>
      <c r="Y323" s="16">
        <v>10</v>
      </c>
      <c r="Z323" s="12">
        <v>268.2</v>
      </c>
      <c r="AA323" s="5">
        <v>110.8</v>
      </c>
      <c r="AB323" s="18">
        <v>41.31</v>
      </c>
      <c r="AC323" t="s">
        <v>50</v>
      </c>
      <c r="AD323" t="s">
        <v>86</v>
      </c>
      <c r="AE323" t="s">
        <v>68</v>
      </c>
      <c r="AF323">
        <v>5</v>
      </c>
      <c r="AG323" t="s">
        <v>53</v>
      </c>
    </row>
    <row r="324" spans="1:33">
      <c r="A324" t="s">
        <v>808</v>
      </c>
      <c r="B324" s="10">
        <v>45878</v>
      </c>
      <c r="C324" s="3" t="s">
        <v>148</v>
      </c>
      <c r="D324" t="s">
        <v>71</v>
      </c>
      <c r="E324" t="s">
        <v>99</v>
      </c>
      <c r="F324" t="s">
        <v>73</v>
      </c>
      <c r="G324" t="s">
        <v>74</v>
      </c>
      <c r="H324" t="s">
        <v>58</v>
      </c>
      <c r="I324" t="s">
        <v>59</v>
      </c>
      <c r="J324" t="s">
        <v>60</v>
      </c>
      <c r="K324" t="s">
        <v>61</v>
      </c>
      <c r="L324" t="s">
        <v>809</v>
      </c>
      <c r="M324" t="s">
        <v>44</v>
      </c>
      <c r="N324" t="s">
        <v>110</v>
      </c>
      <c r="O324" t="s">
        <v>101</v>
      </c>
      <c r="P324" t="s">
        <v>102</v>
      </c>
      <c r="Q324" t="s">
        <v>103</v>
      </c>
      <c r="R324" t="s">
        <v>49</v>
      </c>
      <c r="S324">
        <v>3</v>
      </c>
      <c r="T324" s="14">
        <v>62.58</v>
      </c>
      <c r="U324" s="7">
        <v>12</v>
      </c>
      <c r="V324" s="7">
        <v>22</v>
      </c>
      <c r="W324" s="14">
        <v>96.58</v>
      </c>
      <c r="X324" s="14">
        <v>208.6</v>
      </c>
      <c r="Y324" s="16">
        <v>15</v>
      </c>
      <c r="Z324" s="12">
        <v>531.92999999999995</v>
      </c>
      <c r="AA324" s="5">
        <v>242.19</v>
      </c>
      <c r="AB324" s="18">
        <v>45.53</v>
      </c>
      <c r="AC324" t="s">
        <v>85</v>
      </c>
      <c r="AD324" t="s">
        <v>86</v>
      </c>
      <c r="AE324" t="s">
        <v>96</v>
      </c>
      <c r="AF324">
        <v>5</v>
      </c>
      <c r="AG324" t="s">
        <v>53</v>
      </c>
    </row>
    <row r="325" spans="1:33">
      <c r="A325" t="s">
        <v>810</v>
      </c>
      <c r="B325" s="10">
        <v>45715</v>
      </c>
      <c r="C325" s="3" t="s">
        <v>128</v>
      </c>
      <c r="D325" t="s">
        <v>56</v>
      </c>
      <c r="E325" t="s">
        <v>90</v>
      </c>
      <c r="F325" t="s">
        <v>91</v>
      </c>
      <c r="G325" t="s">
        <v>92</v>
      </c>
      <c r="H325" t="s">
        <v>133</v>
      </c>
      <c r="I325" t="s">
        <v>134</v>
      </c>
      <c r="J325" t="s">
        <v>135</v>
      </c>
      <c r="K325" t="s">
        <v>42</v>
      </c>
      <c r="L325" t="s">
        <v>811</v>
      </c>
      <c r="M325" t="s">
        <v>63</v>
      </c>
      <c r="N325" t="s">
        <v>45</v>
      </c>
      <c r="O325" t="s">
        <v>64</v>
      </c>
      <c r="P325" t="s">
        <v>65</v>
      </c>
      <c r="Q325" t="s">
        <v>66</v>
      </c>
      <c r="R325" t="s">
        <v>49</v>
      </c>
      <c r="S325">
        <v>1</v>
      </c>
      <c r="T325" s="14">
        <v>62.58</v>
      </c>
      <c r="U325" s="7">
        <v>12</v>
      </c>
      <c r="V325" s="7">
        <v>22</v>
      </c>
      <c r="W325" s="14">
        <v>96.58</v>
      </c>
      <c r="X325" s="14">
        <v>208.6</v>
      </c>
      <c r="Y325" s="16">
        <v>0</v>
      </c>
      <c r="Z325" s="12">
        <v>208.6</v>
      </c>
      <c r="AA325" s="5">
        <v>112.02</v>
      </c>
      <c r="AB325" s="18">
        <v>53.7</v>
      </c>
      <c r="AC325" t="s">
        <v>50</v>
      </c>
      <c r="AD325" t="s">
        <v>51</v>
      </c>
      <c r="AE325" t="s">
        <v>52</v>
      </c>
      <c r="AF325">
        <v>5</v>
      </c>
      <c r="AG325" t="s">
        <v>53</v>
      </c>
    </row>
    <row r="326" spans="1:33">
      <c r="A326" t="s">
        <v>812</v>
      </c>
      <c r="B326" s="10">
        <v>45661</v>
      </c>
      <c r="C326" s="3" t="s">
        <v>219</v>
      </c>
      <c r="D326" t="s">
        <v>71</v>
      </c>
      <c r="E326" t="s">
        <v>152</v>
      </c>
      <c r="F326" t="s">
        <v>91</v>
      </c>
      <c r="G326" t="s">
        <v>92</v>
      </c>
      <c r="H326" t="s">
        <v>115</v>
      </c>
      <c r="I326" t="s">
        <v>116</v>
      </c>
      <c r="J326" t="s">
        <v>117</v>
      </c>
      <c r="K326" t="s">
        <v>61</v>
      </c>
      <c r="L326" t="s">
        <v>813</v>
      </c>
      <c r="M326" t="s">
        <v>80</v>
      </c>
      <c r="N326" t="s">
        <v>110</v>
      </c>
      <c r="O326" t="s">
        <v>213</v>
      </c>
      <c r="P326" t="s">
        <v>214</v>
      </c>
      <c r="Q326" t="s">
        <v>215</v>
      </c>
      <c r="R326" t="s">
        <v>67</v>
      </c>
      <c r="S326">
        <v>2</v>
      </c>
      <c r="T326" s="14">
        <v>89.7</v>
      </c>
      <c r="U326" s="7">
        <v>12</v>
      </c>
      <c r="V326" s="7">
        <v>22</v>
      </c>
      <c r="W326" s="14">
        <v>123.7</v>
      </c>
      <c r="X326" s="14">
        <v>299</v>
      </c>
      <c r="Y326" s="16">
        <v>10</v>
      </c>
      <c r="Z326" s="12">
        <v>538.20000000000005</v>
      </c>
      <c r="AA326" s="5">
        <v>290.8</v>
      </c>
      <c r="AB326" s="18">
        <v>54.03</v>
      </c>
      <c r="AC326" t="s">
        <v>104</v>
      </c>
      <c r="AD326" t="s">
        <v>51</v>
      </c>
      <c r="AE326" t="s">
        <v>126</v>
      </c>
      <c r="AF326">
        <v>5</v>
      </c>
      <c r="AG326" t="s">
        <v>53</v>
      </c>
    </row>
    <row r="327" spans="1:33">
      <c r="A327" t="s">
        <v>814</v>
      </c>
      <c r="B327" s="10">
        <v>45741</v>
      </c>
      <c r="C327" s="3" t="s">
        <v>160</v>
      </c>
      <c r="D327" t="s">
        <v>156</v>
      </c>
      <c r="E327" t="s">
        <v>108</v>
      </c>
      <c r="F327" t="s">
        <v>91</v>
      </c>
      <c r="G327" t="s">
        <v>38</v>
      </c>
      <c r="H327" t="s">
        <v>133</v>
      </c>
      <c r="I327" t="s">
        <v>134</v>
      </c>
      <c r="J327" t="s">
        <v>135</v>
      </c>
      <c r="K327" t="s">
        <v>42</v>
      </c>
      <c r="L327" t="s">
        <v>815</v>
      </c>
      <c r="M327" t="s">
        <v>63</v>
      </c>
      <c r="N327" t="s">
        <v>45</v>
      </c>
      <c r="O327" t="s">
        <v>162</v>
      </c>
      <c r="P327" t="s">
        <v>163</v>
      </c>
      <c r="Q327" t="s">
        <v>48</v>
      </c>
      <c r="R327" t="s">
        <v>67</v>
      </c>
      <c r="S327">
        <v>1</v>
      </c>
      <c r="T327" s="14">
        <v>74.7</v>
      </c>
      <c r="U327" s="7">
        <v>12</v>
      </c>
      <c r="V327" s="7">
        <v>22</v>
      </c>
      <c r="W327" s="14">
        <v>108.7</v>
      </c>
      <c r="X327" s="14">
        <v>249</v>
      </c>
      <c r="Y327" s="16">
        <v>0</v>
      </c>
      <c r="Z327" s="12">
        <v>249</v>
      </c>
      <c r="AA327" s="5">
        <v>140.30000000000001</v>
      </c>
      <c r="AB327" s="18">
        <v>56.35</v>
      </c>
      <c r="AC327" t="s">
        <v>104</v>
      </c>
      <c r="AD327" t="s">
        <v>158</v>
      </c>
      <c r="AE327" t="s">
        <v>96</v>
      </c>
      <c r="AF327">
        <v>4</v>
      </c>
      <c r="AG327" t="s">
        <v>53</v>
      </c>
    </row>
    <row r="328" spans="1:33">
      <c r="A328" t="s">
        <v>816</v>
      </c>
      <c r="B328" s="10">
        <v>45691</v>
      </c>
      <c r="C328" s="3" t="s">
        <v>113</v>
      </c>
      <c r="D328" t="s">
        <v>206</v>
      </c>
      <c r="E328" t="s">
        <v>90</v>
      </c>
      <c r="F328" t="s">
        <v>91</v>
      </c>
      <c r="G328" t="s">
        <v>92</v>
      </c>
      <c r="H328" t="s">
        <v>115</v>
      </c>
      <c r="I328" t="s">
        <v>116</v>
      </c>
      <c r="J328" t="s">
        <v>117</v>
      </c>
      <c r="K328" t="s">
        <v>61</v>
      </c>
      <c r="L328" t="s">
        <v>817</v>
      </c>
      <c r="M328" t="s">
        <v>63</v>
      </c>
      <c r="N328" t="s">
        <v>110</v>
      </c>
      <c r="O328" t="s">
        <v>94</v>
      </c>
      <c r="P328" t="s">
        <v>95</v>
      </c>
      <c r="Q328" t="s">
        <v>66</v>
      </c>
      <c r="R328" t="s">
        <v>84</v>
      </c>
      <c r="S328">
        <v>1</v>
      </c>
      <c r="T328" s="14">
        <v>78.84</v>
      </c>
      <c r="U328" s="7">
        <v>12</v>
      </c>
      <c r="V328" s="7">
        <v>22</v>
      </c>
      <c r="W328" s="14">
        <v>112.84</v>
      </c>
      <c r="X328" s="14">
        <v>262.8</v>
      </c>
      <c r="Y328" s="16">
        <v>5</v>
      </c>
      <c r="Z328" s="12">
        <v>249.66</v>
      </c>
      <c r="AA328" s="5">
        <v>136.82</v>
      </c>
      <c r="AB328" s="18">
        <v>54.8</v>
      </c>
      <c r="AC328" t="s">
        <v>111</v>
      </c>
      <c r="AD328" t="s">
        <v>86</v>
      </c>
      <c r="AE328" t="s">
        <v>126</v>
      </c>
      <c r="AF328">
        <v>5</v>
      </c>
      <c r="AG328" t="s">
        <v>53</v>
      </c>
    </row>
    <row r="329" spans="1:33">
      <c r="A329" t="s">
        <v>818</v>
      </c>
      <c r="B329" s="10">
        <v>45812</v>
      </c>
      <c r="C329" s="3" t="s">
        <v>194</v>
      </c>
      <c r="D329" t="s">
        <v>129</v>
      </c>
      <c r="E329" t="s">
        <v>174</v>
      </c>
      <c r="F329" t="s">
        <v>131</v>
      </c>
      <c r="G329" t="s">
        <v>132</v>
      </c>
      <c r="H329" t="s">
        <v>115</v>
      </c>
      <c r="I329" t="s">
        <v>116</v>
      </c>
      <c r="J329" t="s">
        <v>117</v>
      </c>
      <c r="K329" t="s">
        <v>61</v>
      </c>
      <c r="L329" t="s">
        <v>819</v>
      </c>
      <c r="M329" t="s">
        <v>80</v>
      </c>
      <c r="N329" t="s">
        <v>81</v>
      </c>
      <c r="O329" t="s">
        <v>64</v>
      </c>
      <c r="P329" t="s">
        <v>65</v>
      </c>
      <c r="Q329" t="s">
        <v>66</v>
      </c>
      <c r="R329" t="s">
        <v>84</v>
      </c>
      <c r="S329">
        <v>3</v>
      </c>
      <c r="T329" s="14">
        <v>53.64</v>
      </c>
      <c r="U329" s="7">
        <v>12</v>
      </c>
      <c r="V329" s="7">
        <v>22</v>
      </c>
      <c r="W329" s="14">
        <v>87.64</v>
      </c>
      <c r="X329" s="14">
        <v>178.8</v>
      </c>
      <c r="Y329" s="16">
        <v>10</v>
      </c>
      <c r="Z329" s="12">
        <v>482.76</v>
      </c>
      <c r="AA329" s="5">
        <v>219.84</v>
      </c>
      <c r="AB329" s="18">
        <v>45.54</v>
      </c>
      <c r="AC329" t="s">
        <v>50</v>
      </c>
      <c r="AD329" t="s">
        <v>51</v>
      </c>
      <c r="AE329" t="s">
        <v>52</v>
      </c>
      <c r="AF329">
        <v>5</v>
      </c>
      <c r="AG329" t="s">
        <v>53</v>
      </c>
    </row>
    <row r="330" spans="1:33">
      <c r="A330" t="s">
        <v>820</v>
      </c>
      <c r="B330" s="10">
        <v>45855</v>
      </c>
      <c r="C330" s="3" t="s">
        <v>70</v>
      </c>
      <c r="D330" t="s">
        <v>56</v>
      </c>
      <c r="E330" t="s">
        <v>114</v>
      </c>
      <c r="F330" t="s">
        <v>73</v>
      </c>
      <c r="G330" t="s">
        <v>74</v>
      </c>
      <c r="H330" t="s">
        <v>75</v>
      </c>
      <c r="I330" t="s">
        <v>76</v>
      </c>
      <c r="J330" t="s">
        <v>77</v>
      </c>
      <c r="K330" t="s">
        <v>78</v>
      </c>
      <c r="L330" t="s">
        <v>821</v>
      </c>
      <c r="M330" t="s">
        <v>63</v>
      </c>
      <c r="N330" t="s">
        <v>45</v>
      </c>
      <c r="O330" t="s">
        <v>176</v>
      </c>
      <c r="P330" t="s">
        <v>177</v>
      </c>
      <c r="Q330" t="s">
        <v>66</v>
      </c>
      <c r="R330" t="s">
        <v>49</v>
      </c>
      <c r="S330">
        <v>2</v>
      </c>
      <c r="T330" s="14">
        <v>70.98</v>
      </c>
      <c r="U330" s="7">
        <v>12</v>
      </c>
      <c r="V330" s="7">
        <v>22</v>
      </c>
      <c r="W330" s="14">
        <v>104.98</v>
      </c>
      <c r="X330" s="14">
        <v>236.6</v>
      </c>
      <c r="Y330" s="16">
        <v>5</v>
      </c>
      <c r="Z330" s="12">
        <v>449.54</v>
      </c>
      <c r="AA330" s="5">
        <v>239.58</v>
      </c>
      <c r="AB330" s="18">
        <v>53.29</v>
      </c>
      <c r="AC330" t="s">
        <v>50</v>
      </c>
      <c r="AD330" t="s">
        <v>51</v>
      </c>
      <c r="AE330" t="s">
        <v>96</v>
      </c>
      <c r="AF330">
        <v>4</v>
      </c>
      <c r="AG330" t="s">
        <v>53</v>
      </c>
    </row>
    <row r="331" spans="1:33">
      <c r="A331" t="s">
        <v>822</v>
      </c>
      <c r="B331" s="10">
        <v>45938</v>
      </c>
      <c r="C331" s="3" t="s">
        <v>171</v>
      </c>
      <c r="D331" t="s">
        <v>129</v>
      </c>
      <c r="E331" t="s">
        <v>36</v>
      </c>
      <c r="F331" t="s">
        <v>37</v>
      </c>
      <c r="G331" t="s">
        <v>38</v>
      </c>
      <c r="H331" t="s">
        <v>133</v>
      </c>
      <c r="I331" t="s">
        <v>134</v>
      </c>
      <c r="J331" t="s">
        <v>135</v>
      </c>
      <c r="K331" t="s">
        <v>42</v>
      </c>
      <c r="L331" t="s">
        <v>823</v>
      </c>
      <c r="M331" t="s">
        <v>63</v>
      </c>
      <c r="N331" t="s">
        <v>110</v>
      </c>
      <c r="O331" t="s">
        <v>82</v>
      </c>
      <c r="P331" t="s">
        <v>83</v>
      </c>
      <c r="Q331" t="s">
        <v>66</v>
      </c>
      <c r="R331" t="s">
        <v>49</v>
      </c>
      <c r="S331">
        <v>1</v>
      </c>
      <c r="T331" s="14">
        <v>100.38</v>
      </c>
      <c r="U331" s="7">
        <v>12</v>
      </c>
      <c r="V331" s="7">
        <v>22</v>
      </c>
      <c r="W331" s="14">
        <v>134.38</v>
      </c>
      <c r="X331" s="14">
        <v>334.6</v>
      </c>
      <c r="Y331" s="16">
        <v>5</v>
      </c>
      <c r="Z331" s="12">
        <v>317.87</v>
      </c>
      <c r="AA331" s="5">
        <v>183.49</v>
      </c>
      <c r="AB331" s="18">
        <v>57.72</v>
      </c>
      <c r="AC331" t="s">
        <v>50</v>
      </c>
      <c r="AD331" t="s">
        <v>86</v>
      </c>
      <c r="AE331" t="s">
        <v>52</v>
      </c>
      <c r="AF331">
        <v>4</v>
      </c>
      <c r="AG331" t="s">
        <v>53</v>
      </c>
    </row>
    <row r="332" spans="1:33">
      <c r="A332" t="s">
        <v>824</v>
      </c>
      <c r="B332" s="10">
        <v>45819</v>
      </c>
      <c r="C332" s="3" t="s">
        <v>155</v>
      </c>
      <c r="D332" t="s">
        <v>129</v>
      </c>
      <c r="E332" t="s">
        <v>174</v>
      </c>
      <c r="F332" t="s">
        <v>131</v>
      </c>
      <c r="G332" t="s">
        <v>132</v>
      </c>
      <c r="H332" t="s">
        <v>133</v>
      </c>
      <c r="I332" t="s">
        <v>134</v>
      </c>
      <c r="J332" t="s">
        <v>135</v>
      </c>
      <c r="K332" t="s">
        <v>42</v>
      </c>
      <c r="L332" t="s">
        <v>825</v>
      </c>
      <c r="M332" t="s">
        <v>63</v>
      </c>
      <c r="N332" t="s">
        <v>45</v>
      </c>
      <c r="O332" t="s">
        <v>94</v>
      </c>
      <c r="P332" t="s">
        <v>95</v>
      </c>
      <c r="Q332" t="s">
        <v>66</v>
      </c>
      <c r="R332" t="s">
        <v>49</v>
      </c>
      <c r="S332">
        <v>1</v>
      </c>
      <c r="T332" s="14">
        <v>91.98</v>
      </c>
      <c r="U332" s="7">
        <v>12</v>
      </c>
      <c r="V332" s="7">
        <v>22</v>
      </c>
      <c r="W332" s="14">
        <v>125.98</v>
      </c>
      <c r="X332" s="14">
        <v>306.60000000000002</v>
      </c>
      <c r="Y332" s="16">
        <v>10</v>
      </c>
      <c r="Z332" s="12">
        <v>275.94</v>
      </c>
      <c r="AA332" s="5">
        <v>149.96</v>
      </c>
      <c r="AB332" s="18">
        <v>54.35</v>
      </c>
      <c r="AC332" t="s">
        <v>85</v>
      </c>
      <c r="AD332" t="s">
        <v>51</v>
      </c>
      <c r="AE332" t="s">
        <v>68</v>
      </c>
      <c r="AF332">
        <v>5</v>
      </c>
      <c r="AG332" t="s">
        <v>53</v>
      </c>
    </row>
    <row r="333" spans="1:33">
      <c r="A333" t="s">
        <v>826</v>
      </c>
      <c r="B333" s="10">
        <v>45803</v>
      </c>
      <c r="C333" s="3" t="s">
        <v>113</v>
      </c>
      <c r="D333" t="s">
        <v>206</v>
      </c>
      <c r="E333" t="s">
        <v>130</v>
      </c>
      <c r="F333" t="s">
        <v>131</v>
      </c>
      <c r="G333" t="s">
        <v>132</v>
      </c>
      <c r="H333" t="s">
        <v>133</v>
      </c>
      <c r="I333" t="s">
        <v>134</v>
      </c>
      <c r="J333" t="s">
        <v>135</v>
      </c>
      <c r="K333" t="s">
        <v>42</v>
      </c>
      <c r="L333" t="s">
        <v>827</v>
      </c>
      <c r="M333" t="s">
        <v>80</v>
      </c>
      <c r="N333" t="s">
        <v>81</v>
      </c>
      <c r="O333" t="s">
        <v>189</v>
      </c>
      <c r="P333" t="s">
        <v>190</v>
      </c>
      <c r="Q333" t="s">
        <v>48</v>
      </c>
      <c r="R333" t="s">
        <v>49</v>
      </c>
      <c r="S333">
        <v>3</v>
      </c>
      <c r="T333" s="14">
        <v>66.78</v>
      </c>
      <c r="U333" s="7">
        <v>12</v>
      </c>
      <c r="V333" s="7">
        <v>22</v>
      </c>
      <c r="W333" s="14">
        <v>100.78</v>
      </c>
      <c r="X333" s="14">
        <v>222.6</v>
      </c>
      <c r="Y333" s="16">
        <v>0</v>
      </c>
      <c r="Z333" s="12">
        <v>667.8</v>
      </c>
      <c r="AA333" s="5">
        <v>365.46</v>
      </c>
      <c r="AB333" s="18">
        <v>54.73</v>
      </c>
      <c r="AC333" t="s">
        <v>85</v>
      </c>
      <c r="AD333" t="s">
        <v>86</v>
      </c>
      <c r="AE333" t="s">
        <v>126</v>
      </c>
      <c r="AF333">
        <v>3</v>
      </c>
      <c r="AG333" t="s">
        <v>53</v>
      </c>
    </row>
    <row r="334" spans="1:33">
      <c r="A334" t="s">
        <v>828</v>
      </c>
      <c r="B334" s="10">
        <v>45678</v>
      </c>
      <c r="C334" s="3" t="s">
        <v>339</v>
      </c>
      <c r="D334" t="s">
        <v>156</v>
      </c>
      <c r="E334" t="s">
        <v>152</v>
      </c>
      <c r="F334" t="s">
        <v>91</v>
      </c>
      <c r="G334" t="s">
        <v>92</v>
      </c>
      <c r="H334" t="s">
        <v>75</v>
      </c>
      <c r="I334" t="s">
        <v>76</v>
      </c>
      <c r="J334" t="s">
        <v>77</v>
      </c>
      <c r="K334" t="s">
        <v>78</v>
      </c>
      <c r="L334" t="s">
        <v>829</v>
      </c>
      <c r="M334" t="s">
        <v>44</v>
      </c>
      <c r="N334" t="s">
        <v>110</v>
      </c>
      <c r="O334" t="s">
        <v>82</v>
      </c>
      <c r="P334" t="s">
        <v>83</v>
      </c>
      <c r="Q334" t="s">
        <v>66</v>
      </c>
      <c r="R334" t="s">
        <v>67</v>
      </c>
      <c r="S334">
        <v>1</v>
      </c>
      <c r="T334" s="14">
        <v>71.7</v>
      </c>
      <c r="U334" s="7">
        <v>12</v>
      </c>
      <c r="V334" s="7">
        <v>22</v>
      </c>
      <c r="W334" s="14">
        <v>105.7</v>
      </c>
      <c r="X334" s="14">
        <v>239</v>
      </c>
      <c r="Y334" s="16">
        <v>5</v>
      </c>
      <c r="Z334" s="12">
        <v>227.05</v>
      </c>
      <c r="AA334" s="5">
        <v>121.35</v>
      </c>
      <c r="AB334" s="18">
        <v>53.45</v>
      </c>
      <c r="AC334" t="s">
        <v>111</v>
      </c>
      <c r="AD334" t="s">
        <v>51</v>
      </c>
      <c r="AE334" t="s">
        <v>105</v>
      </c>
      <c r="AF334">
        <v>4</v>
      </c>
      <c r="AG334" t="s">
        <v>53</v>
      </c>
    </row>
    <row r="335" spans="1:33">
      <c r="A335" t="s">
        <v>830</v>
      </c>
      <c r="B335" s="10">
        <v>45868</v>
      </c>
      <c r="C335" s="3" t="s">
        <v>179</v>
      </c>
      <c r="D335" t="s">
        <v>129</v>
      </c>
      <c r="E335" t="s">
        <v>114</v>
      </c>
      <c r="F335" t="s">
        <v>73</v>
      </c>
      <c r="G335" t="s">
        <v>74</v>
      </c>
      <c r="H335" t="s">
        <v>115</v>
      </c>
      <c r="I335" t="s">
        <v>116</v>
      </c>
      <c r="J335" t="s">
        <v>117</v>
      </c>
      <c r="K335" t="s">
        <v>61</v>
      </c>
      <c r="L335" t="s">
        <v>831</v>
      </c>
      <c r="M335" t="s">
        <v>44</v>
      </c>
      <c r="N335" t="s">
        <v>81</v>
      </c>
      <c r="O335" t="s">
        <v>64</v>
      </c>
      <c r="P335" t="s">
        <v>65</v>
      </c>
      <c r="Q335" t="s">
        <v>66</v>
      </c>
      <c r="R335" t="s">
        <v>84</v>
      </c>
      <c r="S335">
        <v>3</v>
      </c>
      <c r="T335" s="14">
        <v>53.64</v>
      </c>
      <c r="U335" s="7">
        <v>12</v>
      </c>
      <c r="V335" s="7">
        <v>22</v>
      </c>
      <c r="W335" s="14">
        <v>87.64</v>
      </c>
      <c r="X335" s="14">
        <v>178.8</v>
      </c>
      <c r="Y335" s="16">
        <v>5</v>
      </c>
      <c r="Z335" s="12">
        <v>509.58</v>
      </c>
      <c r="AA335" s="5">
        <v>246.66</v>
      </c>
      <c r="AB335" s="18">
        <v>48.4</v>
      </c>
      <c r="AC335" t="s">
        <v>85</v>
      </c>
      <c r="AD335" t="s">
        <v>86</v>
      </c>
      <c r="AE335" t="s">
        <v>126</v>
      </c>
      <c r="AF335">
        <v>5</v>
      </c>
      <c r="AG335" t="s">
        <v>53</v>
      </c>
    </row>
    <row r="336" spans="1:33">
      <c r="A336" t="s">
        <v>832</v>
      </c>
      <c r="B336" s="10">
        <v>45692</v>
      </c>
      <c r="C336" s="3" t="s">
        <v>219</v>
      </c>
      <c r="D336" t="s">
        <v>156</v>
      </c>
      <c r="E336" t="s">
        <v>90</v>
      </c>
      <c r="F336" t="s">
        <v>91</v>
      </c>
      <c r="G336" t="s">
        <v>92</v>
      </c>
      <c r="H336" t="s">
        <v>75</v>
      </c>
      <c r="I336" t="s">
        <v>76</v>
      </c>
      <c r="J336" t="s">
        <v>77</v>
      </c>
      <c r="K336" t="s">
        <v>78</v>
      </c>
      <c r="L336" t="s">
        <v>833</v>
      </c>
      <c r="M336" t="s">
        <v>63</v>
      </c>
      <c r="N336" t="s">
        <v>81</v>
      </c>
      <c r="O336" t="s">
        <v>94</v>
      </c>
      <c r="P336" t="s">
        <v>95</v>
      </c>
      <c r="Q336" t="s">
        <v>66</v>
      </c>
      <c r="R336" t="s">
        <v>49</v>
      </c>
      <c r="S336">
        <v>2</v>
      </c>
      <c r="T336" s="14">
        <v>91.98</v>
      </c>
      <c r="U336" s="7">
        <v>12</v>
      </c>
      <c r="V336" s="7">
        <v>22</v>
      </c>
      <c r="W336" s="14">
        <v>125.98</v>
      </c>
      <c r="X336" s="14">
        <v>306.60000000000002</v>
      </c>
      <c r="Y336" s="16">
        <v>10</v>
      </c>
      <c r="Z336" s="12">
        <v>551.88</v>
      </c>
      <c r="AA336" s="5">
        <v>299.92</v>
      </c>
      <c r="AB336" s="18">
        <v>54.35</v>
      </c>
      <c r="AC336" t="s">
        <v>104</v>
      </c>
      <c r="AD336" t="s">
        <v>86</v>
      </c>
      <c r="AE336" t="s">
        <v>96</v>
      </c>
      <c r="AF336">
        <v>4</v>
      </c>
      <c r="AG336" t="s">
        <v>53</v>
      </c>
    </row>
    <row r="337" spans="1:33">
      <c r="A337" t="s">
        <v>834</v>
      </c>
      <c r="B337" s="10">
        <v>45816</v>
      </c>
      <c r="C337" s="3" t="s">
        <v>219</v>
      </c>
      <c r="D337" t="s">
        <v>89</v>
      </c>
      <c r="E337" t="s">
        <v>174</v>
      </c>
      <c r="F337" t="s">
        <v>131</v>
      </c>
      <c r="G337" t="s">
        <v>132</v>
      </c>
      <c r="H337" t="s">
        <v>142</v>
      </c>
      <c r="I337" t="s">
        <v>143</v>
      </c>
      <c r="J337" t="s">
        <v>144</v>
      </c>
      <c r="K337" t="s">
        <v>145</v>
      </c>
      <c r="L337" t="s">
        <v>835</v>
      </c>
      <c r="M337" t="s">
        <v>63</v>
      </c>
      <c r="N337" t="s">
        <v>110</v>
      </c>
      <c r="O337" t="s">
        <v>46</v>
      </c>
      <c r="P337" t="s">
        <v>47</v>
      </c>
      <c r="Q337" t="s">
        <v>48</v>
      </c>
      <c r="R337" t="s">
        <v>84</v>
      </c>
      <c r="S337">
        <v>2</v>
      </c>
      <c r="T337" s="14">
        <v>93.24</v>
      </c>
      <c r="U337" s="7">
        <v>12</v>
      </c>
      <c r="V337" s="7">
        <v>22</v>
      </c>
      <c r="W337" s="14">
        <v>127.24</v>
      </c>
      <c r="X337" s="14">
        <v>310.8</v>
      </c>
      <c r="Y337" s="16">
        <v>10</v>
      </c>
      <c r="Z337" s="12">
        <v>559.44000000000005</v>
      </c>
      <c r="AA337" s="5">
        <v>304.95999999999998</v>
      </c>
      <c r="AB337" s="18">
        <v>54.51</v>
      </c>
      <c r="AC337" t="s">
        <v>50</v>
      </c>
      <c r="AD337" t="s">
        <v>158</v>
      </c>
      <c r="AE337" t="s">
        <v>105</v>
      </c>
      <c r="AF337">
        <v>4</v>
      </c>
      <c r="AG337" t="s">
        <v>53</v>
      </c>
    </row>
    <row r="338" spans="1:33">
      <c r="A338" t="s">
        <v>836</v>
      </c>
      <c r="B338" s="10">
        <v>45687</v>
      </c>
      <c r="C338" s="3" t="s">
        <v>98</v>
      </c>
      <c r="D338" t="s">
        <v>56</v>
      </c>
      <c r="E338" t="s">
        <v>152</v>
      </c>
      <c r="F338" t="s">
        <v>91</v>
      </c>
      <c r="G338" t="s">
        <v>92</v>
      </c>
      <c r="H338" t="s">
        <v>133</v>
      </c>
      <c r="I338" t="s">
        <v>134</v>
      </c>
      <c r="J338" t="s">
        <v>135</v>
      </c>
      <c r="K338" t="s">
        <v>42</v>
      </c>
      <c r="L338" t="s">
        <v>837</v>
      </c>
      <c r="M338" t="s">
        <v>44</v>
      </c>
      <c r="N338" t="s">
        <v>45</v>
      </c>
      <c r="O338" t="s">
        <v>64</v>
      </c>
      <c r="P338" t="s">
        <v>65</v>
      </c>
      <c r="Q338" t="s">
        <v>66</v>
      </c>
      <c r="R338" t="s">
        <v>67</v>
      </c>
      <c r="S338">
        <v>2</v>
      </c>
      <c r="T338" s="14">
        <v>44.7</v>
      </c>
      <c r="U338" s="7">
        <v>12</v>
      </c>
      <c r="V338" s="7">
        <v>22</v>
      </c>
      <c r="W338" s="14">
        <v>78.7</v>
      </c>
      <c r="X338" s="14">
        <v>149</v>
      </c>
      <c r="Y338" s="16">
        <v>5</v>
      </c>
      <c r="Z338" s="12">
        <v>283.10000000000002</v>
      </c>
      <c r="AA338" s="5">
        <v>125.7</v>
      </c>
      <c r="AB338" s="18">
        <v>44.4</v>
      </c>
      <c r="AC338" t="s">
        <v>111</v>
      </c>
      <c r="AD338" t="s">
        <v>86</v>
      </c>
      <c r="AE338" t="s">
        <v>96</v>
      </c>
      <c r="AF338">
        <v>4</v>
      </c>
      <c r="AG338" t="s">
        <v>53</v>
      </c>
    </row>
    <row r="339" spans="1:33">
      <c r="A339" t="s">
        <v>838</v>
      </c>
      <c r="B339" s="10">
        <v>45755</v>
      </c>
      <c r="C339" s="3" t="s">
        <v>307</v>
      </c>
      <c r="D339" t="s">
        <v>156</v>
      </c>
      <c r="E339" t="s">
        <v>280</v>
      </c>
      <c r="F339" t="s">
        <v>131</v>
      </c>
      <c r="G339" t="s">
        <v>132</v>
      </c>
      <c r="H339" t="s">
        <v>115</v>
      </c>
      <c r="I339" t="s">
        <v>116</v>
      </c>
      <c r="J339" t="s">
        <v>117</v>
      </c>
      <c r="K339" t="s">
        <v>61</v>
      </c>
      <c r="L339" t="s">
        <v>839</v>
      </c>
      <c r="M339" t="s">
        <v>44</v>
      </c>
      <c r="N339" t="s">
        <v>110</v>
      </c>
      <c r="O339" t="s">
        <v>46</v>
      </c>
      <c r="P339" t="s">
        <v>47</v>
      </c>
      <c r="Q339" t="s">
        <v>48</v>
      </c>
      <c r="R339" t="s">
        <v>84</v>
      </c>
      <c r="S339">
        <v>3</v>
      </c>
      <c r="T339" s="14">
        <v>93.24</v>
      </c>
      <c r="U339" s="7">
        <v>12</v>
      </c>
      <c r="V339" s="7">
        <v>22</v>
      </c>
      <c r="W339" s="14">
        <v>127.24</v>
      </c>
      <c r="X339" s="14">
        <v>310.8</v>
      </c>
      <c r="Y339" s="16">
        <v>5</v>
      </c>
      <c r="Z339" s="12">
        <v>885.78</v>
      </c>
      <c r="AA339" s="5">
        <v>504.06</v>
      </c>
      <c r="AB339" s="18">
        <v>56.91</v>
      </c>
      <c r="AC339" t="s">
        <v>104</v>
      </c>
      <c r="AD339" t="s">
        <v>51</v>
      </c>
      <c r="AE339" t="s">
        <v>52</v>
      </c>
      <c r="AF339">
        <v>5</v>
      </c>
      <c r="AG339" t="s">
        <v>53</v>
      </c>
    </row>
    <row r="340" spans="1:33">
      <c r="A340" t="s">
        <v>840</v>
      </c>
      <c r="B340" s="10">
        <v>45849</v>
      </c>
      <c r="C340" s="3" t="s">
        <v>55</v>
      </c>
      <c r="D340" t="s">
        <v>35</v>
      </c>
      <c r="E340" t="s">
        <v>114</v>
      </c>
      <c r="F340" t="s">
        <v>73</v>
      </c>
      <c r="G340" t="s">
        <v>74</v>
      </c>
      <c r="H340" t="s">
        <v>142</v>
      </c>
      <c r="I340" t="s">
        <v>143</v>
      </c>
      <c r="J340" t="s">
        <v>144</v>
      </c>
      <c r="K340" t="s">
        <v>145</v>
      </c>
      <c r="L340" t="s">
        <v>841</v>
      </c>
      <c r="M340" t="s">
        <v>63</v>
      </c>
      <c r="N340" t="s">
        <v>81</v>
      </c>
      <c r="O340" t="s">
        <v>64</v>
      </c>
      <c r="P340" t="s">
        <v>65</v>
      </c>
      <c r="Q340" t="s">
        <v>66</v>
      </c>
      <c r="R340" t="s">
        <v>67</v>
      </c>
      <c r="S340">
        <v>1</v>
      </c>
      <c r="T340" s="14">
        <v>44.7</v>
      </c>
      <c r="U340" s="7">
        <v>12</v>
      </c>
      <c r="V340" s="7">
        <v>22</v>
      </c>
      <c r="W340" s="14">
        <v>78.7</v>
      </c>
      <c r="X340" s="14">
        <v>149</v>
      </c>
      <c r="Y340" s="16">
        <v>0</v>
      </c>
      <c r="Z340" s="12">
        <v>149</v>
      </c>
      <c r="AA340" s="5">
        <v>70.3</v>
      </c>
      <c r="AB340" s="18">
        <v>47.18</v>
      </c>
      <c r="AC340" t="s">
        <v>50</v>
      </c>
      <c r="AD340" t="s">
        <v>86</v>
      </c>
      <c r="AE340" t="s">
        <v>52</v>
      </c>
      <c r="AF340">
        <v>5</v>
      </c>
      <c r="AG340" t="s">
        <v>53</v>
      </c>
    </row>
    <row r="341" spans="1:33">
      <c r="A341" t="s">
        <v>842</v>
      </c>
      <c r="B341" s="10">
        <v>45760</v>
      </c>
      <c r="C341" s="3" t="s">
        <v>128</v>
      </c>
      <c r="D341" t="s">
        <v>89</v>
      </c>
      <c r="E341" t="s">
        <v>280</v>
      </c>
      <c r="F341" t="s">
        <v>131</v>
      </c>
      <c r="G341" t="s">
        <v>132</v>
      </c>
      <c r="H341" t="s">
        <v>133</v>
      </c>
      <c r="I341" t="s">
        <v>134</v>
      </c>
      <c r="J341" t="s">
        <v>135</v>
      </c>
      <c r="K341" t="s">
        <v>42</v>
      </c>
      <c r="L341" t="s">
        <v>843</v>
      </c>
      <c r="M341" t="s">
        <v>63</v>
      </c>
      <c r="N341" t="s">
        <v>110</v>
      </c>
      <c r="O341" t="s">
        <v>452</v>
      </c>
      <c r="P341" t="s">
        <v>453</v>
      </c>
      <c r="Q341" t="s">
        <v>215</v>
      </c>
      <c r="R341" t="s">
        <v>49</v>
      </c>
      <c r="S341">
        <v>3</v>
      </c>
      <c r="T341" s="14">
        <v>138.18</v>
      </c>
      <c r="U341" s="7">
        <v>12</v>
      </c>
      <c r="V341" s="7">
        <v>22</v>
      </c>
      <c r="W341" s="14">
        <v>172.18</v>
      </c>
      <c r="X341" s="14">
        <v>460.6</v>
      </c>
      <c r="Y341" s="16">
        <v>10</v>
      </c>
      <c r="Z341" s="12">
        <v>1243.6199999999999</v>
      </c>
      <c r="AA341" s="5">
        <v>727.08</v>
      </c>
      <c r="AB341" s="18">
        <v>58.46</v>
      </c>
      <c r="AC341" t="s">
        <v>104</v>
      </c>
      <c r="AD341" t="s">
        <v>158</v>
      </c>
      <c r="AE341" t="s">
        <v>96</v>
      </c>
      <c r="AF341">
        <v>4</v>
      </c>
      <c r="AG341" t="s">
        <v>53</v>
      </c>
    </row>
    <row r="342" spans="1:33">
      <c r="A342" t="s">
        <v>844</v>
      </c>
      <c r="B342" s="10">
        <v>45836</v>
      </c>
      <c r="C342" s="3" t="s">
        <v>141</v>
      </c>
      <c r="D342" t="s">
        <v>71</v>
      </c>
      <c r="E342" t="s">
        <v>174</v>
      </c>
      <c r="F342" t="s">
        <v>131</v>
      </c>
      <c r="G342" t="s">
        <v>132</v>
      </c>
      <c r="H342" t="s">
        <v>133</v>
      </c>
      <c r="I342" t="s">
        <v>134</v>
      </c>
      <c r="J342" t="s">
        <v>135</v>
      </c>
      <c r="K342" t="s">
        <v>42</v>
      </c>
      <c r="L342" t="s">
        <v>845</v>
      </c>
      <c r="M342" t="s">
        <v>63</v>
      </c>
      <c r="N342" t="s">
        <v>45</v>
      </c>
      <c r="O342" t="s">
        <v>64</v>
      </c>
      <c r="P342" t="s">
        <v>65</v>
      </c>
      <c r="Q342" t="s">
        <v>66</v>
      </c>
      <c r="R342" t="s">
        <v>49</v>
      </c>
      <c r="S342">
        <v>3</v>
      </c>
      <c r="T342" s="14">
        <v>62.58</v>
      </c>
      <c r="U342" s="7">
        <v>12</v>
      </c>
      <c r="V342" s="7">
        <v>22</v>
      </c>
      <c r="W342" s="14">
        <v>96.58</v>
      </c>
      <c r="X342" s="14">
        <v>208.6</v>
      </c>
      <c r="Y342" s="16">
        <v>10</v>
      </c>
      <c r="Z342" s="12">
        <v>563.22</v>
      </c>
      <c r="AA342" s="5">
        <v>273.48</v>
      </c>
      <c r="AB342" s="18">
        <v>48.56</v>
      </c>
      <c r="AC342" t="s">
        <v>111</v>
      </c>
      <c r="AD342" t="s">
        <v>158</v>
      </c>
      <c r="AE342" t="s">
        <v>96</v>
      </c>
      <c r="AF342" t="s">
        <v>2124</v>
      </c>
      <c r="AG342" t="s">
        <v>53</v>
      </c>
    </row>
    <row r="343" spans="1:33">
      <c r="A343" t="s">
        <v>846</v>
      </c>
      <c r="B343" s="10">
        <v>45862</v>
      </c>
      <c r="C343" s="3" t="s">
        <v>182</v>
      </c>
      <c r="D343" t="s">
        <v>56</v>
      </c>
      <c r="E343" t="s">
        <v>114</v>
      </c>
      <c r="F343" t="s">
        <v>73</v>
      </c>
      <c r="G343" t="s">
        <v>74</v>
      </c>
      <c r="H343" t="s">
        <v>142</v>
      </c>
      <c r="I343" t="s">
        <v>143</v>
      </c>
      <c r="J343" t="s">
        <v>144</v>
      </c>
      <c r="K343" t="s">
        <v>145</v>
      </c>
      <c r="L343" t="s">
        <v>847</v>
      </c>
      <c r="M343" t="s">
        <v>63</v>
      </c>
      <c r="N343" t="s">
        <v>110</v>
      </c>
      <c r="O343" t="s">
        <v>176</v>
      </c>
      <c r="P343" t="s">
        <v>177</v>
      </c>
      <c r="Q343" t="s">
        <v>66</v>
      </c>
      <c r="R343" t="s">
        <v>67</v>
      </c>
      <c r="S343">
        <v>2</v>
      </c>
      <c r="T343" s="14">
        <v>50.7</v>
      </c>
      <c r="U343" s="7">
        <v>12</v>
      </c>
      <c r="V343" s="7">
        <v>22</v>
      </c>
      <c r="W343" s="14">
        <v>84.7</v>
      </c>
      <c r="X343" s="14">
        <v>169</v>
      </c>
      <c r="Y343" s="16">
        <v>5</v>
      </c>
      <c r="Z343" s="12">
        <v>321.10000000000002</v>
      </c>
      <c r="AA343" s="5">
        <v>151.69999999999999</v>
      </c>
      <c r="AB343" s="18">
        <v>47.24</v>
      </c>
      <c r="AC343" t="s">
        <v>104</v>
      </c>
      <c r="AD343" t="s">
        <v>51</v>
      </c>
      <c r="AE343" t="s">
        <v>68</v>
      </c>
      <c r="AF343">
        <v>4</v>
      </c>
      <c r="AG343" t="s">
        <v>53</v>
      </c>
    </row>
    <row r="344" spans="1:33">
      <c r="A344" t="s">
        <v>848</v>
      </c>
      <c r="B344" s="10">
        <v>45915</v>
      </c>
      <c r="C344" s="3" t="s">
        <v>171</v>
      </c>
      <c r="D344" t="s">
        <v>206</v>
      </c>
      <c r="E344" t="s">
        <v>72</v>
      </c>
      <c r="F344" t="s">
        <v>73</v>
      </c>
      <c r="G344" t="s">
        <v>74</v>
      </c>
      <c r="H344" t="s">
        <v>58</v>
      </c>
      <c r="I344" t="s">
        <v>59</v>
      </c>
      <c r="J344" t="s">
        <v>60</v>
      </c>
      <c r="K344" t="s">
        <v>61</v>
      </c>
      <c r="L344" t="s">
        <v>849</v>
      </c>
      <c r="M344" t="s">
        <v>44</v>
      </c>
      <c r="N344" t="s">
        <v>110</v>
      </c>
      <c r="O344" t="s">
        <v>119</v>
      </c>
      <c r="P344" t="s">
        <v>120</v>
      </c>
      <c r="Q344" t="s">
        <v>103</v>
      </c>
      <c r="R344" t="s">
        <v>49</v>
      </c>
      <c r="S344">
        <v>1</v>
      </c>
      <c r="T344" s="14">
        <v>54.18</v>
      </c>
      <c r="U344" s="7">
        <v>12</v>
      </c>
      <c r="V344" s="7">
        <v>22</v>
      </c>
      <c r="W344" s="14">
        <v>88.18</v>
      </c>
      <c r="X344" s="14">
        <v>180.6</v>
      </c>
      <c r="Y344" s="16">
        <v>0</v>
      </c>
      <c r="Z344" s="12">
        <v>180.6</v>
      </c>
      <c r="AA344" s="5">
        <v>92.42</v>
      </c>
      <c r="AB344" s="18">
        <v>51.17</v>
      </c>
      <c r="AC344" t="s">
        <v>104</v>
      </c>
      <c r="AD344" t="s">
        <v>51</v>
      </c>
      <c r="AE344" t="s">
        <v>68</v>
      </c>
      <c r="AF344">
        <v>5</v>
      </c>
      <c r="AG344" t="s">
        <v>53</v>
      </c>
    </row>
    <row r="345" spans="1:33">
      <c r="A345" t="s">
        <v>850</v>
      </c>
      <c r="B345" s="10">
        <v>45702</v>
      </c>
      <c r="C345" s="3" t="s">
        <v>182</v>
      </c>
      <c r="D345" t="s">
        <v>35</v>
      </c>
      <c r="E345" t="s">
        <v>90</v>
      </c>
      <c r="F345" t="s">
        <v>91</v>
      </c>
      <c r="G345" t="s">
        <v>92</v>
      </c>
      <c r="H345" t="s">
        <v>39</v>
      </c>
      <c r="I345" t="s">
        <v>2143</v>
      </c>
      <c r="J345" t="s">
        <v>41</v>
      </c>
      <c r="K345" t="s">
        <v>42</v>
      </c>
      <c r="L345" t="s">
        <v>851</v>
      </c>
      <c r="M345" t="s">
        <v>63</v>
      </c>
      <c r="N345" t="s">
        <v>45</v>
      </c>
      <c r="O345" t="s">
        <v>82</v>
      </c>
      <c r="P345" t="s">
        <v>83</v>
      </c>
      <c r="Q345" t="s">
        <v>66</v>
      </c>
      <c r="R345" t="s">
        <v>49</v>
      </c>
      <c r="S345">
        <v>3</v>
      </c>
      <c r="T345" s="14">
        <v>100.38</v>
      </c>
      <c r="U345" s="7">
        <v>12</v>
      </c>
      <c r="V345" s="7">
        <v>22</v>
      </c>
      <c r="W345" s="14">
        <v>134.38</v>
      </c>
      <c r="X345" s="14">
        <v>334.6</v>
      </c>
      <c r="Y345" s="16">
        <v>10</v>
      </c>
      <c r="Z345" s="12">
        <v>903.42</v>
      </c>
      <c r="AA345" s="5">
        <v>500.28</v>
      </c>
      <c r="AB345" s="18">
        <v>55.38</v>
      </c>
      <c r="AC345" t="s">
        <v>111</v>
      </c>
      <c r="AD345" t="s">
        <v>158</v>
      </c>
      <c r="AE345" t="s">
        <v>68</v>
      </c>
      <c r="AF345">
        <v>4</v>
      </c>
      <c r="AG345" t="s">
        <v>53</v>
      </c>
    </row>
    <row r="346" spans="1:33">
      <c r="A346" t="s">
        <v>852</v>
      </c>
      <c r="B346" s="10">
        <v>45784</v>
      </c>
      <c r="C346" s="3" t="s">
        <v>34</v>
      </c>
      <c r="D346" t="s">
        <v>129</v>
      </c>
      <c r="E346" t="s">
        <v>130</v>
      </c>
      <c r="F346" t="s">
        <v>131</v>
      </c>
      <c r="G346" t="s">
        <v>132</v>
      </c>
      <c r="H346" t="s">
        <v>142</v>
      </c>
      <c r="I346" t="s">
        <v>143</v>
      </c>
      <c r="J346" t="s">
        <v>144</v>
      </c>
      <c r="K346" t="s">
        <v>145</v>
      </c>
      <c r="L346" t="s">
        <v>853</v>
      </c>
      <c r="M346" t="s">
        <v>80</v>
      </c>
      <c r="N346" t="s">
        <v>110</v>
      </c>
      <c r="O346" t="s">
        <v>123</v>
      </c>
      <c r="P346" t="s">
        <v>124</v>
      </c>
      <c r="Q346" t="s">
        <v>125</v>
      </c>
      <c r="R346" t="s">
        <v>67</v>
      </c>
      <c r="S346">
        <v>1</v>
      </c>
      <c r="T346" s="14">
        <v>74.7</v>
      </c>
      <c r="U346" s="7">
        <v>12</v>
      </c>
      <c r="V346" s="7">
        <v>22</v>
      </c>
      <c r="W346" s="14">
        <v>108.7</v>
      </c>
      <c r="X346" s="14">
        <v>249</v>
      </c>
      <c r="Y346" s="16">
        <v>10</v>
      </c>
      <c r="Z346" s="12">
        <v>224.1</v>
      </c>
      <c r="AA346" s="5">
        <v>115.4</v>
      </c>
      <c r="AB346" s="18">
        <v>51.49</v>
      </c>
      <c r="AC346" t="s">
        <v>85</v>
      </c>
      <c r="AD346" t="s">
        <v>51</v>
      </c>
      <c r="AE346" t="s">
        <v>68</v>
      </c>
      <c r="AF346">
        <v>5</v>
      </c>
      <c r="AG346" t="s">
        <v>53</v>
      </c>
    </row>
    <row r="347" spans="1:33">
      <c r="A347" t="s">
        <v>854</v>
      </c>
      <c r="B347" s="10">
        <v>45823</v>
      </c>
      <c r="C347" s="3" t="s">
        <v>70</v>
      </c>
      <c r="D347" t="s">
        <v>89</v>
      </c>
      <c r="E347" t="s">
        <v>174</v>
      </c>
      <c r="F347" t="s">
        <v>131</v>
      </c>
      <c r="G347" t="s">
        <v>132</v>
      </c>
      <c r="H347" t="s">
        <v>58</v>
      </c>
      <c r="I347" t="s">
        <v>59</v>
      </c>
      <c r="J347" t="s">
        <v>60</v>
      </c>
      <c r="K347" t="s">
        <v>61</v>
      </c>
      <c r="L347" t="s">
        <v>855</v>
      </c>
      <c r="M347" t="s">
        <v>80</v>
      </c>
      <c r="N347" t="s">
        <v>45</v>
      </c>
      <c r="O347" t="s">
        <v>137</v>
      </c>
      <c r="P347" t="s">
        <v>138</v>
      </c>
      <c r="Q347" t="s">
        <v>139</v>
      </c>
      <c r="R347" t="s">
        <v>84</v>
      </c>
      <c r="S347">
        <v>4</v>
      </c>
      <c r="T347" s="14">
        <v>71.64</v>
      </c>
      <c r="U347" s="7">
        <v>12</v>
      </c>
      <c r="V347" s="7">
        <v>22</v>
      </c>
      <c r="W347" s="14">
        <v>105.64</v>
      </c>
      <c r="X347" s="14">
        <v>238.8</v>
      </c>
      <c r="Y347" s="16">
        <v>10</v>
      </c>
      <c r="Z347" s="12">
        <v>859.68</v>
      </c>
      <c r="AA347" s="5">
        <v>437.12</v>
      </c>
      <c r="AB347" s="18">
        <v>50.85</v>
      </c>
      <c r="AC347" t="s">
        <v>50</v>
      </c>
      <c r="AD347" t="s">
        <v>158</v>
      </c>
      <c r="AE347" t="s">
        <v>105</v>
      </c>
      <c r="AF347">
        <v>4</v>
      </c>
      <c r="AG347" t="s">
        <v>53</v>
      </c>
    </row>
    <row r="348" spans="1:33">
      <c r="A348" t="s">
        <v>856</v>
      </c>
      <c r="B348" s="10">
        <v>45837</v>
      </c>
      <c r="C348" s="3" t="s">
        <v>310</v>
      </c>
      <c r="D348" t="s">
        <v>89</v>
      </c>
      <c r="E348" t="s">
        <v>174</v>
      </c>
      <c r="F348" t="s">
        <v>131</v>
      </c>
      <c r="G348" t="s">
        <v>132</v>
      </c>
      <c r="H348" t="s">
        <v>142</v>
      </c>
      <c r="I348" t="s">
        <v>143</v>
      </c>
      <c r="J348" t="s">
        <v>144</v>
      </c>
      <c r="K348" t="s">
        <v>145</v>
      </c>
      <c r="L348" t="s">
        <v>857</v>
      </c>
      <c r="M348" t="s">
        <v>44</v>
      </c>
      <c r="N348" t="s">
        <v>81</v>
      </c>
      <c r="O348" t="s">
        <v>162</v>
      </c>
      <c r="P348" t="s">
        <v>163</v>
      </c>
      <c r="Q348" t="s">
        <v>48</v>
      </c>
      <c r="R348" t="s">
        <v>84</v>
      </c>
      <c r="S348">
        <v>2</v>
      </c>
      <c r="T348" s="14">
        <v>89.64</v>
      </c>
      <c r="U348" s="7">
        <v>12</v>
      </c>
      <c r="V348" s="7">
        <v>22</v>
      </c>
      <c r="W348" s="14">
        <v>123.64</v>
      </c>
      <c r="X348" s="14">
        <v>298.8</v>
      </c>
      <c r="Y348" s="16">
        <v>10</v>
      </c>
      <c r="Z348" s="12">
        <v>537.84</v>
      </c>
      <c r="AA348" s="5">
        <v>290.56</v>
      </c>
      <c r="AB348" s="18">
        <v>54.02</v>
      </c>
      <c r="AC348" t="s">
        <v>104</v>
      </c>
      <c r="AD348" t="s">
        <v>51</v>
      </c>
      <c r="AE348" t="s">
        <v>126</v>
      </c>
      <c r="AF348">
        <v>5</v>
      </c>
      <c r="AG348" t="s">
        <v>53</v>
      </c>
    </row>
    <row r="349" spans="1:33">
      <c r="A349" t="s">
        <v>858</v>
      </c>
      <c r="B349" s="10">
        <v>45948</v>
      </c>
      <c r="C349" s="3" t="s">
        <v>155</v>
      </c>
      <c r="D349" t="s">
        <v>71</v>
      </c>
      <c r="E349" t="s">
        <v>36</v>
      </c>
      <c r="F349" t="s">
        <v>37</v>
      </c>
      <c r="G349" t="s">
        <v>38</v>
      </c>
      <c r="H349" t="s">
        <v>115</v>
      </c>
      <c r="I349" t="s">
        <v>116</v>
      </c>
      <c r="J349" t="s">
        <v>117</v>
      </c>
      <c r="K349" t="s">
        <v>61</v>
      </c>
      <c r="L349" t="s">
        <v>859</v>
      </c>
      <c r="M349" t="s">
        <v>63</v>
      </c>
      <c r="N349" t="s">
        <v>45</v>
      </c>
      <c r="O349" t="s">
        <v>452</v>
      </c>
      <c r="P349" t="s">
        <v>453</v>
      </c>
      <c r="Q349" t="s">
        <v>215</v>
      </c>
      <c r="R349" t="s">
        <v>84</v>
      </c>
      <c r="S349">
        <v>1</v>
      </c>
      <c r="T349" s="14">
        <v>118.44</v>
      </c>
      <c r="U349" s="7">
        <v>12</v>
      </c>
      <c r="V349" s="7">
        <v>22</v>
      </c>
      <c r="W349" s="14">
        <v>152.44</v>
      </c>
      <c r="X349" s="14">
        <v>394.8</v>
      </c>
      <c r="Y349" s="16">
        <v>15</v>
      </c>
      <c r="Z349" s="12">
        <v>335.58</v>
      </c>
      <c r="AA349" s="5">
        <v>183.14</v>
      </c>
      <c r="AB349" s="18">
        <v>54.57</v>
      </c>
      <c r="AC349" t="s">
        <v>111</v>
      </c>
      <c r="AD349" t="s">
        <v>86</v>
      </c>
      <c r="AE349" t="s">
        <v>126</v>
      </c>
      <c r="AF349">
        <v>3</v>
      </c>
      <c r="AG349" t="s">
        <v>53</v>
      </c>
    </row>
    <row r="350" spans="1:33">
      <c r="A350" t="s">
        <v>860</v>
      </c>
      <c r="B350" s="10">
        <v>46008</v>
      </c>
      <c r="C350" s="3" t="s">
        <v>128</v>
      </c>
      <c r="D350" t="s">
        <v>129</v>
      </c>
      <c r="E350" t="s">
        <v>149</v>
      </c>
      <c r="F350" t="s">
        <v>37</v>
      </c>
      <c r="G350" t="s">
        <v>92</v>
      </c>
      <c r="H350" t="s">
        <v>142</v>
      </c>
      <c r="I350" t="s">
        <v>143</v>
      </c>
      <c r="J350" t="s">
        <v>144</v>
      </c>
      <c r="K350" t="s">
        <v>145</v>
      </c>
      <c r="L350" t="s">
        <v>861</v>
      </c>
      <c r="M350" t="s">
        <v>44</v>
      </c>
      <c r="N350" t="s">
        <v>81</v>
      </c>
      <c r="O350" t="s">
        <v>82</v>
      </c>
      <c r="P350" t="s">
        <v>83</v>
      </c>
      <c r="Q350" t="s">
        <v>66</v>
      </c>
      <c r="R350" t="s">
        <v>49</v>
      </c>
      <c r="S350">
        <v>1</v>
      </c>
      <c r="T350" s="14">
        <v>100.38</v>
      </c>
      <c r="U350" s="7">
        <v>12</v>
      </c>
      <c r="V350" s="7">
        <v>22</v>
      </c>
      <c r="W350" s="14">
        <v>134.38</v>
      </c>
      <c r="X350" s="14">
        <v>334.6</v>
      </c>
      <c r="Y350" s="16">
        <v>0</v>
      </c>
      <c r="Z350" s="12">
        <v>334.6</v>
      </c>
      <c r="AA350" s="5">
        <v>200.22</v>
      </c>
      <c r="AB350" s="18">
        <v>59.84</v>
      </c>
      <c r="AC350" t="s">
        <v>85</v>
      </c>
      <c r="AD350" t="s">
        <v>86</v>
      </c>
      <c r="AE350" t="s">
        <v>105</v>
      </c>
      <c r="AF350">
        <v>5</v>
      </c>
      <c r="AG350" t="s">
        <v>53</v>
      </c>
    </row>
    <row r="351" spans="1:33">
      <c r="A351" t="s">
        <v>862</v>
      </c>
      <c r="B351" s="10">
        <v>45676</v>
      </c>
      <c r="C351" s="3" t="s">
        <v>107</v>
      </c>
      <c r="D351" t="s">
        <v>89</v>
      </c>
      <c r="E351" t="s">
        <v>152</v>
      </c>
      <c r="F351" t="s">
        <v>91</v>
      </c>
      <c r="G351" t="s">
        <v>92</v>
      </c>
      <c r="H351" t="s">
        <v>115</v>
      </c>
      <c r="I351" t="s">
        <v>116</v>
      </c>
      <c r="J351" t="s">
        <v>117</v>
      </c>
      <c r="K351" t="s">
        <v>61</v>
      </c>
      <c r="L351" t="s">
        <v>863</v>
      </c>
      <c r="M351" t="s">
        <v>80</v>
      </c>
      <c r="N351" t="s">
        <v>81</v>
      </c>
      <c r="O351" t="s">
        <v>82</v>
      </c>
      <c r="P351" t="s">
        <v>83</v>
      </c>
      <c r="Q351" t="s">
        <v>66</v>
      </c>
      <c r="R351" t="s">
        <v>67</v>
      </c>
      <c r="S351">
        <v>2</v>
      </c>
      <c r="T351" s="14">
        <v>71.7</v>
      </c>
      <c r="U351" s="7">
        <v>12</v>
      </c>
      <c r="V351" s="7">
        <v>22</v>
      </c>
      <c r="W351" s="14">
        <v>105.7</v>
      </c>
      <c r="X351" s="14">
        <v>239</v>
      </c>
      <c r="Y351" s="16">
        <v>15</v>
      </c>
      <c r="Z351" s="12">
        <v>406.3</v>
      </c>
      <c r="AA351" s="5">
        <v>194.9</v>
      </c>
      <c r="AB351" s="18">
        <v>47.97</v>
      </c>
      <c r="AC351" t="s">
        <v>111</v>
      </c>
      <c r="AD351" t="s">
        <v>51</v>
      </c>
      <c r="AE351" t="s">
        <v>96</v>
      </c>
      <c r="AF351">
        <v>5</v>
      </c>
      <c r="AG351" t="s">
        <v>53</v>
      </c>
    </row>
    <row r="352" spans="1:33">
      <c r="A352" t="s">
        <v>864</v>
      </c>
      <c r="B352" s="10">
        <v>45883</v>
      </c>
      <c r="C352" s="3" t="s">
        <v>141</v>
      </c>
      <c r="D352" t="s">
        <v>56</v>
      </c>
      <c r="E352" t="s">
        <v>99</v>
      </c>
      <c r="F352" t="s">
        <v>73</v>
      </c>
      <c r="G352" t="s">
        <v>74</v>
      </c>
      <c r="H352" t="s">
        <v>133</v>
      </c>
      <c r="I352" t="s">
        <v>134</v>
      </c>
      <c r="J352" t="s">
        <v>135</v>
      </c>
      <c r="K352" t="s">
        <v>42</v>
      </c>
      <c r="L352" t="s">
        <v>865</v>
      </c>
      <c r="M352" t="s">
        <v>63</v>
      </c>
      <c r="N352" t="s">
        <v>45</v>
      </c>
      <c r="O352" t="s">
        <v>64</v>
      </c>
      <c r="P352" t="s">
        <v>65</v>
      </c>
      <c r="Q352" t="s">
        <v>66</v>
      </c>
      <c r="R352" t="s">
        <v>49</v>
      </c>
      <c r="S352">
        <v>1</v>
      </c>
      <c r="T352" s="14">
        <v>62.58</v>
      </c>
      <c r="U352" s="7">
        <v>12</v>
      </c>
      <c r="V352" s="7">
        <v>22</v>
      </c>
      <c r="W352" s="14">
        <v>96.58</v>
      </c>
      <c r="X352" s="14">
        <v>208.6</v>
      </c>
      <c r="Y352" s="16">
        <v>5</v>
      </c>
      <c r="Z352" s="12">
        <v>198.17</v>
      </c>
      <c r="AA352" s="5">
        <v>101.59</v>
      </c>
      <c r="AB352" s="18">
        <v>51.26</v>
      </c>
      <c r="AC352" t="s">
        <v>50</v>
      </c>
      <c r="AD352" t="s">
        <v>158</v>
      </c>
      <c r="AE352" t="s">
        <v>105</v>
      </c>
      <c r="AF352">
        <v>4</v>
      </c>
      <c r="AG352" t="s">
        <v>53</v>
      </c>
    </row>
    <row r="353" spans="1:33">
      <c r="A353" t="s">
        <v>866</v>
      </c>
      <c r="B353" s="10">
        <v>45857</v>
      </c>
      <c r="C353" s="3" t="s">
        <v>141</v>
      </c>
      <c r="D353" t="s">
        <v>71</v>
      </c>
      <c r="E353" t="s">
        <v>114</v>
      </c>
      <c r="F353" t="s">
        <v>73</v>
      </c>
      <c r="G353" t="s">
        <v>74</v>
      </c>
      <c r="H353" t="s">
        <v>39</v>
      </c>
      <c r="I353" t="s">
        <v>2143</v>
      </c>
      <c r="J353" t="s">
        <v>41</v>
      </c>
      <c r="K353" t="s">
        <v>42</v>
      </c>
      <c r="L353" t="s">
        <v>867</v>
      </c>
      <c r="M353" t="s">
        <v>44</v>
      </c>
      <c r="N353" t="s">
        <v>110</v>
      </c>
      <c r="O353" t="s">
        <v>452</v>
      </c>
      <c r="P353" t="s">
        <v>453</v>
      </c>
      <c r="Q353" t="s">
        <v>215</v>
      </c>
      <c r="R353" t="s">
        <v>49</v>
      </c>
      <c r="S353">
        <v>2</v>
      </c>
      <c r="T353" s="14">
        <v>138.18</v>
      </c>
      <c r="U353" s="7">
        <v>12</v>
      </c>
      <c r="V353" s="7">
        <v>22</v>
      </c>
      <c r="W353" s="14">
        <v>172.18</v>
      </c>
      <c r="X353" s="14">
        <v>460.6</v>
      </c>
      <c r="Y353" s="16">
        <v>15</v>
      </c>
      <c r="Z353" s="12">
        <v>783.02</v>
      </c>
      <c r="AA353" s="5">
        <v>438.66</v>
      </c>
      <c r="AB353" s="18">
        <v>56.02</v>
      </c>
      <c r="AC353" t="s">
        <v>50</v>
      </c>
      <c r="AD353" t="s">
        <v>51</v>
      </c>
      <c r="AE353" t="s">
        <v>68</v>
      </c>
      <c r="AF353">
        <v>5</v>
      </c>
      <c r="AG353" t="s">
        <v>53</v>
      </c>
    </row>
    <row r="354" spans="1:33">
      <c r="A354" t="s">
        <v>868</v>
      </c>
      <c r="B354" s="10">
        <v>45755</v>
      </c>
      <c r="C354" s="3" t="s">
        <v>155</v>
      </c>
      <c r="D354" t="s">
        <v>156</v>
      </c>
      <c r="E354" t="s">
        <v>280</v>
      </c>
      <c r="F354" t="s">
        <v>131</v>
      </c>
      <c r="G354" t="s">
        <v>132</v>
      </c>
      <c r="H354" t="s">
        <v>115</v>
      </c>
      <c r="I354" t="s">
        <v>116</v>
      </c>
      <c r="J354" t="s">
        <v>117</v>
      </c>
      <c r="K354" t="s">
        <v>61</v>
      </c>
      <c r="L354" t="s">
        <v>869</v>
      </c>
      <c r="M354" t="s">
        <v>44</v>
      </c>
      <c r="N354" t="s">
        <v>110</v>
      </c>
      <c r="O354" t="s">
        <v>162</v>
      </c>
      <c r="P354" t="s">
        <v>163</v>
      </c>
      <c r="Q354" t="s">
        <v>48</v>
      </c>
      <c r="R354" t="s">
        <v>84</v>
      </c>
      <c r="S354">
        <v>1</v>
      </c>
      <c r="T354" s="14">
        <v>89.64</v>
      </c>
      <c r="U354" s="7">
        <v>12</v>
      </c>
      <c r="V354" s="7">
        <v>22</v>
      </c>
      <c r="W354" s="14">
        <v>123.64</v>
      </c>
      <c r="X354" s="14">
        <v>298.8</v>
      </c>
      <c r="Y354" s="16">
        <v>0</v>
      </c>
      <c r="Z354" s="12">
        <v>298.8</v>
      </c>
      <c r="AA354" s="5">
        <v>175.16</v>
      </c>
      <c r="AB354" s="18">
        <v>58.62</v>
      </c>
      <c r="AC354" t="s">
        <v>104</v>
      </c>
      <c r="AD354" t="s">
        <v>158</v>
      </c>
      <c r="AE354" t="s">
        <v>126</v>
      </c>
      <c r="AF354">
        <v>4</v>
      </c>
      <c r="AG354" t="s">
        <v>53</v>
      </c>
    </row>
    <row r="355" spans="1:33">
      <c r="A355" t="s">
        <v>870</v>
      </c>
      <c r="B355" s="10">
        <v>45906</v>
      </c>
      <c r="C355" s="3" t="s">
        <v>310</v>
      </c>
      <c r="D355" t="s">
        <v>71</v>
      </c>
      <c r="E355" t="s">
        <v>72</v>
      </c>
      <c r="F355" t="s">
        <v>73</v>
      </c>
      <c r="G355" t="s">
        <v>74</v>
      </c>
      <c r="H355" t="s">
        <v>75</v>
      </c>
      <c r="I355" t="s">
        <v>76</v>
      </c>
      <c r="J355" t="s">
        <v>77</v>
      </c>
      <c r="K355" t="s">
        <v>78</v>
      </c>
      <c r="L355" t="s">
        <v>871</v>
      </c>
      <c r="M355" t="s">
        <v>80</v>
      </c>
      <c r="N355" t="s">
        <v>45</v>
      </c>
      <c r="O355" t="s">
        <v>46</v>
      </c>
      <c r="P355" t="s">
        <v>47</v>
      </c>
      <c r="Q355" t="s">
        <v>48</v>
      </c>
      <c r="R355" t="s">
        <v>67</v>
      </c>
      <c r="S355">
        <v>4</v>
      </c>
      <c r="T355" s="14">
        <v>77.7</v>
      </c>
      <c r="U355" s="7">
        <v>12</v>
      </c>
      <c r="V355" s="7">
        <v>22</v>
      </c>
      <c r="W355" s="14">
        <v>111.7</v>
      </c>
      <c r="X355" s="14">
        <v>259</v>
      </c>
      <c r="Y355" s="16">
        <v>10</v>
      </c>
      <c r="Z355" s="12">
        <v>932.4</v>
      </c>
      <c r="AA355" s="5">
        <v>485.6</v>
      </c>
      <c r="AB355" s="18">
        <v>52.08</v>
      </c>
      <c r="AC355" t="s">
        <v>104</v>
      </c>
      <c r="AD355" t="s">
        <v>51</v>
      </c>
      <c r="AE355" t="s">
        <v>105</v>
      </c>
      <c r="AF355">
        <v>4</v>
      </c>
      <c r="AG355" t="s">
        <v>53</v>
      </c>
    </row>
    <row r="356" spans="1:33">
      <c r="A356" t="s">
        <v>872</v>
      </c>
      <c r="B356" s="10">
        <v>45839</v>
      </c>
      <c r="C356" s="3" t="s">
        <v>98</v>
      </c>
      <c r="D356" t="s">
        <v>156</v>
      </c>
      <c r="E356" t="s">
        <v>114</v>
      </c>
      <c r="F356" t="s">
        <v>73</v>
      </c>
      <c r="G356" t="s">
        <v>74</v>
      </c>
      <c r="H356" t="s">
        <v>115</v>
      </c>
      <c r="I356" t="s">
        <v>116</v>
      </c>
      <c r="J356" t="s">
        <v>117</v>
      </c>
      <c r="K356" t="s">
        <v>61</v>
      </c>
      <c r="L356" t="s">
        <v>873</v>
      </c>
      <c r="M356" t="s">
        <v>44</v>
      </c>
      <c r="N356" t="s">
        <v>81</v>
      </c>
      <c r="O356" t="s">
        <v>101</v>
      </c>
      <c r="P356" t="s">
        <v>102</v>
      </c>
      <c r="Q356" t="s">
        <v>103</v>
      </c>
      <c r="R356" t="s">
        <v>67</v>
      </c>
      <c r="S356">
        <v>1</v>
      </c>
      <c r="T356" s="14">
        <v>44.7</v>
      </c>
      <c r="U356" s="7">
        <v>12</v>
      </c>
      <c r="V356" s="7">
        <v>22</v>
      </c>
      <c r="W356" s="14">
        <v>78.7</v>
      </c>
      <c r="X356" s="14">
        <v>149</v>
      </c>
      <c r="Y356" s="16">
        <v>0</v>
      </c>
      <c r="Z356" s="12">
        <v>149</v>
      </c>
      <c r="AA356" s="5">
        <v>70.3</v>
      </c>
      <c r="AB356" s="18">
        <v>47.18</v>
      </c>
      <c r="AC356" t="s">
        <v>50</v>
      </c>
      <c r="AD356" t="s">
        <v>86</v>
      </c>
      <c r="AE356" t="s">
        <v>105</v>
      </c>
      <c r="AF356">
        <v>4</v>
      </c>
      <c r="AG356" t="s">
        <v>53</v>
      </c>
    </row>
    <row r="357" spans="1:33">
      <c r="A357" t="s">
        <v>874</v>
      </c>
      <c r="B357" s="10">
        <v>46015</v>
      </c>
      <c r="C357" s="3" t="s">
        <v>155</v>
      </c>
      <c r="D357" t="s">
        <v>129</v>
      </c>
      <c r="E357" t="s">
        <v>149</v>
      </c>
      <c r="F357" t="s">
        <v>37</v>
      </c>
      <c r="G357" t="s">
        <v>92</v>
      </c>
      <c r="H357" t="s">
        <v>75</v>
      </c>
      <c r="I357" t="s">
        <v>76</v>
      </c>
      <c r="J357" t="s">
        <v>77</v>
      </c>
      <c r="K357" t="s">
        <v>78</v>
      </c>
      <c r="L357" t="s">
        <v>875</v>
      </c>
      <c r="M357" t="s">
        <v>80</v>
      </c>
      <c r="N357" t="s">
        <v>110</v>
      </c>
      <c r="O357" t="s">
        <v>94</v>
      </c>
      <c r="P357" t="s">
        <v>95</v>
      </c>
      <c r="Q357" t="s">
        <v>66</v>
      </c>
      <c r="R357" t="s">
        <v>84</v>
      </c>
      <c r="S357">
        <v>1</v>
      </c>
      <c r="T357" s="14">
        <v>78.84</v>
      </c>
      <c r="U357" s="7">
        <v>12</v>
      </c>
      <c r="V357" s="7">
        <v>22</v>
      </c>
      <c r="W357" s="14">
        <v>112.84</v>
      </c>
      <c r="X357" s="14">
        <v>262.8</v>
      </c>
      <c r="Y357" s="16">
        <v>0</v>
      </c>
      <c r="Z357" s="12">
        <v>262.8</v>
      </c>
      <c r="AA357" s="5">
        <v>149.96</v>
      </c>
      <c r="AB357" s="18">
        <v>57.06</v>
      </c>
      <c r="AC357" t="s">
        <v>104</v>
      </c>
      <c r="AD357" t="s">
        <v>158</v>
      </c>
      <c r="AE357" t="s">
        <v>68</v>
      </c>
      <c r="AF357" t="s">
        <v>2124</v>
      </c>
      <c r="AG357" t="s">
        <v>53</v>
      </c>
    </row>
    <row r="358" spans="1:33">
      <c r="A358" t="s">
        <v>876</v>
      </c>
      <c r="B358" s="10">
        <v>45753</v>
      </c>
      <c r="C358" s="3" t="s">
        <v>219</v>
      </c>
      <c r="D358" t="s">
        <v>89</v>
      </c>
      <c r="E358" t="s">
        <v>280</v>
      </c>
      <c r="F358" t="s">
        <v>131</v>
      </c>
      <c r="G358" t="s">
        <v>132</v>
      </c>
      <c r="H358" t="s">
        <v>39</v>
      </c>
      <c r="I358" t="s">
        <v>2143</v>
      </c>
      <c r="J358" t="s">
        <v>41</v>
      </c>
      <c r="K358" t="s">
        <v>42</v>
      </c>
      <c r="L358" t="s">
        <v>877</v>
      </c>
      <c r="M358" t="s">
        <v>63</v>
      </c>
      <c r="N358" t="s">
        <v>110</v>
      </c>
      <c r="O358" t="s">
        <v>452</v>
      </c>
      <c r="P358" t="s">
        <v>453</v>
      </c>
      <c r="Q358" t="s">
        <v>215</v>
      </c>
      <c r="R358" t="s">
        <v>84</v>
      </c>
      <c r="S358">
        <v>2</v>
      </c>
      <c r="T358" s="14">
        <v>118.44</v>
      </c>
      <c r="U358" s="7">
        <v>12</v>
      </c>
      <c r="V358" s="7">
        <v>22</v>
      </c>
      <c r="W358" s="14">
        <v>152.44</v>
      </c>
      <c r="X358" s="14">
        <v>394.8</v>
      </c>
      <c r="Y358" s="16">
        <v>10</v>
      </c>
      <c r="Z358" s="12">
        <v>710.64</v>
      </c>
      <c r="AA358" s="5">
        <v>405.76</v>
      </c>
      <c r="AB358" s="18">
        <v>57.1</v>
      </c>
      <c r="AC358" t="s">
        <v>85</v>
      </c>
      <c r="AD358" t="s">
        <v>51</v>
      </c>
      <c r="AE358" t="s">
        <v>68</v>
      </c>
      <c r="AF358">
        <v>5</v>
      </c>
      <c r="AG358" t="s">
        <v>53</v>
      </c>
    </row>
    <row r="359" spans="1:33">
      <c r="A359" t="s">
        <v>878</v>
      </c>
      <c r="B359" s="10">
        <v>45805</v>
      </c>
      <c r="C359" s="3" t="s">
        <v>211</v>
      </c>
      <c r="D359" t="s">
        <v>129</v>
      </c>
      <c r="E359" t="s">
        <v>130</v>
      </c>
      <c r="F359" t="s">
        <v>131</v>
      </c>
      <c r="G359" t="s">
        <v>132</v>
      </c>
      <c r="H359" t="s">
        <v>58</v>
      </c>
      <c r="I359" t="s">
        <v>59</v>
      </c>
      <c r="J359" t="s">
        <v>60</v>
      </c>
      <c r="K359" t="s">
        <v>61</v>
      </c>
      <c r="L359" t="s">
        <v>879</v>
      </c>
      <c r="M359" t="s">
        <v>44</v>
      </c>
      <c r="N359" t="s">
        <v>45</v>
      </c>
      <c r="O359" t="s">
        <v>137</v>
      </c>
      <c r="P359" t="s">
        <v>138</v>
      </c>
      <c r="Q359" t="s">
        <v>139</v>
      </c>
      <c r="R359" t="s">
        <v>84</v>
      </c>
      <c r="S359">
        <v>3</v>
      </c>
      <c r="T359" s="14">
        <v>71.64</v>
      </c>
      <c r="U359" s="7">
        <v>12</v>
      </c>
      <c r="V359" s="7">
        <v>22</v>
      </c>
      <c r="W359" s="14">
        <v>105.64</v>
      </c>
      <c r="X359" s="14">
        <v>238.8</v>
      </c>
      <c r="Y359" s="16">
        <v>0</v>
      </c>
      <c r="Z359" s="12">
        <v>716.4</v>
      </c>
      <c r="AA359" s="5">
        <v>399.48</v>
      </c>
      <c r="AB359" s="18">
        <v>55.76</v>
      </c>
      <c r="AC359" t="s">
        <v>104</v>
      </c>
      <c r="AD359" t="s">
        <v>51</v>
      </c>
      <c r="AE359" t="s">
        <v>96</v>
      </c>
      <c r="AF359">
        <v>5</v>
      </c>
      <c r="AG359" t="s">
        <v>53</v>
      </c>
    </row>
    <row r="360" spans="1:33">
      <c r="A360" t="s">
        <v>880</v>
      </c>
      <c r="B360" s="10">
        <v>45973</v>
      </c>
      <c r="C360" s="3" t="s">
        <v>171</v>
      </c>
      <c r="D360" t="s">
        <v>129</v>
      </c>
      <c r="E360" t="s">
        <v>57</v>
      </c>
      <c r="F360" t="s">
        <v>37</v>
      </c>
      <c r="G360" t="s">
        <v>38</v>
      </c>
      <c r="H360" t="s">
        <v>75</v>
      </c>
      <c r="I360" t="s">
        <v>76</v>
      </c>
      <c r="J360" t="s">
        <v>77</v>
      </c>
      <c r="K360" t="s">
        <v>78</v>
      </c>
      <c r="L360" t="s">
        <v>881</v>
      </c>
      <c r="M360" t="s">
        <v>80</v>
      </c>
      <c r="N360" t="s">
        <v>110</v>
      </c>
      <c r="O360" t="s">
        <v>82</v>
      </c>
      <c r="P360" t="s">
        <v>83</v>
      </c>
      <c r="Q360" t="s">
        <v>66</v>
      </c>
      <c r="R360" t="s">
        <v>84</v>
      </c>
      <c r="S360">
        <v>2</v>
      </c>
      <c r="T360" s="14">
        <v>86.04</v>
      </c>
      <c r="U360" s="7">
        <v>12</v>
      </c>
      <c r="V360" s="7">
        <v>22</v>
      </c>
      <c r="W360" s="14">
        <v>120.04</v>
      </c>
      <c r="X360" s="14">
        <v>286.8</v>
      </c>
      <c r="Y360" s="16">
        <v>0</v>
      </c>
      <c r="Z360" s="12">
        <v>573.6</v>
      </c>
      <c r="AA360" s="5">
        <v>333.52</v>
      </c>
      <c r="AB360" s="18">
        <v>58.15</v>
      </c>
      <c r="AC360" t="s">
        <v>50</v>
      </c>
      <c r="AD360" t="s">
        <v>86</v>
      </c>
      <c r="AE360" t="s">
        <v>68</v>
      </c>
      <c r="AF360">
        <v>4</v>
      </c>
      <c r="AG360" t="s">
        <v>53</v>
      </c>
    </row>
    <row r="361" spans="1:33">
      <c r="A361" t="s">
        <v>882</v>
      </c>
      <c r="B361" s="10">
        <v>45925</v>
      </c>
      <c r="C361" s="3" t="s">
        <v>307</v>
      </c>
      <c r="D361" t="s">
        <v>56</v>
      </c>
      <c r="E361" t="s">
        <v>72</v>
      </c>
      <c r="F361" t="s">
        <v>73</v>
      </c>
      <c r="G361" t="s">
        <v>74</v>
      </c>
      <c r="H361" t="s">
        <v>133</v>
      </c>
      <c r="I361" t="s">
        <v>134</v>
      </c>
      <c r="J361" t="s">
        <v>135</v>
      </c>
      <c r="K361" t="s">
        <v>42</v>
      </c>
      <c r="L361" t="s">
        <v>883</v>
      </c>
      <c r="M361" t="s">
        <v>63</v>
      </c>
      <c r="N361" t="s">
        <v>110</v>
      </c>
      <c r="O361" t="s">
        <v>189</v>
      </c>
      <c r="P361" t="s">
        <v>190</v>
      </c>
      <c r="Q361" t="s">
        <v>48</v>
      </c>
      <c r="R361" t="s">
        <v>49</v>
      </c>
      <c r="S361">
        <v>3</v>
      </c>
      <c r="T361" s="14">
        <v>66.78</v>
      </c>
      <c r="U361" s="7">
        <v>12</v>
      </c>
      <c r="V361" s="7">
        <v>22</v>
      </c>
      <c r="W361" s="14">
        <v>100.78</v>
      </c>
      <c r="X361" s="14">
        <v>222.6</v>
      </c>
      <c r="Y361" s="16">
        <v>0</v>
      </c>
      <c r="Z361" s="12">
        <v>667.8</v>
      </c>
      <c r="AA361" s="5">
        <v>365.46</v>
      </c>
      <c r="AB361" s="18">
        <v>54.73</v>
      </c>
      <c r="AC361" t="s">
        <v>111</v>
      </c>
      <c r="AD361" t="s">
        <v>158</v>
      </c>
      <c r="AE361" t="s">
        <v>68</v>
      </c>
      <c r="AF361">
        <v>5</v>
      </c>
      <c r="AG361" t="s">
        <v>53</v>
      </c>
    </row>
    <row r="362" spans="1:33">
      <c r="A362" t="s">
        <v>884</v>
      </c>
      <c r="B362" s="10">
        <v>46012</v>
      </c>
      <c r="C362" s="3" t="s">
        <v>141</v>
      </c>
      <c r="D362" t="s">
        <v>89</v>
      </c>
      <c r="E362" t="s">
        <v>149</v>
      </c>
      <c r="F362" t="s">
        <v>37</v>
      </c>
      <c r="G362" t="s">
        <v>92</v>
      </c>
      <c r="H362" t="s">
        <v>133</v>
      </c>
      <c r="I362" t="s">
        <v>134</v>
      </c>
      <c r="J362" t="s">
        <v>135</v>
      </c>
      <c r="K362" t="s">
        <v>42</v>
      </c>
      <c r="L362" t="s">
        <v>885</v>
      </c>
      <c r="M362" t="s">
        <v>44</v>
      </c>
      <c r="N362" t="s">
        <v>81</v>
      </c>
      <c r="O362" t="s">
        <v>176</v>
      </c>
      <c r="P362" t="s">
        <v>177</v>
      </c>
      <c r="Q362" t="s">
        <v>66</v>
      </c>
      <c r="R362" t="s">
        <v>84</v>
      </c>
      <c r="S362">
        <v>3</v>
      </c>
      <c r="T362" s="14">
        <v>60.84</v>
      </c>
      <c r="U362" s="7">
        <v>12</v>
      </c>
      <c r="V362" s="7">
        <v>22</v>
      </c>
      <c r="W362" s="14">
        <v>94.84</v>
      </c>
      <c r="X362" s="14">
        <v>202.8</v>
      </c>
      <c r="Y362" s="16">
        <v>10</v>
      </c>
      <c r="Z362" s="12">
        <v>547.55999999999995</v>
      </c>
      <c r="AA362" s="5">
        <v>263.04000000000002</v>
      </c>
      <c r="AB362" s="18">
        <v>48.04</v>
      </c>
      <c r="AC362" t="s">
        <v>104</v>
      </c>
      <c r="AD362" t="s">
        <v>86</v>
      </c>
      <c r="AE362" t="s">
        <v>105</v>
      </c>
      <c r="AF362">
        <v>4</v>
      </c>
      <c r="AG362" t="s">
        <v>53</v>
      </c>
    </row>
    <row r="363" spans="1:33">
      <c r="A363" t="s">
        <v>886</v>
      </c>
      <c r="B363" s="10">
        <v>45749</v>
      </c>
      <c r="C363" s="3" t="s">
        <v>219</v>
      </c>
      <c r="D363" t="s">
        <v>129</v>
      </c>
      <c r="E363" t="s">
        <v>280</v>
      </c>
      <c r="F363" t="s">
        <v>131</v>
      </c>
      <c r="G363" t="s">
        <v>132</v>
      </c>
      <c r="H363" t="s">
        <v>133</v>
      </c>
      <c r="I363" t="s">
        <v>134</v>
      </c>
      <c r="J363" t="s">
        <v>135</v>
      </c>
      <c r="K363" t="s">
        <v>42</v>
      </c>
      <c r="L363" t="s">
        <v>887</v>
      </c>
      <c r="M363" t="s">
        <v>80</v>
      </c>
      <c r="N363" t="s">
        <v>81</v>
      </c>
      <c r="O363" t="s">
        <v>168</v>
      </c>
      <c r="P363" t="s">
        <v>169</v>
      </c>
      <c r="Q363" t="s">
        <v>139</v>
      </c>
      <c r="R363" t="s">
        <v>49</v>
      </c>
      <c r="S363">
        <v>2</v>
      </c>
      <c r="T363" s="14">
        <v>66.78</v>
      </c>
      <c r="U363" s="7">
        <v>12</v>
      </c>
      <c r="V363" s="7">
        <v>22</v>
      </c>
      <c r="W363" s="14">
        <v>100.78</v>
      </c>
      <c r="X363" s="14">
        <v>222.6</v>
      </c>
      <c r="Y363" s="16">
        <v>0</v>
      </c>
      <c r="Z363" s="12">
        <v>445.2</v>
      </c>
      <c r="AA363" s="5">
        <v>243.64</v>
      </c>
      <c r="AB363" s="18">
        <v>54.73</v>
      </c>
      <c r="AC363" t="s">
        <v>50</v>
      </c>
      <c r="AD363" t="s">
        <v>51</v>
      </c>
      <c r="AE363" t="s">
        <v>68</v>
      </c>
      <c r="AF363">
        <v>5</v>
      </c>
      <c r="AG363" t="s">
        <v>53</v>
      </c>
    </row>
    <row r="364" spans="1:33">
      <c r="A364" t="s">
        <v>888</v>
      </c>
      <c r="B364" s="10">
        <v>45824</v>
      </c>
      <c r="C364" s="3" t="s">
        <v>70</v>
      </c>
      <c r="D364" t="s">
        <v>206</v>
      </c>
      <c r="E364" t="s">
        <v>174</v>
      </c>
      <c r="F364" t="s">
        <v>131</v>
      </c>
      <c r="G364" t="s">
        <v>132</v>
      </c>
      <c r="H364" t="s">
        <v>133</v>
      </c>
      <c r="I364" t="s">
        <v>134</v>
      </c>
      <c r="J364" t="s">
        <v>135</v>
      </c>
      <c r="K364" t="s">
        <v>42</v>
      </c>
      <c r="L364" t="s">
        <v>889</v>
      </c>
      <c r="M364" t="s">
        <v>63</v>
      </c>
      <c r="N364" t="s">
        <v>45</v>
      </c>
      <c r="O364" t="s">
        <v>168</v>
      </c>
      <c r="P364" t="s">
        <v>169</v>
      </c>
      <c r="Q364" t="s">
        <v>139</v>
      </c>
      <c r="R364" t="s">
        <v>84</v>
      </c>
      <c r="S364">
        <v>3</v>
      </c>
      <c r="T364" s="14">
        <v>57.24</v>
      </c>
      <c r="U364" s="7">
        <v>12</v>
      </c>
      <c r="V364" s="7">
        <v>22</v>
      </c>
      <c r="W364" s="14">
        <v>91.240000000000009</v>
      </c>
      <c r="X364" s="14">
        <v>190.8</v>
      </c>
      <c r="Y364" s="16">
        <v>0</v>
      </c>
      <c r="Z364" s="12">
        <v>572.4</v>
      </c>
      <c r="AA364" s="5">
        <v>298.68</v>
      </c>
      <c r="AB364" s="18">
        <v>52.18</v>
      </c>
      <c r="AC364" t="s">
        <v>85</v>
      </c>
      <c r="AD364" t="s">
        <v>86</v>
      </c>
      <c r="AE364" t="s">
        <v>52</v>
      </c>
      <c r="AF364">
        <v>3</v>
      </c>
      <c r="AG364" t="s">
        <v>53</v>
      </c>
    </row>
    <row r="365" spans="1:33">
      <c r="A365" t="s">
        <v>890</v>
      </c>
      <c r="B365" s="10">
        <v>45951</v>
      </c>
      <c r="C365" s="3" t="s">
        <v>219</v>
      </c>
      <c r="D365" t="s">
        <v>156</v>
      </c>
      <c r="E365" t="s">
        <v>36</v>
      </c>
      <c r="F365" t="s">
        <v>37</v>
      </c>
      <c r="G365" t="s">
        <v>38</v>
      </c>
      <c r="H365" t="s">
        <v>75</v>
      </c>
      <c r="I365" t="s">
        <v>76</v>
      </c>
      <c r="J365" t="s">
        <v>77</v>
      </c>
      <c r="K365" t="s">
        <v>78</v>
      </c>
      <c r="L365" t="s">
        <v>891</v>
      </c>
      <c r="M365" t="s">
        <v>63</v>
      </c>
      <c r="N365" t="s">
        <v>81</v>
      </c>
      <c r="O365" t="s">
        <v>82</v>
      </c>
      <c r="P365" t="s">
        <v>83</v>
      </c>
      <c r="Q365" t="s">
        <v>66</v>
      </c>
      <c r="R365" t="s">
        <v>84</v>
      </c>
      <c r="S365">
        <v>3</v>
      </c>
      <c r="T365" s="14">
        <v>86.04</v>
      </c>
      <c r="U365" s="7">
        <v>12</v>
      </c>
      <c r="V365" s="7">
        <v>22</v>
      </c>
      <c r="W365" s="14">
        <v>120.04</v>
      </c>
      <c r="X365" s="14">
        <v>286.8</v>
      </c>
      <c r="Y365" s="16">
        <v>0</v>
      </c>
      <c r="Z365" s="12">
        <v>860.4</v>
      </c>
      <c r="AA365" s="5">
        <v>500.28</v>
      </c>
      <c r="AB365" s="18">
        <v>58.15</v>
      </c>
      <c r="AC365" t="s">
        <v>111</v>
      </c>
      <c r="AD365" t="s">
        <v>51</v>
      </c>
      <c r="AE365" t="s">
        <v>126</v>
      </c>
      <c r="AF365">
        <v>4</v>
      </c>
      <c r="AG365" t="s">
        <v>53</v>
      </c>
    </row>
    <row r="366" spans="1:33">
      <c r="A366" t="s">
        <v>892</v>
      </c>
      <c r="B366" s="10">
        <v>45786</v>
      </c>
      <c r="C366" s="3" t="s">
        <v>185</v>
      </c>
      <c r="D366" t="s">
        <v>35</v>
      </c>
      <c r="E366" t="s">
        <v>130</v>
      </c>
      <c r="F366" t="s">
        <v>131</v>
      </c>
      <c r="G366" t="s">
        <v>132</v>
      </c>
      <c r="H366" t="s">
        <v>142</v>
      </c>
      <c r="I366" t="s">
        <v>143</v>
      </c>
      <c r="J366" t="s">
        <v>144</v>
      </c>
      <c r="K366" t="s">
        <v>145</v>
      </c>
      <c r="L366" t="s">
        <v>893</v>
      </c>
      <c r="M366" t="s">
        <v>44</v>
      </c>
      <c r="N366" t="s">
        <v>45</v>
      </c>
      <c r="O366" t="s">
        <v>64</v>
      </c>
      <c r="P366" t="s">
        <v>65</v>
      </c>
      <c r="Q366" t="s">
        <v>66</v>
      </c>
      <c r="R366" t="s">
        <v>49</v>
      </c>
      <c r="S366">
        <v>1</v>
      </c>
      <c r="T366" s="14">
        <v>62.58</v>
      </c>
      <c r="U366" s="7">
        <v>12</v>
      </c>
      <c r="V366" s="7">
        <v>22</v>
      </c>
      <c r="W366" s="14">
        <v>96.58</v>
      </c>
      <c r="X366" s="14">
        <v>208.6</v>
      </c>
      <c r="Y366" s="16">
        <v>0</v>
      </c>
      <c r="Z366" s="12">
        <v>208.6</v>
      </c>
      <c r="AA366" s="5">
        <v>112.02</v>
      </c>
      <c r="AB366" s="18">
        <v>53.7</v>
      </c>
      <c r="AC366" t="s">
        <v>50</v>
      </c>
      <c r="AD366" t="s">
        <v>51</v>
      </c>
      <c r="AE366" t="s">
        <v>126</v>
      </c>
      <c r="AF366">
        <v>4</v>
      </c>
      <c r="AG366" t="s">
        <v>53</v>
      </c>
    </row>
    <row r="367" spans="1:33">
      <c r="A367" t="s">
        <v>894</v>
      </c>
      <c r="B367" s="10">
        <v>45713</v>
      </c>
      <c r="C367" s="3" t="s">
        <v>339</v>
      </c>
      <c r="D367" t="s">
        <v>156</v>
      </c>
      <c r="E367" t="s">
        <v>90</v>
      </c>
      <c r="F367" t="s">
        <v>91</v>
      </c>
      <c r="G367" t="s">
        <v>92</v>
      </c>
      <c r="H367" t="s">
        <v>142</v>
      </c>
      <c r="I367" t="s">
        <v>143</v>
      </c>
      <c r="J367" t="s">
        <v>144</v>
      </c>
      <c r="K367" t="s">
        <v>145</v>
      </c>
      <c r="L367" t="s">
        <v>895</v>
      </c>
      <c r="M367" t="s">
        <v>80</v>
      </c>
      <c r="N367" t="s">
        <v>110</v>
      </c>
      <c r="O367" t="s">
        <v>94</v>
      </c>
      <c r="P367" t="s">
        <v>95</v>
      </c>
      <c r="Q367" t="s">
        <v>66</v>
      </c>
      <c r="R367" t="s">
        <v>84</v>
      </c>
      <c r="S367">
        <v>2</v>
      </c>
      <c r="T367" s="14">
        <v>78.84</v>
      </c>
      <c r="U367" s="7">
        <v>12</v>
      </c>
      <c r="V367" s="7">
        <v>22</v>
      </c>
      <c r="W367" s="14">
        <v>112.84</v>
      </c>
      <c r="X367" s="14">
        <v>262.8</v>
      </c>
      <c r="Y367" s="16">
        <v>10</v>
      </c>
      <c r="Z367" s="12">
        <v>473.04</v>
      </c>
      <c r="AA367" s="5">
        <v>247.36</v>
      </c>
      <c r="AB367" s="18">
        <v>52.29</v>
      </c>
      <c r="AC367" t="s">
        <v>104</v>
      </c>
      <c r="AD367" t="s">
        <v>86</v>
      </c>
      <c r="AE367" t="s">
        <v>126</v>
      </c>
      <c r="AF367">
        <v>3</v>
      </c>
      <c r="AG367" t="s">
        <v>53</v>
      </c>
    </row>
    <row r="368" spans="1:33">
      <c r="A368" t="s">
        <v>896</v>
      </c>
      <c r="B368" s="10">
        <v>45706</v>
      </c>
      <c r="C368" s="3" t="s">
        <v>113</v>
      </c>
      <c r="D368" t="s">
        <v>156</v>
      </c>
      <c r="E368" t="s">
        <v>90</v>
      </c>
      <c r="F368" t="s">
        <v>91</v>
      </c>
      <c r="G368" t="s">
        <v>92</v>
      </c>
      <c r="H368" t="s">
        <v>115</v>
      </c>
      <c r="I368" t="s">
        <v>116</v>
      </c>
      <c r="J368" t="s">
        <v>117</v>
      </c>
      <c r="K368" t="s">
        <v>61</v>
      </c>
      <c r="L368" t="s">
        <v>897</v>
      </c>
      <c r="M368" t="s">
        <v>63</v>
      </c>
      <c r="N368" t="s">
        <v>45</v>
      </c>
      <c r="O368" t="s">
        <v>94</v>
      </c>
      <c r="P368" t="s">
        <v>95</v>
      </c>
      <c r="Q368" t="s">
        <v>66</v>
      </c>
      <c r="R368" t="s">
        <v>49</v>
      </c>
      <c r="S368">
        <v>2</v>
      </c>
      <c r="T368" s="14">
        <v>91.98</v>
      </c>
      <c r="U368" s="7">
        <v>12</v>
      </c>
      <c r="V368" s="7">
        <v>22</v>
      </c>
      <c r="W368" s="14">
        <v>125.98</v>
      </c>
      <c r="X368" s="14">
        <v>306.60000000000002</v>
      </c>
      <c r="Y368" s="16">
        <v>0</v>
      </c>
      <c r="Z368" s="12">
        <v>613.20000000000005</v>
      </c>
      <c r="AA368" s="5">
        <v>361.24</v>
      </c>
      <c r="AB368" s="18">
        <v>58.91</v>
      </c>
      <c r="AC368" t="s">
        <v>104</v>
      </c>
      <c r="AD368" t="s">
        <v>86</v>
      </c>
      <c r="AE368" t="s">
        <v>68</v>
      </c>
      <c r="AF368">
        <v>4</v>
      </c>
      <c r="AG368" t="s">
        <v>53</v>
      </c>
    </row>
    <row r="369" spans="1:33">
      <c r="A369" t="s">
        <v>898</v>
      </c>
      <c r="B369" s="10">
        <v>45922</v>
      </c>
      <c r="C369" s="3" t="s">
        <v>194</v>
      </c>
      <c r="D369" t="s">
        <v>206</v>
      </c>
      <c r="E369" t="s">
        <v>72</v>
      </c>
      <c r="F369" t="s">
        <v>73</v>
      </c>
      <c r="G369" t="s">
        <v>74</v>
      </c>
      <c r="H369" t="s">
        <v>39</v>
      </c>
      <c r="I369" t="s">
        <v>2143</v>
      </c>
      <c r="J369" t="s">
        <v>41</v>
      </c>
      <c r="K369" t="s">
        <v>42</v>
      </c>
      <c r="L369" t="s">
        <v>899</v>
      </c>
      <c r="M369" t="s">
        <v>80</v>
      </c>
      <c r="N369" t="s">
        <v>110</v>
      </c>
      <c r="O369" t="s">
        <v>101</v>
      </c>
      <c r="P369" t="s">
        <v>102</v>
      </c>
      <c r="Q369" t="s">
        <v>103</v>
      </c>
      <c r="R369" t="s">
        <v>49</v>
      </c>
      <c r="S369">
        <v>3</v>
      </c>
      <c r="T369" s="14">
        <v>62.58</v>
      </c>
      <c r="U369" s="7">
        <v>12</v>
      </c>
      <c r="V369" s="7">
        <v>22</v>
      </c>
      <c r="W369" s="14">
        <v>96.58</v>
      </c>
      <c r="X369" s="14">
        <v>208.6</v>
      </c>
      <c r="Y369" s="16">
        <v>0</v>
      </c>
      <c r="Z369" s="12">
        <v>625.79999999999995</v>
      </c>
      <c r="AA369" s="5">
        <v>336.06</v>
      </c>
      <c r="AB369" s="18">
        <v>53.7</v>
      </c>
      <c r="AC369" t="s">
        <v>111</v>
      </c>
      <c r="AD369" t="s">
        <v>86</v>
      </c>
      <c r="AE369" t="s">
        <v>126</v>
      </c>
      <c r="AF369">
        <v>5</v>
      </c>
      <c r="AG369" t="s">
        <v>53</v>
      </c>
    </row>
    <row r="370" spans="1:33">
      <c r="A370" t="s">
        <v>900</v>
      </c>
      <c r="B370" s="10">
        <v>45892</v>
      </c>
      <c r="C370" s="3" t="s">
        <v>88</v>
      </c>
      <c r="D370" t="s">
        <v>71</v>
      </c>
      <c r="E370" t="s">
        <v>99</v>
      </c>
      <c r="F370" t="s">
        <v>73</v>
      </c>
      <c r="G370" t="s">
        <v>74</v>
      </c>
      <c r="H370" t="s">
        <v>142</v>
      </c>
      <c r="I370" t="s">
        <v>143</v>
      </c>
      <c r="J370" t="s">
        <v>144</v>
      </c>
      <c r="K370" t="s">
        <v>145</v>
      </c>
      <c r="L370" t="s">
        <v>901</v>
      </c>
      <c r="M370" t="s">
        <v>63</v>
      </c>
      <c r="N370" t="s">
        <v>110</v>
      </c>
      <c r="O370" t="s">
        <v>275</v>
      </c>
      <c r="P370" t="s">
        <v>276</v>
      </c>
      <c r="Q370" t="s">
        <v>125</v>
      </c>
      <c r="R370" t="s">
        <v>67</v>
      </c>
      <c r="S370">
        <v>1</v>
      </c>
      <c r="T370" s="14">
        <v>68.7</v>
      </c>
      <c r="U370" s="7">
        <v>12</v>
      </c>
      <c r="V370" s="7">
        <v>22</v>
      </c>
      <c r="W370" s="14">
        <v>102.7</v>
      </c>
      <c r="X370" s="14">
        <v>229</v>
      </c>
      <c r="Y370" s="16">
        <v>10</v>
      </c>
      <c r="Z370" s="12">
        <v>206.1</v>
      </c>
      <c r="AA370" s="5">
        <v>103.4</v>
      </c>
      <c r="AB370" s="18">
        <v>50.17</v>
      </c>
      <c r="AC370" t="s">
        <v>104</v>
      </c>
      <c r="AD370" t="s">
        <v>51</v>
      </c>
      <c r="AE370" t="s">
        <v>126</v>
      </c>
      <c r="AF370">
        <v>3</v>
      </c>
      <c r="AG370" t="s">
        <v>53</v>
      </c>
    </row>
    <row r="371" spans="1:33">
      <c r="A371" t="s">
        <v>902</v>
      </c>
      <c r="B371" s="10">
        <v>45802</v>
      </c>
      <c r="C371" s="3" t="s">
        <v>390</v>
      </c>
      <c r="D371" t="s">
        <v>89</v>
      </c>
      <c r="E371" t="s">
        <v>130</v>
      </c>
      <c r="F371" t="s">
        <v>131</v>
      </c>
      <c r="G371" t="s">
        <v>132</v>
      </c>
      <c r="H371" t="s">
        <v>75</v>
      </c>
      <c r="I371" t="s">
        <v>76</v>
      </c>
      <c r="J371" t="s">
        <v>77</v>
      </c>
      <c r="K371" t="s">
        <v>78</v>
      </c>
      <c r="L371" t="s">
        <v>903</v>
      </c>
      <c r="M371" t="s">
        <v>63</v>
      </c>
      <c r="N371" t="s">
        <v>81</v>
      </c>
      <c r="O371" t="s">
        <v>275</v>
      </c>
      <c r="P371" t="s">
        <v>276</v>
      </c>
      <c r="Q371" t="s">
        <v>125</v>
      </c>
      <c r="R371" t="s">
        <v>84</v>
      </c>
      <c r="S371">
        <v>2</v>
      </c>
      <c r="T371" s="14">
        <v>82.44</v>
      </c>
      <c r="U371" s="7">
        <v>12</v>
      </c>
      <c r="V371" s="7">
        <v>22</v>
      </c>
      <c r="W371" s="14">
        <v>116.44</v>
      </c>
      <c r="X371" s="14">
        <v>274.8</v>
      </c>
      <c r="Y371" s="16">
        <v>15</v>
      </c>
      <c r="Z371" s="12">
        <v>467.16</v>
      </c>
      <c r="AA371" s="5">
        <v>234.28</v>
      </c>
      <c r="AB371" s="18">
        <v>50.15</v>
      </c>
      <c r="AC371" t="s">
        <v>85</v>
      </c>
      <c r="AD371" t="s">
        <v>86</v>
      </c>
      <c r="AE371" t="s">
        <v>96</v>
      </c>
      <c r="AF371">
        <v>4</v>
      </c>
      <c r="AG371" t="s">
        <v>53</v>
      </c>
    </row>
    <row r="372" spans="1:33">
      <c r="A372" t="s">
        <v>904</v>
      </c>
      <c r="B372" s="10">
        <v>45677</v>
      </c>
      <c r="C372" s="3" t="s">
        <v>219</v>
      </c>
      <c r="D372" t="s">
        <v>206</v>
      </c>
      <c r="E372" t="s">
        <v>152</v>
      </c>
      <c r="F372" t="s">
        <v>91</v>
      </c>
      <c r="G372" t="s">
        <v>92</v>
      </c>
      <c r="H372" t="s">
        <v>58</v>
      </c>
      <c r="I372" t="s">
        <v>59</v>
      </c>
      <c r="J372" t="s">
        <v>60</v>
      </c>
      <c r="K372" t="s">
        <v>61</v>
      </c>
      <c r="L372" t="s">
        <v>905</v>
      </c>
      <c r="M372" t="s">
        <v>44</v>
      </c>
      <c r="N372" t="s">
        <v>45</v>
      </c>
      <c r="O372" t="s">
        <v>168</v>
      </c>
      <c r="P372" t="s">
        <v>169</v>
      </c>
      <c r="Q372" t="s">
        <v>139</v>
      </c>
      <c r="R372" t="s">
        <v>49</v>
      </c>
      <c r="S372">
        <v>3</v>
      </c>
      <c r="T372" s="14">
        <v>66.78</v>
      </c>
      <c r="U372" s="7">
        <v>12</v>
      </c>
      <c r="V372" s="7">
        <v>22</v>
      </c>
      <c r="W372" s="14">
        <v>100.78</v>
      </c>
      <c r="X372" s="14">
        <v>222.6</v>
      </c>
      <c r="Y372" s="16">
        <v>0</v>
      </c>
      <c r="Z372" s="12">
        <v>667.8</v>
      </c>
      <c r="AA372" s="5">
        <v>365.46</v>
      </c>
      <c r="AB372" s="18">
        <v>54.73</v>
      </c>
      <c r="AC372" t="s">
        <v>104</v>
      </c>
      <c r="AD372" t="s">
        <v>158</v>
      </c>
      <c r="AE372" t="s">
        <v>68</v>
      </c>
      <c r="AF372">
        <v>5</v>
      </c>
      <c r="AG372" t="s">
        <v>53</v>
      </c>
    </row>
    <row r="373" spans="1:33">
      <c r="A373" t="s">
        <v>906</v>
      </c>
      <c r="B373" s="10">
        <v>45938</v>
      </c>
      <c r="C373" s="3" t="s">
        <v>339</v>
      </c>
      <c r="D373" t="s">
        <v>129</v>
      </c>
      <c r="E373" t="s">
        <v>36</v>
      </c>
      <c r="F373" t="s">
        <v>37</v>
      </c>
      <c r="G373" t="s">
        <v>38</v>
      </c>
      <c r="H373" t="s">
        <v>133</v>
      </c>
      <c r="I373" t="s">
        <v>134</v>
      </c>
      <c r="J373" t="s">
        <v>135</v>
      </c>
      <c r="K373" t="s">
        <v>42</v>
      </c>
      <c r="L373" t="s">
        <v>907</v>
      </c>
      <c r="M373" t="s">
        <v>80</v>
      </c>
      <c r="N373" t="s">
        <v>110</v>
      </c>
      <c r="O373" t="s">
        <v>137</v>
      </c>
      <c r="P373" t="s">
        <v>138</v>
      </c>
      <c r="Q373" t="s">
        <v>139</v>
      </c>
      <c r="R373" t="s">
        <v>49</v>
      </c>
      <c r="S373">
        <v>2</v>
      </c>
      <c r="T373" s="14">
        <v>83.58</v>
      </c>
      <c r="U373" s="7">
        <v>12</v>
      </c>
      <c r="V373" s="7">
        <v>22</v>
      </c>
      <c r="W373" s="14">
        <v>117.58</v>
      </c>
      <c r="X373" s="14">
        <v>278.60000000000002</v>
      </c>
      <c r="Y373" s="16">
        <v>5</v>
      </c>
      <c r="Z373" s="12">
        <v>529.34</v>
      </c>
      <c r="AA373" s="5">
        <v>294.18</v>
      </c>
      <c r="AB373" s="18">
        <v>55.57</v>
      </c>
      <c r="AC373" t="s">
        <v>104</v>
      </c>
      <c r="AD373" t="s">
        <v>86</v>
      </c>
      <c r="AE373" t="s">
        <v>105</v>
      </c>
      <c r="AF373">
        <v>5</v>
      </c>
      <c r="AG373" t="s">
        <v>53</v>
      </c>
    </row>
    <row r="374" spans="1:33">
      <c r="A374" t="s">
        <v>908</v>
      </c>
      <c r="B374" s="10">
        <v>45660</v>
      </c>
      <c r="C374" s="3" t="s">
        <v>310</v>
      </c>
      <c r="D374" t="s">
        <v>35</v>
      </c>
      <c r="E374" t="s">
        <v>152</v>
      </c>
      <c r="F374" t="s">
        <v>91</v>
      </c>
      <c r="G374" t="s">
        <v>92</v>
      </c>
      <c r="H374" t="s">
        <v>133</v>
      </c>
      <c r="I374" t="s">
        <v>134</v>
      </c>
      <c r="J374" t="s">
        <v>135</v>
      </c>
      <c r="K374" t="s">
        <v>42</v>
      </c>
      <c r="L374" t="s">
        <v>909</v>
      </c>
      <c r="M374" t="s">
        <v>63</v>
      </c>
      <c r="N374" t="s">
        <v>110</v>
      </c>
      <c r="O374" t="s">
        <v>64</v>
      </c>
      <c r="P374" t="s">
        <v>65</v>
      </c>
      <c r="Q374" t="s">
        <v>66</v>
      </c>
      <c r="R374" t="s">
        <v>84</v>
      </c>
      <c r="S374">
        <v>3</v>
      </c>
      <c r="T374" s="14">
        <v>53.64</v>
      </c>
      <c r="U374" s="7">
        <v>12</v>
      </c>
      <c r="V374" s="7">
        <v>22</v>
      </c>
      <c r="W374" s="14">
        <v>87.64</v>
      </c>
      <c r="X374" s="14">
        <v>178.8</v>
      </c>
      <c r="Y374" s="16">
        <v>0</v>
      </c>
      <c r="Z374" s="12">
        <v>536.4</v>
      </c>
      <c r="AA374" s="5">
        <v>273.48</v>
      </c>
      <c r="AB374" s="18">
        <v>50.98</v>
      </c>
      <c r="AC374" t="s">
        <v>50</v>
      </c>
      <c r="AD374" t="s">
        <v>51</v>
      </c>
      <c r="AE374" t="s">
        <v>126</v>
      </c>
      <c r="AF374">
        <v>5</v>
      </c>
      <c r="AG374" t="s">
        <v>53</v>
      </c>
    </row>
    <row r="375" spans="1:33">
      <c r="A375" t="s">
        <v>910</v>
      </c>
      <c r="B375" s="10">
        <v>45770</v>
      </c>
      <c r="C375" s="3" t="s">
        <v>128</v>
      </c>
      <c r="D375" t="s">
        <v>129</v>
      </c>
      <c r="E375" t="s">
        <v>280</v>
      </c>
      <c r="F375" t="s">
        <v>131</v>
      </c>
      <c r="G375" t="s">
        <v>132</v>
      </c>
      <c r="H375" t="s">
        <v>75</v>
      </c>
      <c r="I375" t="s">
        <v>76</v>
      </c>
      <c r="J375" t="s">
        <v>77</v>
      </c>
      <c r="K375" t="s">
        <v>78</v>
      </c>
      <c r="L375" t="s">
        <v>911</v>
      </c>
      <c r="M375" t="s">
        <v>80</v>
      </c>
      <c r="N375" t="s">
        <v>45</v>
      </c>
      <c r="O375" t="s">
        <v>46</v>
      </c>
      <c r="P375" t="s">
        <v>47</v>
      </c>
      <c r="Q375" t="s">
        <v>48</v>
      </c>
      <c r="R375" t="s">
        <v>49</v>
      </c>
      <c r="S375">
        <v>2</v>
      </c>
      <c r="T375" s="14">
        <v>108.78</v>
      </c>
      <c r="U375" s="7">
        <v>12</v>
      </c>
      <c r="V375" s="7">
        <v>22</v>
      </c>
      <c r="W375" s="14">
        <v>142.78</v>
      </c>
      <c r="X375" s="14">
        <v>362.6</v>
      </c>
      <c r="Y375" s="16">
        <v>0</v>
      </c>
      <c r="Z375" s="12">
        <v>725.2</v>
      </c>
      <c r="AA375" s="5">
        <v>439.64</v>
      </c>
      <c r="AB375" s="18">
        <v>60.62</v>
      </c>
      <c r="AC375" t="s">
        <v>50</v>
      </c>
      <c r="AD375" t="s">
        <v>51</v>
      </c>
      <c r="AE375" t="s">
        <v>52</v>
      </c>
      <c r="AF375">
        <v>4</v>
      </c>
      <c r="AG375" t="s">
        <v>53</v>
      </c>
    </row>
    <row r="376" spans="1:33">
      <c r="A376" t="s">
        <v>912</v>
      </c>
      <c r="B376" s="10">
        <v>46009</v>
      </c>
      <c r="C376" s="3" t="s">
        <v>128</v>
      </c>
      <c r="D376" t="s">
        <v>56</v>
      </c>
      <c r="E376" t="s">
        <v>149</v>
      </c>
      <c r="F376" t="s">
        <v>37</v>
      </c>
      <c r="G376" t="s">
        <v>92</v>
      </c>
      <c r="H376" t="s">
        <v>58</v>
      </c>
      <c r="I376" t="s">
        <v>59</v>
      </c>
      <c r="J376" t="s">
        <v>60</v>
      </c>
      <c r="K376" t="s">
        <v>61</v>
      </c>
      <c r="L376" t="s">
        <v>913</v>
      </c>
      <c r="M376" t="s">
        <v>44</v>
      </c>
      <c r="N376" t="s">
        <v>110</v>
      </c>
      <c r="O376" t="s">
        <v>64</v>
      </c>
      <c r="P376" t="s">
        <v>65</v>
      </c>
      <c r="Q376" t="s">
        <v>66</v>
      </c>
      <c r="R376" t="s">
        <v>84</v>
      </c>
      <c r="S376">
        <v>3</v>
      </c>
      <c r="T376" s="14">
        <v>53.64</v>
      </c>
      <c r="U376" s="7">
        <v>12</v>
      </c>
      <c r="V376" s="7">
        <v>22</v>
      </c>
      <c r="W376" s="14">
        <v>87.64</v>
      </c>
      <c r="X376" s="14">
        <v>178.8</v>
      </c>
      <c r="Y376" s="16">
        <v>0</v>
      </c>
      <c r="Z376" s="12">
        <v>536.4</v>
      </c>
      <c r="AA376" s="5">
        <v>273.48</v>
      </c>
      <c r="AB376" s="18">
        <v>50.98</v>
      </c>
      <c r="AC376" t="s">
        <v>104</v>
      </c>
      <c r="AD376" t="s">
        <v>51</v>
      </c>
      <c r="AE376" t="s">
        <v>96</v>
      </c>
      <c r="AF376">
        <v>5</v>
      </c>
      <c r="AG376" t="s">
        <v>53</v>
      </c>
    </row>
    <row r="377" spans="1:33">
      <c r="A377" t="s">
        <v>914</v>
      </c>
      <c r="B377" s="10">
        <v>45901</v>
      </c>
      <c r="C377" s="3" t="s">
        <v>179</v>
      </c>
      <c r="D377" t="s">
        <v>206</v>
      </c>
      <c r="E377" t="s">
        <v>72</v>
      </c>
      <c r="F377" t="s">
        <v>73</v>
      </c>
      <c r="G377" t="s">
        <v>74</v>
      </c>
      <c r="H377" t="s">
        <v>133</v>
      </c>
      <c r="I377" t="s">
        <v>134</v>
      </c>
      <c r="J377" t="s">
        <v>135</v>
      </c>
      <c r="K377" t="s">
        <v>42</v>
      </c>
      <c r="L377" t="s">
        <v>915</v>
      </c>
      <c r="M377" t="s">
        <v>44</v>
      </c>
      <c r="N377" t="s">
        <v>110</v>
      </c>
      <c r="O377" t="s">
        <v>101</v>
      </c>
      <c r="P377" t="s">
        <v>102</v>
      </c>
      <c r="Q377" t="s">
        <v>103</v>
      </c>
      <c r="R377" t="s">
        <v>67</v>
      </c>
      <c r="S377">
        <v>2</v>
      </c>
      <c r="T377" s="14">
        <v>44.7</v>
      </c>
      <c r="U377" s="7">
        <v>12</v>
      </c>
      <c r="V377" s="7">
        <v>22</v>
      </c>
      <c r="W377" s="14">
        <v>78.7</v>
      </c>
      <c r="X377" s="14">
        <v>149</v>
      </c>
      <c r="Y377" s="16">
        <v>10</v>
      </c>
      <c r="Z377" s="12">
        <v>268.2</v>
      </c>
      <c r="AA377" s="5">
        <v>110.8</v>
      </c>
      <c r="AB377" s="18">
        <v>41.31</v>
      </c>
      <c r="AC377" t="s">
        <v>111</v>
      </c>
      <c r="AD377" t="s">
        <v>51</v>
      </c>
      <c r="AE377" t="s">
        <v>96</v>
      </c>
      <c r="AF377">
        <v>5</v>
      </c>
      <c r="AG377" t="s">
        <v>53</v>
      </c>
    </row>
    <row r="378" spans="1:33">
      <c r="A378" t="s">
        <v>916</v>
      </c>
      <c r="B378" s="10">
        <v>45858</v>
      </c>
      <c r="C378" s="3" t="s">
        <v>55</v>
      </c>
      <c r="D378" t="s">
        <v>89</v>
      </c>
      <c r="E378" t="s">
        <v>114</v>
      </c>
      <c r="F378" t="s">
        <v>73</v>
      </c>
      <c r="G378" t="s">
        <v>74</v>
      </c>
      <c r="H378" t="s">
        <v>75</v>
      </c>
      <c r="I378" t="s">
        <v>76</v>
      </c>
      <c r="J378" t="s">
        <v>77</v>
      </c>
      <c r="K378" t="s">
        <v>78</v>
      </c>
      <c r="L378" t="s">
        <v>917</v>
      </c>
      <c r="M378" t="s">
        <v>44</v>
      </c>
      <c r="N378" t="s">
        <v>45</v>
      </c>
      <c r="O378" t="s">
        <v>452</v>
      </c>
      <c r="P378" t="s">
        <v>453</v>
      </c>
      <c r="Q378" t="s">
        <v>215</v>
      </c>
      <c r="R378" t="s">
        <v>67</v>
      </c>
      <c r="S378">
        <v>1</v>
      </c>
      <c r="T378" s="14">
        <v>98.7</v>
      </c>
      <c r="U378" s="7">
        <v>12</v>
      </c>
      <c r="V378" s="7">
        <v>22</v>
      </c>
      <c r="W378" s="14">
        <v>132.69999999999999</v>
      </c>
      <c r="X378" s="14">
        <v>329</v>
      </c>
      <c r="Y378" s="16">
        <v>15</v>
      </c>
      <c r="Z378" s="12">
        <v>279.64999999999998</v>
      </c>
      <c r="AA378" s="5">
        <v>146.94999999999999</v>
      </c>
      <c r="AB378" s="18">
        <v>52.55</v>
      </c>
      <c r="AC378" t="s">
        <v>50</v>
      </c>
      <c r="AD378" t="s">
        <v>86</v>
      </c>
      <c r="AE378" t="s">
        <v>96</v>
      </c>
      <c r="AF378">
        <v>5</v>
      </c>
      <c r="AG378" t="s">
        <v>53</v>
      </c>
    </row>
    <row r="379" spans="1:33">
      <c r="A379" t="s">
        <v>918</v>
      </c>
      <c r="B379" s="10">
        <v>45737</v>
      </c>
      <c r="C379" s="3" t="s">
        <v>310</v>
      </c>
      <c r="D379" t="s">
        <v>35</v>
      </c>
      <c r="E379" t="s">
        <v>108</v>
      </c>
      <c r="F379" t="s">
        <v>91</v>
      </c>
      <c r="G379" t="s">
        <v>38</v>
      </c>
      <c r="H379" t="s">
        <v>39</v>
      </c>
      <c r="I379" t="s">
        <v>2143</v>
      </c>
      <c r="J379" t="s">
        <v>41</v>
      </c>
      <c r="K379" t="s">
        <v>42</v>
      </c>
      <c r="L379" t="s">
        <v>919</v>
      </c>
      <c r="M379" t="s">
        <v>63</v>
      </c>
      <c r="N379" t="s">
        <v>45</v>
      </c>
      <c r="O379" t="s">
        <v>162</v>
      </c>
      <c r="P379" t="s">
        <v>163</v>
      </c>
      <c r="Q379" t="s">
        <v>48</v>
      </c>
      <c r="R379" t="s">
        <v>67</v>
      </c>
      <c r="S379">
        <v>1</v>
      </c>
      <c r="T379" s="14">
        <v>74.7</v>
      </c>
      <c r="U379" s="7">
        <v>12</v>
      </c>
      <c r="V379" s="7">
        <v>22</v>
      </c>
      <c r="W379" s="14">
        <v>108.7</v>
      </c>
      <c r="X379" s="14">
        <v>249</v>
      </c>
      <c r="Y379" s="16">
        <v>0</v>
      </c>
      <c r="Z379" s="12">
        <v>249</v>
      </c>
      <c r="AA379" s="5">
        <v>140.30000000000001</v>
      </c>
      <c r="AB379" s="18">
        <v>56.35</v>
      </c>
      <c r="AC379" t="s">
        <v>50</v>
      </c>
      <c r="AD379" t="s">
        <v>51</v>
      </c>
      <c r="AE379" t="s">
        <v>96</v>
      </c>
      <c r="AF379">
        <v>4</v>
      </c>
      <c r="AG379" t="s">
        <v>53</v>
      </c>
    </row>
    <row r="380" spans="1:33">
      <c r="A380" t="s">
        <v>920</v>
      </c>
      <c r="B380" s="10">
        <v>45852</v>
      </c>
      <c r="C380" s="3" t="s">
        <v>113</v>
      </c>
      <c r="D380" t="s">
        <v>206</v>
      </c>
      <c r="E380" t="s">
        <v>114</v>
      </c>
      <c r="F380" t="s">
        <v>73</v>
      </c>
      <c r="G380" t="s">
        <v>74</v>
      </c>
      <c r="H380" t="s">
        <v>115</v>
      </c>
      <c r="I380" t="s">
        <v>116</v>
      </c>
      <c r="J380" t="s">
        <v>117</v>
      </c>
      <c r="K380" t="s">
        <v>61</v>
      </c>
      <c r="L380" t="s">
        <v>921</v>
      </c>
      <c r="M380" t="s">
        <v>63</v>
      </c>
      <c r="N380" t="s">
        <v>110</v>
      </c>
      <c r="O380" t="s">
        <v>119</v>
      </c>
      <c r="P380" t="s">
        <v>120</v>
      </c>
      <c r="Q380" t="s">
        <v>103</v>
      </c>
      <c r="R380" t="s">
        <v>49</v>
      </c>
      <c r="S380">
        <v>3</v>
      </c>
      <c r="T380" s="14">
        <v>54.18</v>
      </c>
      <c r="U380" s="7">
        <v>12</v>
      </c>
      <c r="V380" s="7">
        <v>22</v>
      </c>
      <c r="W380" s="14">
        <v>88.18</v>
      </c>
      <c r="X380" s="14">
        <v>180.6</v>
      </c>
      <c r="Y380" s="16">
        <v>0</v>
      </c>
      <c r="Z380" s="12">
        <v>541.79999999999995</v>
      </c>
      <c r="AA380" s="5">
        <v>277.26</v>
      </c>
      <c r="AB380" s="18">
        <v>51.17</v>
      </c>
      <c r="AC380" t="s">
        <v>85</v>
      </c>
      <c r="AD380" t="s">
        <v>86</v>
      </c>
      <c r="AE380" t="s">
        <v>68</v>
      </c>
      <c r="AF380">
        <v>5</v>
      </c>
      <c r="AG380" t="s">
        <v>53</v>
      </c>
    </row>
    <row r="381" spans="1:33">
      <c r="A381" t="s">
        <v>922</v>
      </c>
      <c r="B381" s="10">
        <v>45966</v>
      </c>
      <c r="C381" s="3" t="s">
        <v>219</v>
      </c>
      <c r="D381" t="s">
        <v>129</v>
      </c>
      <c r="E381" t="s">
        <v>57</v>
      </c>
      <c r="F381" t="s">
        <v>37</v>
      </c>
      <c r="G381" t="s">
        <v>38</v>
      </c>
      <c r="H381" t="s">
        <v>133</v>
      </c>
      <c r="I381" t="s">
        <v>134</v>
      </c>
      <c r="J381" t="s">
        <v>135</v>
      </c>
      <c r="K381" t="s">
        <v>42</v>
      </c>
      <c r="L381" t="s">
        <v>923</v>
      </c>
      <c r="M381" t="s">
        <v>63</v>
      </c>
      <c r="N381" t="s">
        <v>81</v>
      </c>
      <c r="O381" t="s">
        <v>82</v>
      </c>
      <c r="P381" t="s">
        <v>83</v>
      </c>
      <c r="Q381" t="s">
        <v>66</v>
      </c>
      <c r="R381" t="s">
        <v>49</v>
      </c>
      <c r="S381">
        <v>3</v>
      </c>
      <c r="T381" s="14">
        <v>100.38</v>
      </c>
      <c r="U381" s="7">
        <v>12</v>
      </c>
      <c r="V381" s="7">
        <v>22</v>
      </c>
      <c r="W381" s="14">
        <v>134.38</v>
      </c>
      <c r="X381" s="14">
        <v>334.6</v>
      </c>
      <c r="Y381" s="16">
        <v>0</v>
      </c>
      <c r="Z381" s="12">
        <v>1003.8</v>
      </c>
      <c r="AA381" s="5">
        <v>600.66</v>
      </c>
      <c r="AB381" s="18">
        <v>59.84</v>
      </c>
      <c r="AC381" t="s">
        <v>50</v>
      </c>
      <c r="AD381" t="s">
        <v>51</v>
      </c>
      <c r="AE381" t="s">
        <v>52</v>
      </c>
      <c r="AF381">
        <v>5</v>
      </c>
      <c r="AG381" t="s">
        <v>53</v>
      </c>
    </row>
    <row r="382" spans="1:33">
      <c r="A382" t="s">
        <v>924</v>
      </c>
      <c r="B382" s="10">
        <v>45882</v>
      </c>
      <c r="C382" s="3" t="s">
        <v>211</v>
      </c>
      <c r="D382" t="s">
        <v>129</v>
      </c>
      <c r="E382" t="s">
        <v>99</v>
      </c>
      <c r="F382" t="s">
        <v>73</v>
      </c>
      <c r="G382" t="s">
        <v>74</v>
      </c>
      <c r="H382" t="s">
        <v>142</v>
      </c>
      <c r="I382" t="s">
        <v>143</v>
      </c>
      <c r="J382" t="s">
        <v>144</v>
      </c>
      <c r="K382" t="s">
        <v>145</v>
      </c>
      <c r="L382" t="s">
        <v>925</v>
      </c>
      <c r="M382" t="s">
        <v>44</v>
      </c>
      <c r="N382" t="s">
        <v>81</v>
      </c>
      <c r="O382" t="s">
        <v>137</v>
      </c>
      <c r="P382" t="s">
        <v>138</v>
      </c>
      <c r="Q382" t="s">
        <v>139</v>
      </c>
      <c r="R382" t="s">
        <v>84</v>
      </c>
      <c r="S382">
        <v>2</v>
      </c>
      <c r="T382" s="14">
        <v>71.64</v>
      </c>
      <c r="U382" s="7">
        <v>12</v>
      </c>
      <c r="V382" s="7">
        <v>22</v>
      </c>
      <c r="W382" s="14">
        <v>105.64</v>
      </c>
      <c r="X382" s="14">
        <v>238.8</v>
      </c>
      <c r="Y382" s="16">
        <v>0</v>
      </c>
      <c r="Z382" s="12">
        <v>477.6</v>
      </c>
      <c r="AA382" s="5">
        <v>266.32</v>
      </c>
      <c r="AB382" s="18">
        <v>55.76</v>
      </c>
      <c r="AC382" t="s">
        <v>111</v>
      </c>
      <c r="AD382" t="s">
        <v>86</v>
      </c>
      <c r="AE382" t="s">
        <v>68</v>
      </c>
      <c r="AF382">
        <v>5</v>
      </c>
      <c r="AG382" t="s">
        <v>53</v>
      </c>
    </row>
    <row r="383" spans="1:33">
      <c r="A383" t="s">
        <v>926</v>
      </c>
      <c r="B383" s="10">
        <v>45910</v>
      </c>
      <c r="C383" s="3" t="s">
        <v>155</v>
      </c>
      <c r="D383" t="s">
        <v>129</v>
      </c>
      <c r="E383" t="s">
        <v>72</v>
      </c>
      <c r="F383" t="s">
        <v>73</v>
      </c>
      <c r="G383" t="s">
        <v>74</v>
      </c>
      <c r="H383" t="s">
        <v>39</v>
      </c>
      <c r="I383" t="s">
        <v>2143</v>
      </c>
      <c r="J383" t="s">
        <v>41</v>
      </c>
      <c r="K383" t="s">
        <v>42</v>
      </c>
      <c r="L383" t="s">
        <v>927</v>
      </c>
      <c r="M383" t="s">
        <v>80</v>
      </c>
      <c r="N383" t="s">
        <v>45</v>
      </c>
      <c r="O383" t="s">
        <v>82</v>
      </c>
      <c r="P383" t="s">
        <v>83</v>
      </c>
      <c r="Q383" t="s">
        <v>66</v>
      </c>
      <c r="R383" t="s">
        <v>84</v>
      </c>
      <c r="S383">
        <v>1</v>
      </c>
      <c r="T383" s="14">
        <v>86.04</v>
      </c>
      <c r="U383" s="7">
        <v>12</v>
      </c>
      <c r="V383" s="7">
        <v>22</v>
      </c>
      <c r="W383" s="14">
        <v>120.04</v>
      </c>
      <c r="X383" s="14">
        <v>286.8</v>
      </c>
      <c r="Y383" s="16">
        <v>5</v>
      </c>
      <c r="Z383" s="12">
        <v>272.45999999999998</v>
      </c>
      <c r="AA383" s="5">
        <v>152.41999999999999</v>
      </c>
      <c r="AB383" s="18">
        <v>55.94</v>
      </c>
      <c r="AC383" t="s">
        <v>85</v>
      </c>
      <c r="AD383" t="s">
        <v>51</v>
      </c>
      <c r="AE383" t="s">
        <v>52</v>
      </c>
      <c r="AF383">
        <v>5</v>
      </c>
      <c r="AG383" t="s">
        <v>53</v>
      </c>
    </row>
    <row r="384" spans="1:33">
      <c r="A384" t="s">
        <v>928</v>
      </c>
      <c r="B384" s="10">
        <v>45884</v>
      </c>
      <c r="C384" s="3" t="s">
        <v>160</v>
      </c>
      <c r="D384" t="s">
        <v>35</v>
      </c>
      <c r="E384" t="s">
        <v>99</v>
      </c>
      <c r="F384" t="s">
        <v>73</v>
      </c>
      <c r="G384" t="s">
        <v>74</v>
      </c>
      <c r="H384" t="s">
        <v>115</v>
      </c>
      <c r="I384" t="s">
        <v>116</v>
      </c>
      <c r="J384" t="s">
        <v>117</v>
      </c>
      <c r="K384" t="s">
        <v>61</v>
      </c>
      <c r="L384" t="s">
        <v>929</v>
      </c>
      <c r="M384" t="s">
        <v>80</v>
      </c>
      <c r="N384" t="s">
        <v>81</v>
      </c>
      <c r="O384" t="s">
        <v>162</v>
      </c>
      <c r="P384" t="s">
        <v>163</v>
      </c>
      <c r="Q384" t="s">
        <v>48</v>
      </c>
      <c r="R384" t="s">
        <v>49</v>
      </c>
      <c r="S384">
        <v>2</v>
      </c>
      <c r="T384" s="14">
        <v>104.58</v>
      </c>
      <c r="U384" s="7">
        <v>12</v>
      </c>
      <c r="V384" s="7">
        <v>22</v>
      </c>
      <c r="W384" s="14">
        <v>138.58000000000001</v>
      </c>
      <c r="X384" s="14">
        <v>348.6</v>
      </c>
      <c r="Y384" s="16">
        <v>5</v>
      </c>
      <c r="Z384" s="12">
        <v>662.34</v>
      </c>
      <c r="AA384" s="5">
        <v>385.18</v>
      </c>
      <c r="AB384" s="18">
        <v>58.15</v>
      </c>
      <c r="AC384" t="s">
        <v>85</v>
      </c>
      <c r="AD384" t="s">
        <v>51</v>
      </c>
      <c r="AE384" t="s">
        <v>126</v>
      </c>
      <c r="AF384">
        <v>5</v>
      </c>
      <c r="AG384" t="s">
        <v>53</v>
      </c>
    </row>
    <row r="385" spans="1:33">
      <c r="A385" t="s">
        <v>930</v>
      </c>
      <c r="B385" s="10">
        <v>45894</v>
      </c>
      <c r="C385" s="3" t="s">
        <v>310</v>
      </c>
      <c r="D385" t="s">
        <v>206</v>
      </c>
      <c r="E385" t="s">
        <v>99</v>
      </c>
      <c r="F385" t="s">
        <v>73</v>
      </c>
      <c r="G385" t="s">
        <v>74</v>
      </c>
      <c r="H385" t="s">
        <v>115</v>
      </c>
      <c r="I385" t="s">
        <v>116</v>
      </c>
      <c r="J385" t="s">
        <v>117</v>
      </c>
      <c r="K385" t="s">
        <v>61</v>
      </c>
      <c r="L385" t="s">
        <v>931</v>
      </c>
      <c r="M385" t="s">
        <v>80</v>
      </c>
      <c r="N385" t="s">
        <v>45</v>
      </c>
      <c r="O385" t="s">
        <v>46</v>
      </c>
      <c r="P385" t="s">
        <v>47</v>
      </c>
      <c r="Q385" t="s">
        <v>48</v>
      </c>
      <c r="R385" t="s">
        <v>67</v>
      </c>
      <c r="S385">
        <v>1</v>
      </c>
      <c r="T385" s="14">
        <v>77.7</v>
      </c>
      <c r="U385" s="7">
        <v>12</v>
      </c>
      <c r="V385" s="7">
        <v>22</v>
      </c>
      <c r="W385" s="14">
        <v>111.7</v>
      </c>
      <c r="X385" s="14">
        <v>259</v>
      </c>
      <c r="Y385" s="16">
        <v>0</v>
      </c>
      <c r="Z385" s="12">
        <v>259</v>
      </c>
      <c r="AA385" s="5">
        <v>147.30000000000001</v>
      </c>
      <c r="AB385" s="18">
        <v>56.87</v>
      </c>
      <c r="AC385" t="s">
        <v>50</v>
      </c>
      <c r="AD385" t="s">
        <v>158</v>
      </c>
      <c r="AE385" t="s">
        <v>68</v>
      </c>
      <c r="AF385">
        <v>5</v>
      </c>
      <c r="AG385" t="s">
        <v>53</v>
      </c>
    </row>
    <row r="386" spans="1:33">
      <c r="A386" t="s">
        <v>932</v>
      </c>
      <c r="B386" s="10">
        <v>45691</v>
      </c>
      <c r="C386" s="3" t="s">
        <v>171</v>
      </c>
      <c r="D386" t="s">
        <v>206</v>
      </c>
      <c r="E386" t="s">
        <v>90</v>
      </c>
      <c r="F386" t="s">
        <v>91</v>
      </c>
      <c r="G386" t="s">
        <v>92</v>
      </c>
      <c r="H386" t="s">
        <v>115</v>
      </c>
      <c r="I386" t="s">
        <v>116</v>
      </c>
      <c r="J386" t="s">
        <v>117</v>
      </c>
      <c r="K386" t="s">
        <v>61</v>
      </c>
      <c r="L386" t="s">
        <v>933</v>
      </c>
      <c r="M386" t="s">
        <v>44</v>
      </c>
      <c r="N386" t="s">
        <v>81</v>
      </c>
      <c r="O386" t="s">
        <v>119</v>
      </c>
      <c r="P386" t="s">
        <v>120</v>
      </c>
      <c r="Q386" t="s">
        <v>103</v>
      </c>
      <c r="R386" t="s">
        <v>49</v>
      </c>
      <c r="S386">
        <v>3</v>
      </c>
      <c r="T386" s="14">
        <v>54.18</v>
      </c>
      <c r="U386" s="7">
        <v>12</v>
      </c>
      <c r="V386" s="7">
        <v>22</v>
      </c>
      <c r="W386" s="14">
        <v>88.18</v>
      </c>
      <c r="X386" s="14">
        <v>180.6</v>
      </c>
      <c r="Y386" s="16">
        <v>0</v>
      </c>
      <c r="Z386" s="12">
        <v>541.79999999999995</v>
      </c>
      <c r="AA386" s="5">
        <v>277.26</v>
      </c>
      <c r="AB386" s="18">
        <v>51.17</v>
      </c>
      <c r="AC386" t="s">
        <v>85</v>
      </c>
      <c r="AD386" t="s">
        <v>86</v>
      </c>
      <c r="AE386" t="s">
        <v>105</v>
      </c>
      <c r="AF386">
        <v>5</v>
      </c>
      <c r="AG386" t="s">
        <v>53</v>
      </c>
    </row>
    <row r="387" spans="1:33">
      <c r="A387" t="s">
        <v>934</v>
      </c>
      <c r="B387" s="10">
        <v>45879</v>
      </c>
      <c r="C387" s="3" t="s">
        <v>171</v>
      </c>
      <c r="D387" t="s">
        <v>89</v>
      </c>
      <c r="E387" t="s">
        <v>99</v>
      </c>
      <c r="F387" t="s">
        <v>73</v>
      </c>
      <c r="G387" t="s">
        <v>74</v>
      </c>
      <c r="H387" t="s">
        <v>58</v>
      </c>
      <c r="I387" t="s">
        <v>59</v>
      </c>
      <c r="J387" t="s">
        <v>60</v>
      </c>
      <c r="K387" t="s">
        <v>61</v>
      </c>
      <c r="L387" t="s">
        <v>935</v>
      </c>
      <c r="M387" t="s">
        <v>80</v>
      </c>
      <c r="N387" t="s">
        <v>81</v>
      </c>
      <c r="O387" t="s">
        <v>213</v>
      </c>
      <c r="P387" t="s">
        <v>214</v>
      </c>
      <c r="Q387" t="s">
        <v>215</v>
      </c>
      <c r="R387" t="s">
        <v>84</v>
      </c>
      <c r="S387">
        <v>3</v>
      </c>
      <c r="T387" s="14">
        <v>107.64</v>
      </c>
      <c r="U387" s="7">
        <v>12</v>
      </c>
      <c r="V387" s="7">
        <v>22</v>
      </c>
      <c r="W387" s="14">
        <v>141.63999999999999</v>
      </c>
      <c r="X387" s="14">
        <v>358.8</v>
      </c>
      <c r="Y387" s="16">
        <v>15</v>
      </c>
      <c r="Z387" s="12">
        <v>914.94</v>
      </c>
      <c r="AA387" s="5">
        <v>490.02</v>
      </c>
      <c r="AB387" s="18">
        <v>53.56</v>
      </c>
      <c r="AC387" t="s">
        <v>85</v>
      </c>
      <c r="AD387" t="s">
        <v>86</v>
      </c>
      <c r="AE387" t="s">
        <v>52</v>
      </c>
      <c r="AF387">
        <v>5</v>
      </c>
      <c r="AG387" t="s">
        <v>53</v>
      </c>
    </row>
    <row r="388" spans="1:33">
      <c r="A388" t="s">
        <v>936</v>
      </c>
      <c r="B388" s="10">
        <v>45910</v>
      </c>
      <c r="C388" s="3" t="s">
        <v>339</v>
      </c>
      <c r="D388" t="s">
        <v>129</v>
      </c>
      <c r="E388" t="s">
        <v>72</v>
      </c>
      <c r="F388" t="s">
        <v>73</v>
      </c>
      <c r="G388" t="s">
        <v>74</v>
      </c>
      <c r="H388" t="s">
        <v>75</v>
      </c>
      <c r="I388" t="s">
        <v>76</v>
      </c>
      <c r="J388" t="s">
        <v>77</v>
      </c>
      <c r="K388" t="s">
        <v>78</v>
      </c>
      <c r="L388" t="s">
        <v>937</v>
      </c>
      <c r="M388" t="s">
        <v>80</v>
      </c>
      <c r="N388" t="s">
        <v>110</v>
      </c>
      <c r="O388" t="s">
        <v>94</v>
      </c>
      <c r="P388" t="s">
        <v>95</v>
      </c>
      <c r="Q388" t="s">
        <v>66</v>
      </c>
      <c r="R388" t="s">
        <v>49</v>
      </c>
      <c r="S388">
        <v>2</v>
      </c>
      <c r="T388" s="14">
        <v>91.98</v>
      </c>
      <c r="U388" s="7">
        <v>12</v>
      </c>
      <c r="V388" s="7">
        <v>22</v>
      </c>
      <c r="W388" s="14">
        <v>125.98</v>
      </c>
      <c r="X388" s="14">
        <v>306.60000000000002</v>
      </c>
      <c r="Y388" s="16">
        <v>5</v>
      </c>
      <c r="Z388" s="12">
        <v>582.54</v>
      </c>
      <c r="AA388" s="5">
        <v>330.58</v>
      </c>
      <c r="AB388" s="18">
        <v>56.75</v>
      </c>
      <c r="AC388" t="s">
        <v>104</v>
      </c>
      <c r="AD388" t="s">
        <v>158</v>
      </c>
      <c r="AE388" t="s">
        <v>96</v>
      </c>
      <c r="AF388">
        <v>4</v>
      </c>
      <c r="AG388" t="s">
        <v>53</v>
      </c>
    </row>
    <row r="389" spans="1:33">
      <c r="A389" t="s">
        <v>938</v>
      </c>
      <c r="B389" s="10">
        <v>45705</v>
      </c>
      <c r="C389" s="3" t="s">
        <v>199</v>
      </c>
      <c r="D389" t="s">
        <v>206</v>
      </c>
      <c r="E389" t="s">
        <v>90</v>
      </c>
      <c r="F389" t="s">
        <v>91</v>
      </c>
      <c r="G389" t="s">
        <v>92</v>
      </c>
      <c r="H389" t="s">
        <v>133</v>
      </c>
      <c r="I389" t="s">
        <v>134</v>
      </c>
      <c r="J389" t="s">
        <v>135</v>
      </c>
      <c r="K389" t="s">
        <v>42</v>
      </c>
      <c r="L389" t="s">
        <v>939</v>
      </c>
      <c r="M389" t="s">
        <v>63</v>
      </c>
      <c r="N389" t="s">
        <v>110</v>
      </c>
      <c r="O389" t="s">
        <v>64</v>
      </c>
      <c r="P389" t="s">
        <v>65</v>
      </c>
      <c r="Q389" t="s">
        <v>66</v>
      </c>
      <c r="R389" t="s">
        <v>67</v>
      </c>
      <c r="S389">
        <v>2</v>
      </c>
      <c r="T389" s="14">
        <v>44.7</v>
      </c>
      <c r="U389" s="7">
        <v>12</v>
      </c>
      <c r="V389" s="7">
        <v>22</v>
      </c>
      <c r="W389" s="14">
        <v>78.7</v>
      </c>
      <c r="X389" s="14">
        <v>149</v>
      </c>
      <c r="Y389" s="16">
        <v>0</v>
      </c>
      <c r="Z389" s="12">
        <v>298</v>
      </c>
      <c r="AA389" s="5">
        <v>140.6</v>
      </c>
      <c r="AB389" s="18">
        <v>47.18</v>
      </c>
      <c r="AC389" t="s">
        <v>85</v>
      </c>
      <c r="AD389" t="s">
        <v>86</v>
      </c>
      <c r="AE389" t="s">
        <v>96</v>
      </c>
      <c r="AF389">
        <v>5</v>
      </c>
      <c r="AG389" t="s">
        <v>53</v>
      </c>
    </row>
    <row r="390" spans="1:33">
      <c r="A390" t="s">
        <v>940</v>
      </c>
      <c r="B390" s="10">
        <v>45878</v>
      </c>
      <c r="C390" s="3" t="s">
        <v>185</v>
      </c>
      <c r="D390" t="s">
        <v>71</v>
      </c>
      <c r="E390" t="s">
        <v>99</v>
      </c>
      <c r="F390" t="s">
        <v>73</v>
      </c>
      <c r="G390" t="s">
        <v>74</v>
      </c>
      <c r="H390" t="s">
        <v>39</v>
      </c>
      <c r="I390" t="s">
        <v>2143</v>
      </c>
      <c r="J390" t="s">
        <v>41</v>
      </c>
      <c r="K390" t="s">
        <v>42</v>
      </c>
      <c r="L390" t="s">
        <v>941</v>
      </c>
      <c r="M390" t="s">
        <v>44</v>
      </c>
      <c r="N390" t="s">
        <v>81</v>
      </c>
      <c r="O390" t="s">
        <v>119</v>
      </c>
      <c r="P390" t="s">
        <v>120</v>
      </c>
      <c r="Q390" t="s">
        <v>103</v>
      </c>
      <c r="R390" t="s">
        <v>49</v>
      </c>
      <c r="S390">
        <v>3</v>
      </c>
      <c r="T390" s="14">
        <v>54.18</v>
      </c>
      <c r="U390" s="7">
        <v>12</v>
      </c>
      <c r="V390" s="7">
        <v>22</v>
      </c>
      <c r="W390" s="14">
        <v>88.18</v>
      </c>
      <c r="X390" s="14">
        <v>180.6</v>
      </c>
      <c r="Y390" s="16">
        <v>15</v>
      </c>
      <c r="Z390" s="12">
        <v>460.53</v>
      </c>
      <c r="AA390" s="5">
        <v>195.99</v>
      </c>
      <c r="AB390" s="18">
        <v>42.56</v>
      </c>
      <c r="AC390" t="s">
        <v>50</v>
      </c>
      <c r="AD390" t="s">
        <v>51</v>
      </c>
      <c r="AE390" t="s">
        <v>96</v>
      </c>
      <c r="AF390">
        <v>5</v>
      </c>
      <c r="AG390" t="s">
        <v>53</v>
      </c>
    </row>
    <row r="391" spans="1:33">
      <c r="A391" t="s">
        <v>942</v>
      </c>
      <c r="B391" s="10">
        <v>45972</v>
      </c>
      <c r="C391" s="3" t="s">
        <v>141</v>
      </c>
      <c r="D391" t="s">
        <v>156</v>
      </c>
      <c r="E391" t="s">
        <v>57</v>
      </c>
      <c r="F391" t="s">
        <v>37</v>
      </c>
      <c r="G391" t="s">
        <v>38</v>
      </c>
      <c r="H391" t="s">
        <v>58</v>
      </c>
      <c r="I391" t="s">
        <v>59</v>
      </c>
      <c r="J391" t="s">
        <v>60</v>
      </c>
      <c r="K391" t="s">
        <v>61</v>
      </c>
      <c r="L391" t="s">
        <v>943</v>
      </c>
      <c r="M391" t="s">
        <v>63</v>
      </c>
      <c r="N391" t="s">
        <v>81</v>
      </c>
      <c r="O391" t="s">
        <v>137</v>
      </c>
      <c r="P391" t="s">
        <v>138</v>
      </c>
      <c r="Q391" t="s">
        <v>139</v>
      </c>
      <c r="R391" t="s">
        <v>49</v>
      </c>
      <c r="S391">
        <v>3</v>
      </c>
      <c r="T391" s="14">
        <v>83.58</v>
      </c>
      <c r="U391" s="7">
        <v>12</v>
      </c>
      <c r="V391" s="7">
        <v>22</v>
      </c>
      <c r="W391" s="14">
        <v>117.58</v>
      </c>
      <c r="X391" s="14">
        <v>278.60000000000002</v>
      </c>
      <c r="Y391" s="16">
        <v>0</v>
      </c>
      <c r="Z391" s="12">
        <v>835.8</v>
      </c>
      <c r="AA391" s="5">
        <v>483.06</v>
      </c>
      <c r="AB391" s="18">
        <v>57.8</v>
      </c>
      <c r="AC391" t="s">
        <v>111</v>
      </c>
      <c r="AD391" t="s">
        <v>158</v>
      </c>
      <c r="AE391" t="s">
        <v>52</v>
      </c>
      <c r="AF391">
        <v>5</v>
      </c>
      <c r="AG391" t="s">
        <v>53</v>
      </c>
    </row>
    <row r="392" spans="1:33">
      <c r="A392" t="s">
        <v>944</v>
      </c>
      <c r="B392" s="10">
        <v>45779</v>
      </c>
      <c r="C392" s="3" t="s">
        <v>310</v>
      </c>
      <c r="D392" t="s">
        <v>35</v>
      </c>
      <c r="E392" t="s">
        <v>130</v>
      </c>
      <c r="F392" t="s">
        <v>131</v>
      </c>
      <c r="G392" t="s">
        <v>132</v>
      </c>
      <c r="H392" t="s">
        <v>39</v>
      </c>
      <c r="I392" t="s">
        <v>2143</v>
      </c>
      <c r="J392" t="s">
        <v>41</v>
      </c>
      <c r="K392" t="s">
        <v>42</v>
      </c>
      <c r="L392" t="s">
        <v>945</v>
      </c>
      <c r="M392" t="s">
        <v>80</v>
      </c>
      <c r="N392" t="s">
        <v>110</v>
      </c>
      <c r="O392" t="s">
        <v>162</v>
      </c>
      <c r="P392" t="s">
        <v>163</v>
      </c>
      <c r="Q392" t="s">
        <v>48</v>
      </c>
      <c r="R392" t="s">
        <v>67</v>
      </c>
      <c r="S392">
        <v>3</v>
      </c>
      <c r="T392" s="14">
        <v>74.7</v>
      </c>
      <c r="U392" s="7">
        <v>12</v>
      </c>
      <c r="V392" s="7">
        <v>22</v>
      </c>
      <c r="W392" s="14">
        <v>108.7</v>
      </c>
      <c r="X392" s="14">
        <v>249</v>
      </c>
      <c r="Y392" s="16">
        <v>0</v>
      </c>
      <c r="Z392" s="12">
        <v>747</v>
      </c>
      <c r="AA392" s="5">
        <v>420.9</v>
      </c>
      <c r="AB392" s="18">
        <v>56.35</v>
      </c>
      <c r="AC392" t="s">
        <v>50</v>
      </c>
      <c r="AD392" t="s">
        <v>51</v>
      </c>
      <c r="AE392" t="s">
        <v>96</v>
      </c>
      <c r="AF392">
        <v>5</v>
      </c>
      <c r="AG392" t="s">
        <v>53</v>
      </c>
    </row>
    <row r="393" spans="1:33">
      <c r="A393" t="s">
        <v>946</v>
      </c>
      <c r="B393" s="10">
        <v>45981</v>
      </c>
      <c r="C393" s="3" t="s">
        <v>148</v>
      </c>
      <c r="D393" t="s">
        <v>56</v>
      </c>
      <c r="E393" t="s">
        <v>57</v>
      </c>
      <c r="F393" t="s">
        <v>37</v>
      </c>
      <c r="G393" t="s">
        <v>38</v>
      </c>
      <c r="H393" t="s">
        <v>39</v>
      </c>
      <c r="I393" t="s">
        <v>2143</v>
      </c>
      <c r="J393" t="s">
        <v>41</v>
      </c>
      <c r="K393" t="s">
        <v>42</v>
      </c>
      <c r="L393" t="s">
        <v>947</v>
      </c>
      <c r="M393" t="s">
        <v>63</v>
      </c>
      <c r="N393" t="s">
        <v>81</v>
      </c>
      <c r="O393" t="s">
        <v>176</v>
      </c>
      <c r="P393" t="s">
        <v>177</v>
      </c>
      <c r="Q393" t="s">
        <v>66</v>
      </c>
      <c r="R393" t="s">
        <v>49</v>
      </c>
      <c r="S393">
        <v>3</v>
      </c>
      <c r="T393" s="14">
        <v>70.98</v>
      </c>
      <c r="U393" s="7">
        <v>12</v>
      </c>
      <c r="V393" s="7">
        <v>22</v>
      </c>
      <c r="W393" s="14">
        <v>104.98</v>
      </c>
      <c r="X393" s="14">
        <v>236.6</v>
      </c>
      <c r="Y393" s="16">
        <v>0</v>
      </c>
      <c r="Z393" s="12">
        <v>709.8</v>
      </c>
      <c r="AA393" s="5">
        <v>394.86</v>
      </c>
      <c r="AB393" s="18">
        <v>55.63</v>
      </c>
      <c r="AC393" t="s">
        <v>111</v>
      </c>
      <c r="AD393" t="s">
        <v>86</v>
      </c>
      <c r="AE393" t="s">
        <v>126</v>
      </c>
      <c r="AF393">
        <v>5</v>
      </c>
      <c r="AG393" t="s">
        <v>53</v>
      </c>
    </row>
    <row r="394" spans="1:33">
      <c r="A394" t="s">
        <v>948</v>
      </c>
      <c r="B394" s="10">
        <v>45798</v>
      </c>
      <c r="C394" s="3" t="s">
        <v>34</v>
      </c>
      <c r="D394" t="s">
        <v>129</v>
      </c>
      <c r="E394" t="s">
        <v>130</v>
      </c>
      <c r="F394" t="s">
        <v>131</v>
      </c>
      <c r="G394" t="s">
        <v>132</v>
      </c>
      <c r="H394" t="s">
        <v>39</v>
      </c>
      <c r="I394" t="s">
        <v>2143</v>
      </c>
      <c r="J394" t="s">
        <v>41</v>
      </c>
      <c r="K394" t="s">
        <v>42</v>
      </c>
      <c r="L394" t="s">
        <v>949</v>
      </c>
      <c r="M394" t="s">
        <v>63</v>
      </c>
      <c r="N394" t="s">
        <v>110</v>
      </c>
      <c r="O394" t="s">
        <v>189</v>
      </c>
      <c r="P394" t="s">
        <v>190</v>
      </c>
      <c r="Q394" t="s">
        <v>48</v>
      </c>
      <c r="R394" t="s">
        <v>67</v>
      </c>
      <c r="S394">
        <v>2</v>
      </c>
      <c r="T394" s="14">
        <v>47.7</v>
      </c>
      <c r="U394" s="7">
        <v>12</v>
      </c>
      <c r="V394" s="7">
        <v>22</v>
      </c>
      <c r="W394" s="14">
        <v>81.7</v>
      </c>
      <c r="X394" s="14">
        <v>159</v>
      </c>
      <c r="Y394" s="16">
        <v>0</v>
      </c>
      <c r="Z394" s="12">
        <v>318</v>
      </c>
      <c r="AA394" s="5">
        <v>154.6</v>
      </c>
      <c r="AB394" s="18">
        <v>48.62</v>
      </c>
      <c r="AC394" t="s">
        <v>104</v>
      </c>
      <c r="AD394" t="s">
        <v>51</v>
      </c>
      <c r="AE394" t="s">
        <v>105</v>
      </c>
      <c r="AF394">
        <v>5</v>
      </c>
      <c r="AG394" t="s">
        <v>53</v>
      </c>
    </row>
    <row r="395" spans="1:33">
      <c r="A395" t="s">
        <v>950</v>
      </c>
      <c r="B395" s="10">
        <v>45778</v>
      </c>
      <c r="C395" s="3" t="s">
        <v>70</v>
      </c>
      <c r="D395" t="s">
        <v>56</v>
      </c>
      <c r="E395" t="s">
        <v>130</v>
      </c>
      <c r="F395" t="s">
        <v>131</v>
      </c>
      <c r="G395" t="s">
        <v>132</v>
      </c>
      <c r="H395" t="s">
        <v>142</v>
      </c>
      <c r="I395" t="s">
        <v>143</v>
      </c>
      <c r="J395" t="s">
        <v>144</v>
      </c>
      <c r="K395" t="s">
        <v>145</v>
      </c>
      <c r="L395" t="s">
        <v>951</v>
      </c>
      <c r="M395" t="s">
        <v>80</v>
      </c>
      <c r="N395" t="s">
        <v>110</v>
      </c>
      <c r="O395" t="s">
        <v>82</v>
      </c>
      <c r="P395" t="s">
        <v>83</v>
      </c>
      <c r="Q395" t="s">
        <v>66</v>
      </c>
      <c r="R395" t="s">
        <v>84</v>
      </c>
      <c r="S395">
        <v>1</v>
      </c>
      <c r="T395" s="14">
        <v>86.04</v>
      </c>
      <c r="U395" s="7">
        <v>12</v>
      </c>
      <c r="V395" s="7">
        <v>22</v>
      </c>
      <c r="W395" s="14">
        <v>120.04</v>
      </c>
      <c r="X395" s="14">
        <v>286.8</v>
      </c>
      <c r="Y395" s="16">
        <v>0</v>
      </c>
      <c r="Z395" s="12">
        <v>286.8</v>
      </c>
      <c r="AA395" s="5">
        <v>166.76</v>
      </c>
      <c r="AB395" s="18">
        <v>58.15</v>
      </c>
      <c r="AC395" t="s">
        <v>111</v>
      </c>
      <c r="AD395" t="s">
        <v>51</v>
      </c>
      <c r="AE395" t="s">
        <v>105</v>
      </c>
      <c r="AF395">
        <v>5</v>
      </c>
      <c r="AG395" t="s">
        <v>53</v>
      </c>
    </row>
    <row r="396" spans="1:33">
      <c r="A396" t="s">
        <v>952</v>
      </c>
      <c r="B396" s="10">
        <v>45841</v>
      </c>
      <c r="C396" s="3" t="s">
        <v>128</v>
      </c>
      <c r="D396" t="s">
        <v>56</v>
      </c>
      <c r="E396" t="s">
        <v>114</v>
      </c>
      <c r="F396" t="s">
        <v>73</v>
      </c>
      <c r="G396" t="s">
        <v>74</v>
      </c>
      <c r="H396" t="s">
        <v>58</v>
      </c>
      <c r="I396" t="s">
        <v>59</v>
      </c>
      <c r="J396" t="s">
        <v>60</v>
      </c>
      <c r="K396" t="s">
        <v>61</v>
      </c>
      <c r="L396" t="s">
        <v>953</v>
      </c>
      <c r="M396" t="s">
        <v>44</v>
      </c>
      <c r="N396" t="s">
        <v>45</v>
      </c>
      <c r="O396" t="s">
        <v>82</v>
      </c>
      <c r="P396" t="s">
        <v>83</v>
      </c>
      <c r="Q396" t="s">
        <v>66</v>
      </c>
      <c r="R396" t="s">
        <v>84</v>
      </c>
      <c r="S396">
        <v>2</v>
      </c>
      <c r="T396" s="14">
        <v>86.04</v>
      </c>
      <c r="U396" s="7">
        <v>12</v>
      </c>
      <c r="V396" s="7">
        <v>22</v>
      </c>
      <c r="W396" s="14">
        <v>120.04</v>
      </c>
      <c r="X396" s="14">
        <v>286.8</v>
      </c>
      <c r="Y396" s="16">
        <v>10</v>
      </c>
      <c r="Z396" s="12">
        <v>516.24</v>
      </c>
      <c r="AA396" s="5">
        <v>276.16000000000003</v>
      </c>
      <c r="AB396" s="18">
        <v>53.49</v>
      </c>
      <c r="AC396" t="s">
        <v>111</v>
      </c>
      <c r="AD396" t="s">
        <v>86</v>
      </c>
      <c r="AE396" t="s">
        <v>105</v>
      </c>
      <c r="AF396">
        <v>5</v>
      </c>
      <c r="AG396" t="s">
        <v>53</v>
      </c>
    </row>
    <row r="397" spans="1:33">
      <c r="A397" t="s">
        <v>954</v>
      </c>
      <c r="B397" s="10">
        <v>45827</v>
      </c>
      <c r="C397" s="3" t="s">
        <v>307</v>
      </c>
      <c r="D397" t="s">
        <v>56</v>
      </c>
      <c r="E397" t="s">
        <v>174</v>
      </c>
      <c r="F397" t="s">
        <v>131</v>
      </c>
      <c r="G397" t="s">
        <v>132</v>
      </c>
      <c r="H397" t="s">
        <v>142</v>
      </c>
      <c r="I397" t="s">
        <v>143</v>
      </c>
      <c r="J397" t="s">
        <v>144</v>
      </c>
      <c r="K397" t="s">
        <v>145</v>
      </c>
      <c r="L397" t="s">
        <v>955</v>
      </c>
      <c r="M397" t="s">
        <v>44</v>
      </c>
      <c r="N397" t="s">
        <v>110</v>
      </c>
      <c r="O397" t="s">
        <v>189</v>
      </c>
      <c r="P397" t="s">
        <v>190</v>
      </c>
      <c r="Q397" t="s">
        <v>48</v>
      </c>
      <c r="R397" t="s">
        <v>67</v>
      </c>
      <c r="S397">
        <v>2</v>
      </c>
      <c r="T397" s="14">
        <v>47.7</v>
      </c>
      <c r="U397" s="7">
        <v>12</v>
      </c>
      <c r="V397" s="7">
        <v>22</v>
      </c>
      <c r="W397" s="14">
        <v>81.7</v>
      </c>
      <c r="X397" s="14">
        <v>159</v>
      </c>
      <c r="Y397" s="16">
        <v>0</v>
      </c>
      <c r="Z397" s="12">
        <v>318</v>
      </c>
      <c r="AA397" s="5">
        <v>154.6</v>
      </c>
      <c r="AB397" s="18">
        <v>48.62</v>
      </c>
      <c r="AC397" t="s">
        <v>111</v>
      </c>
      <c r="AD397" t="s">
        <v>51</v>
      </c>
      <c r="AE397" t="s">
        <v>96</v>
      </c>
      <c r="AF397">
        <v>5</v>
      </c>
      <c r="AG397" t="s">
        <v>53</v>
      </c>
    </row>
    <row r="398" spans="1:33">
      <c r="A398" t="s">
        <v>956</v>
      </c>
      <c r="B398" s="10">
        <v>45887</v>
      </c>
      <c r="C398" s="3" t="s">
        <v>107</v>
      </c>
      <c r="D398" t="s">
        <v>206</v>
      </c>
      <c r="E398" t="s">
        <v>99</v>
      </c>
      <c r="F398" t="s">
        <v>73</v>
      </c>
      <c r="G398" t="s">
        <v>74</v>
      </c>
      <c r="H398" t="s">
        <v>142</v>
      </c>
      <c r="I398" t="s">
        <v>143</v>
      </c>
      <c r="J398" t="s">
        <v>144</v>
      </c>
      <c r="K398" t="s">
        <v>145</v>
      </c>
      <c r="L398" t="s">
        <v>957</v>
      </c>
      <c r="M398" t="s">
        <v>80</v>
      </c>
      <c r="N398" t="s">
        <v>45</v>
      </c>
      <c r="O398" t="s">
        <v>176</v>
      </c>
      <c r="P398" t="s">
        <v>177</v>
      </c>
      <c r="Q398" t="s">
        <v>66</v>
      </c>
      <c r="R398" t="s">
        <v>49</v>
      </c>
      <c r="S398">
        <v>1</v>
      </c>
      <c r="T398" s="14">
        <v>70.98</v>
      </c>
      <c r="U398" s="7">
        <v>12</v>
      </c>
      <c r="V398" s="7">
        <v>22</v>
      </c>
      <c r="W398" s="14">
        <v>104.98</v>
      </c>
      <c r="X398" s="14">
        <v>236.6</v>
      </c>
      <c r="Y398" s="16">
        <v>0</v>
      </c>
      <c r="Z398" s="12">
        <v>236.6</v>
      </c>
      <c r="AA398" s="5">
        <v>131.62</v>
      </c>
      <c r="AB398" s="18">
        <v>55.63</v>
      </c>
      <c r="AC398" t="s">
        <v>85</v>
      </c>
      <c r="AD398" t="s">
        <v>51</v>
      </c>
      <c r="AE398" t="s">
        <v>52</v>
      </c>
      <c r="AF398">
        <v>5</v>
      </c>
      <c r="AG398" t="s">
        <v>53</v>
      </c>
    </row>
    <row r="399" spans="1:33">
      <c r="A399" t="s">
        <v>958</v>
      </c>
      <c r="B399" s="10">
        <v>45999</v>
      </c>
      <c r="C399" s="3" t="s">
        <v>219</v>
      </c>
      <c r="D399" t="s">
        <v>206</v>
      </c>
      <c r="E399" t="s">
        <v>149</v>
      </c>
      <c r="F399" t="s">
        <v>37</v>
      </c>
      <c r="G399" t="s">
        <v>92</v>
      </c>
      <c r="H399" t="s">
        <v>115</v>
      </c>
      <c r="I399" t="s">
        <v>116</v>
      </c>
      <c r="J399" t="s">
        <v>117</v>
      </c>
      <c r="K399" t="s">
        <v>61</v>
      </c>
      <c r="L399" t="s">
        <v>959</v>
      </c>
      <c r="M399" t="s">
        <v>44</v>
      </c>
      <c r="N399" t="s">
        <v>45</v>
      </c>
      <c r="O399" t="s">
        <v>64</v>
      </c>
      <c r="P399" t="s">
        <v>65</v>
      </c>
      <c r="Q399" t="s">
        <v>66</v>
      </c>
      <c r="R399" t="s">
        <v>67</v>
      </c>
      <c r="S399">
        <v>1</v>
      </c>
      <c r="T399" s="14">
        <v>44.7</v>
      </c>
      <c r="U399" s="7">
        <v>12</v>
      </c>
      <c r="V399" s="7">
        <v>22</v>
      </c>
      <c r="W399" s="14">
        <v>78.7</v>
      </c>
      <c r="X399" s="14">
        <v>149</v>
      </c>
      <c r="Y399" s="16">
        <v>10</v>
      </c>
      <c r="Z399" s="12">
        <v>134.1</v>
      </c>
      <c r="AA399" s="5">
        <v>55.4</v>
      </c>
      <c r="AB399" s="18">
        <v>41.31</v>
      </c>
      <c r="AC399" t="s">
        <v>85</v>
      </c>
      <c r="AD399" t="s">
        <v>158</v>
      </c>
      <c r="AE399" t="s">
        <v>52</v>
      </c>
      <c r="AF399">
        <v>5</v>
      </c>
      <c r="AG399" t="s">
        <v>53</v>
      </c>
    </row>
    <row r="400" spans="1:33">
      <c r="A400" t="s">
        <v>960</v>
      </c>
      <c r="B400" s="10">
        <v>45877</v>
      </c>
      <c r="C400" s="3" t="s">
        <v>307</v>
      </c>
      <c r="D400" t="s">
        <v>35</v>
      </c>
      <c r="E400" t="s">
        <v>99</v>
      </c>
      <c r="F400" t="s">
        <v>73</v>
      </c>
      <c r="G400" t="s">
        <v>74</v>
      </c>
      <c r="H400" t="s">
        <v>142</v>
      </c>
      <c r="I400" t="s">
        <v>143</v>
      </c>
      <c r="J400" t="s">
        <v>144</v>
      </c>
      <c r="K400" t="s">
        <v>145</v>
      </c>
      <c r="L400" t="s">
        <v>961</v>
      </c>
      <c r="M400" t="s">
        <v>80</v>
      </c>
      <c r="N400" t="s">
        <v>81</v>
      </c>
      <c r="O400" t="s">
        <v>101</v>
      </c>
      <c r="P400" t="s">
        <v>102</v>
      </c>
      <c r="Q400" t="s">
        <v>103</v>
      </c>
      <c r="R400" t="s">
        <v>67</v>
      </c>
      <c r="S400">
        <v>2</v>
      </c>
      <c r="T400" s="14">
        <v>44.7</v>
      </c>
      <c r="U400" s="7">
        <v>12</v>
      </c>
      <c r="V400" s="7">
        <v>22</v>
      </c>
      <c r="W400" s="14">
        <v>78.7</v>
      </c>
      <c r="X400" s="14">
        <v>149</v>
      </c>
      <c r="Y400" s="16">
        <v>0</v>
      </c>
      <c r="Z400" s="12">
        <v>298</v>
      </c>
      <c r="AA400" s="5">
        <v>140.6</v>
      </c>
      <c r="AB400" s="18">
        <v>47.18</v>
      </c>
      <c r="AC400" t="s">
        <v>85</v>
      </c>
      <c r="AD400" t="s">
        <v>51</v>
      </c>
      <c r="AE400" t="s">
        <v>105</v>
      </c>
      <c r="AF400">
        <v>4</v>
      </c>
      <c r="AG400" t="s">
        <v>53</v>
      </c>
    </row>
    <row r="401" spans="1:33">
      <c r="A401" t="s">
        <v>962</v>
      </c>
      <c r="B401" s="10">
        <v>45952</v>
      </c>
      <c r="C401" s="3" t="s">
        <v>194</v>
      </c>
      <c r="D401" t="s">
        <v>129</v>
      </c>
      <c r="E401" t="s">
        <v>36</v>
      </c>
      <c r="F401" t="s">
        <v>37</v>
      </c>
      <c r="G401" t="s">
        <v>38</v>
      </c>
      <c r="H401" t="s">
        <v>142</v>
      </c>
      <c r="I401" t="s">
        <v>143</v>
      </c>
      <c r="J401" t="s">
        <v>144</v>
      </c>
      <c r="K401" t="s">
        <v>145</v>
      </c>
      <c r="L401" t="s">
        <v>963</v>
      </c>
      <c r="M401" t="s">
        <v>63</v>
      </c>
      <c r="N401" t="s">
        <v>45</v>
      </c>
      <c r="O401" t="s">
        <v>94</v>
      </c>
      <c r="P401" t="s">
        <v>95</v>
      </c>
      <c r="Q401" t="s">
        <v>66</v>
      </c>
      <c r="R401" t="s">
        <v>67</v>
      </c>
      <c r="S401">
        <v>2</v>
      </c>
      <c r="T401" s="14">
        <v>65.7</v>
      </c>
      <c r="U401" s="7">
        <v>12</v>
      </c>
      <c r="V401" s="7">
        <v>22</v>
      </c>
      <c r="W401" s="14">
        <v>99.7</v>
      </c>
      <c r="X401" s="14">
        <v>219</v>
      </c>
      <c r="Y401" s="16">
        <v>5</v>
      </c>
      <c r="Z401" s="12">
        <v>416.1</v>
      </c>
      <c r="AA401" s="5">
        <v>216.7</v>
      </c>
      <c r="AB401" s="18">
        <v>52.08</v>
      </c>
      <c r="AC401" t="s">
        <v>50</v>
      </c>
      <c r="AD401" t="s">
        <v>51</v>
      </c>
      <c r="AE401" t="s">
        <v>126</v>
      </c>
      <c r="AF401">
        <v>5</v>
      </c>
      <c r="AG401" t="s">
        <v>53</v>
      </c>
    </row>
    <row r="402" spans="1:33">
      <c r="A402" t="s">
        <v>964</v>
      </c>
      <c r="B402" s="10">
        <v>45778</v>
      </c>
      <c r="C402" s="3" t="s">
        <v>155</v>
      </c>
      <c r="D402" t="s">
        <v>56</v>
      </c>
      <c r="E402" t="s">
        <v>130</v>
      </c>
      <c r="F402" t="s">
        <v>131</v>
      </c>
      <c r="G402" t="s">
        <v>132</v>
      </c>
      <c r="H402" t="s">
        <v>142</v>
      </c>
      <c r="I402" t="s">
        <v>143</v>
      </c>
      <c r="J402" t="s">
        <v>144</v>
      </c>
      <c r="K402" t="s">
        <v>145</v>
      </c>
      <c r="L402" t="s">
        <v>965</v>
      </c>
      <c r="M402" t="s">
        <v>63</v>
      </c>
      <c r="N402" t="s">
        <v>110</v>
      </c>
      <c r="O402" t="s">
        <v>162</v>
      </c>
      <c r="P402" t="s">
        <v>163</v>
      </c>
      <c r="Q402" t="s">
        <v>48</v>
      </c>
      <c r="R402" t="s">
        <v>84</v>
      </c>
      <c r="S402">
        <v>2</v>
      </c>
      <c r="T402" s="14">
        <v>89.64</v>
      </c>
      <c r="U402" s="7">
        <v>12</v>
      </c>
      <c r="V402" s="7">
        <v>22</v>
      </c>
      <c r="W402" s="14">
        <v>123.64</v>
      </c>
      <c r="X402" s="14">
        <v>298.8</v>
      </c>
      <c r="Y402" s="16">
        <v>0</v>
      </c>
      <c r="Z402" s="12">
        <v>597.6</v>
      </c>
      <c r="AA402" s="5">
        <v>350.32</v>
      </c>
      <c r="AB402" s="18">
        <v>58.62</v>
      </c>
      <c r="AC402" t="s">
        <v>111</v>
      </c>
      <c r="AD402" t="s">
        <v>86</v>
      </c>
      <c r="AE402" t="s">
        <v>68</v>
      </c>
      <c r="AF402">
        <v>5</v>
      </c>
      <c r="AG402" t="s">
        <v>53</v>
      </c>
    </row>
    <row r="403" spans="1:33">
      <c r="A403" t="s">
        <v>966</v>
      </c>
      <c r="B403" s="10">
        <v>45840</v>
      </c>
      <c r="C403" s="3" t="s">
        <v>107</v>
      </c>
      <c r="D403" t="s">
        <v>129</v>
      </c>
      <c r="E403" t="s">
        <v>114</v>
      </c>
      <c r="F403" t="s">
        <v>73</v>
      </c>
      <c r="G403" t="s">
        <v>74</v>
      </c>
      <c r="H403" t="s">
        <v>58</v>
      </c>
      <c r="I403" t="s">
        <v>59</v>
      </c>
      <c r="J403" t="s">
        <v>60</v>
      </c>
      <c r="K403" t="s">
        <v>61</v>
      </c>
      <c r="L403" t="s">
        <v>967</v>
      </c>
      <c r="M403" t="s">
        <v>80</v>
      </c>
      <c r="N403" t="s">
        <v>45</v>
      </c>
      <c r="O403" t="s">
        <v>82</v>
      </c>
      <c r="P403" t="s">
        <v>83</v>
      </c>
      <c r="Q403" t="s">
        <v>66</v>
      </c>
      <c r="R403" t="s">
        <v>49</v>
      </c>
      <c r="S403">
        <v>3</v>
      </c>
      <c r="T403" s="14">
        <v>100.38</v>
      </c>
      <c r="U403" s="7">
        <v>12</v>
      </c>
      <c r="V403" s="7">
        <v>22</v>
      </c>
      <c r="W403" s="14">
        <v>134.38</v>
      </c>
      <c r="X403" s="14">
        <v>334.6</v>
      </c>
      <c r="Y403" s="16">
        <v>10</v>
      </c>
      <c r="Z403" s="12">
        <v>903.42</v>
      </c>
      <c r="AA403" s="5">
        <v>500.28</v>
      </c>
      <c r="AB403" s="18">
        <v>55.38</v>
      </c>
      <c r="AC403" t="s">
        <v>50</v>
      </c>
      <c r="AD403" t="s">
        <v>51</v>
      </c>
      <c r="AE403" t="s">
        <v>68</v>
      </c>
      <c r="AF403">
        <v>5</v>
      </c>
      <c r="AG403" t="s">
        <v>53</v>
      </c>
    </row>
    <row r="404" spans="1:33">
      <c r="A404" t="s">
        <v>968</v>
      </c>
      <c r="B404" s="10">
        <v>45737</v>
      </c>
      <c r="C404" s="3" t="s">
        <v>211</v>
      </c>
      <c r="D404" t="s">
        <v>35</v>
      </c>
      <c r="E404" t="s">
        <v>108</v>
      </c>
      <c r="F404" t="s">
        <v>91</v>
      </c>
      <c r="G404" t="s">
        <v>38</v>
      </c>
      <c r="H404" t="s">
        <v>133</v>
      </c>
      <c r="I404" t="s">
        <v>134</v>
      </c>
      <c r="J404" t="s">
        <v>135</v>
      </c>
      <c r="K404" t="s">
        <v>42</v>
      </c>
      <c r="L404" t="s">
        <v>969</v>
      </c>
      <c r="M404" t="s">
        <v>63</v>
      </c>
      <c r="N404" t="s">
        <v>81</v>
      </c>
      <c r="O404" t="s">
        <v>64</v>
      </c>
      <c r="P404" t="s">
        <v>65</v>
      </c>
      <c r="Q404" t="s">
        <v>66</v>
      </c>
      <c r="R404" t="s">
        <v>84</v>
      </c>
      <c r="S404">
        <v>1</v>
      </c>
      <c r="T404" s="14">
        <v>53.64</v>
      </c>
      <c r="U404" s="7">
        <v>12</v>
      </c>
      <c r="V404" s="7">
        <v>22</v>
      </c>
      <c r="W404" s="14">
        <v>87.64</v>
      </c>
      <c r="X404" s="14">
        <v>178.8</v>
      </c>
      <c r="Y404" s="16">
        <v>0</v>
      </c>
      <c r="Z404" s="12">
        <v>178.8</v>
      </c>
      <c r="AA404" s="5">
        <v>91.16</v>
      </c>
      <c r="AB404" s="18">
        <v>50.98</v>
      </c>
      <c r="AC404" t="s">
        <v>111</v>
      </c>
      <c r="AD404" t="s">
        <v>51</v>
      </c>
      <c r="AE404" t="s">
        <v>126</v>
      </c>
      <c r="AF404">
        <v>5</v>
      </c>
      <c r="AG404" t="s">
        <v>53</v>
      </c>
    </row>
    <row r="405" spans="1:33">
      <c r="A405" t="s">
        <v>970</v>
      </c>
      <c r="B405" s="10">
        <v>45946</v>
      </c>
      <c r="C405" s="3" t="s">
        <v>70</v>
      </c>
      <c r="D405" t="s">
        <v>56</v>
      </c>
      <c r="E405" t="s">
        <v>36</v>
      </c>
      <c r="F405" t="s">
        <v>37</v>
      </c>
      <c r="G405" t="s">
        <v>38</v>
      </c>
      <c r="H405" t="s">
        <v>39</v>
      </c>
      <c r="I405" t="s">
        <v>2143</v>
      </c>
      <c r="J405" t="s">
        <v>41</v>
      </c>
      <c r="K405" t="s">
        <v>42</v>
      </c>
      <c r="L405" t="s">
        <v>971</v>
      </c>
      <c r="M405" t="s">
        <v>63</v>
      </c>
      <c r="N405" t="s">
        <v>81</v>
      </c>
      <c r="O405" t="s">
        <v>94</v>
      </c>
      <c r="P405" t="s">
        <v>95</v>
      </c>
      <c r="Q405" t="s">
        <v>66</v>
      </c>
      <c r="R405" t="s">
        <v>67</v>
      </c>
      <c r="S405">
        <v>3</v>
      </c>
      <c r="T405" s="14">
        <v>65.7</v>
      </c>
      <c r="U405" s="7">
        <v>12</v>
      </c>
      <c r="V405" s="7">
        <v>22</v>
      </c>
      <c r="W405" s="14">
        <v>99.7</v>
      </c>
      <c r="X405" s="14">
        <v>219</v>
      </c>
      <c r="Y405" s="16">
        <v>5</v>
      </c>
      <c r="Z405" s="12">
        <v>624.15</v>
      </c>
      <c r="AA405" s="5">
        <v>325.05</v>
      </c>
      <c r="AB405" s="18">
        <v>52.08</v>
      </c>
      <c r="AC405" t="s">
        <v>111</v>
      </c>
      <c r="AD405" t="s">
        <v>86</v>
      </c>
      <c r="AE405" t="s">
        <v>96</v>
      </c>
      <c r="AF405">
        <v>5</v>
      </c>
      <c r="AG405" t="s">
        <v>53</v>
      </c>
    </row>
    <row r="406" spans="1:33">
      <c r="A406" t="s">
        <v>972</v>
      </c>
      <c r="B406" s="10">
        <v>45830</v>
      </c>
      <c r="C406" s="3" t="s">
        <v>113</v>
      </c>
      <c r="D406" t="s">
        <v>89</v>
      </c>
      <c r="E406" t="s">
        <v>174</v>
      </c>
      <c r="F406" t="s">
        <v>131</v>
      </c>
      <c r="G406" t="s">
        <v>132</v>
      </c>
      <c r="H406" t="s">
        <v>58</v>
      </c>
      <c r="I406" t="s">
        <v>59</v>
      </c>
      <c r="J406" t="s">
        <v>60</v>
      </c>
      <c r="K406" t="s">
        <v>61</v>
      </c>
      <c r="L406" t="s">
        <v>973</v>
      </c>
      <c r="M406" t="s">
        <v>80</v>
      </c>
      <c r="N406" t="s">
        <v>81</v>
      </c>
      <c r="O406" t="s">
        <v>94</v>
      </c>
      <c r="P406" t="s">
        <v>95</v>
      </c>
      <c r="Q406" t="s">
        <v>66</v>
      </c>
      <c r="R406" t="s">
        <v>84</v>
      </c>
      <c r="S406">
        <v>2</v>
      </c>
      <c r="T406" s="14">
        <v>78.84</v>
      </c>
      <c r="U406" s="7">
        <v>12</v>
      </c>
      <c r="V406" s="7">
        <v>22</v>
      </c>
      <c r="W406" s="14">
        <v>112.84</v>
      </c>
      <c r="X406" s="14">
        <v>262.8</v>
      </c>
      <c r="Y406" s="16">
        <v>10</v>
      </c>
      <c r="Z406" s="12">
        <v>473.04</v>
      </c>
      <c r="AA406" s="5">
        <v>247.36</v>
      </c>
      <c r="AB406" s="18">
        <v>52.29</v>
      </c>
      <c r="AC406" t="s">
        <v>111</v>
      </c>
      <c r="AD406" t="s">
        <v>86</v>
      </c>
      <c r="AE406" t="s">
        <v>126</v>
      </c>
      <c r="AF406">
        <v>5</v>
      </c>
      <c r="AG406" t="s">
        <v>53</v>
      </c>
    </row>
    <row r="407" spans="1:33">
      <c r="A407" t="s">
        <v>974</v>
      </c>
      <c r="B407" s="10">
        <v>45963</v>
      </c>
      <c r="C407" s="3" t="s">
        <v>211</v>
      </c>
      <c r="D407" t="s">
        <v>89</v>
      </c>
      <c r="E407" t="s">
        <v>57</v>
      </c>
      <c r="F407" t="s">
        <v>37</v>
      </c>
      <c r="G407" t="s">
        <v>38</v>
      </c>
      <c r="H407" t="s">
        <v>133</v>
      </c>
      <c r="I407" t="s">
        <v>134</v>
      </c>
      <c r="J407" t="s">
        <v>135</v>
      </c>
      <c r="K407" t="s">
        <v>42</v>
      </c>
      <c r="L407" t="s">
        <v>975</v>
      </c>
      <c r="M407" t="s">
        <v>80</v>
      </c>
      <c r="N407" t="s">
        <v>45</v>
      </c>
      <c r="O407" t="s">
        <v>452</v>
      </c>
      <c r="P407" t="s">
        <v>453</v>
      </c>
      <c r="Q407" t="s">
        <v>215</v>
      </c>
      <c r="R407" t="s">
        <v>84</v>
      </c>
      <c r="S407">
        <v>4</v>
      </c>
      <c r="T407" s="14">
        <v>118.44</v>
      </c>
      <c r="U407" s="7">
        <v>12</v>
      </c>
      <c r="V407" s="7">
        <v>22</v>
      </c>
      <c r="W407" s="14">
        <v>152.44</v>
      </c>
      <c r="X407" s="14">
        <v>394.8</v>
      </c>
      <c r="Y407" s="16">
        <v>10</v>
      </c>
      <c r="Z407" s="12">
        <v>1421.28</v>
      </c>
      <c r="AA407" s="5">
        <v>811.52</v>
      </c>
      <c r="AB407" s="18">
        <v>57.1</v>
      </c>
      <c r="AC407" t="s">
        <v>111</v>
      </c>
      <c r="AD407" t="s">
        <v>86</v>
      </c>
      <c r="AE407" t="s">
        <v>105</v>
      </c>
      <c r="AF407">
        <v>4</v>
      </c>
      <c r="AG407" t="s">
        <v>53</v>
      </c>
    </row>
    <row r="408" spans="1:33">
      <c r="A408" t="s">
        <v>976</v>
      </c>
      <c r="B408" s="10">
        <v>45840</v>
      </c>
      <c r="C408" s="3" t="s">
        <v>307</v>
      </c>
      <c r="D408" t="s">
        <v>129</v>
      </c>
      <c r="E408" t="s">
        <v>114</v>
      </c>
      <c r="F408" t="s">
        <v>73</v>
      </c>
      <c r="G408" t="s">
        <v>74</v>
      </c>
      <c r="H408" t="s">
        <v>39</v>
      </c>
      <c r="I408" t="s">
        <v>2143</v>
      </c>
      <c r="J408" t="s">
        <v>41</v>
      </c>
      <c r="K408" t="s">
        <v>42</v>
      </c>
      <c r="L408" t="s">
        <v>977</v>
      </c>
      <c r="M408" t="s">
        <v>63</v>
      </c>
      <c r="N408" t="s">
        <v>110</v>
      </c>
      <c r="O408" t="s">
        <v>119</v>
      </c>
      <c r="P408" t="s">
        <v>120</v>
      </c>
      <c r="Q408" t="s">
        <v>103</v>
      </c>
      <c r="R408" t="s">
        <v>84</v>
      </c>
      <c r="S408">
        <v>1</v>
      </c>
      <c r="T408" s="14">
        <v>46.44</v>
      </c>
      <c r="U408" s="7">
        <v>12</v>
      </c>
      <c r="V408" s="7">
        <v>22</v>
      </c>
      <c r="W408" s="14">
        <v>80.44</v>
      </c>
      <c r="X408" s="14">
        <v>154.80000000000001</v>
      </c>
      <c r="Y408" s="16">
        <v>0</v>
      </c>
      <c r="Z408" s="12">
        <v>154.80000000000001</v>
      </c>
      <c r="AA408" s="5">
        <v>74.36</v>
      </c>
      <c r="AB408" s="18">
        <v>48.04</v>
      </c>
      <c r="AC408" t="s">
        <v>85</v>
      </c>
      <c r="AD408" t="s">
        <v>158</v>
      </c>
      <c r="AE408" t="s">
        <v>105</v>
      </c>
      <c r="AF408">
        <v>3</v>
      </c>
      <c r="AG408" t="s">
        <v>53</v>
      </c>
    </row>
    <row r="409" spans="1:33">
      <c r="A409" t="s">
        <v>978</v>
      </c>
      <c r="B409" s="10">
        <v>45915</v>
      </c>
      <c r="C409" s="3" t="s">
        <v>107</v>
      </c>
      <c r="D409" t="s">
        <v>206</v>
      </c>
      <c r="E409" t="s">
        <v>72</v>
      </c>
      <c r="F409" t="s">
        <v>73</v>
      </c>
      <c r="G409" t="s">
        <v>74</v>
      </c>
      <c r="H409" t="s">
        <v>115</v>
      </c>
      <c r="I409" t="s">
        <v>116</v>
      </c>
      <c r="J409" t="s">
        <v>117</v>
      </c>
      <c r="K409" t="s">
        <v>61</v>
      </c>
      <c r="L409" t="s">
        <v>979</v>
      </c>
      <c r="M409" t="s">
        <v>80</v>
      </c>
      <c r="N409" t="s">
        <v>81</v>
      </c>
      <c r="O409" t="s">
        <v>94</v>
      </c>
      <c r="P409" t="s">
        <v>95</v>
      </c>
      <c r="Q409" t="s">
        <v>66</v>
      </c>
      <c r="R409" t="s">
        <v>49</v>
      </c>
      <c r="S409">
        <v>1</v>
      </c>
      <c r="T409" s="14">
        <v>91.98</v>
      </c>
      <c r="U409" s="7">
        <v>12</v>
      </c>
      <c r="V409" s="7">
        <v>22</v>
      </c>
      <c r="W409" s="14">
        <v>125.98</v>
      </c>
      <c r="X409" s="14">
        <v>306.60000000000002</v>
      </c>
      <c r="Y409" s="16">
        <v>0</v>
      </c>
      <c r="Z409" s="12">
        <v>306.60000000000002</v>
      </c>
      <c r="AA409" s="5">
        <v>180.62</v>
      </c>
      <c r="AB409" s="18">
        <v>58.91</v>
      </c>
      <c r="AC409" t="s">
        <v>111</v>
      </c>
      <c r="AD409" t="s">
        <v>86</v>
      </c>
      <c r="AE409" t="s">
        <v>126</v>
      </c>
      <c r="AF409">
        <v>5</v>
      </c>
      <c r="AG409" t="s">
        <v>53</v>
      </c>
    </row>
    <row r="410" spans="1:33">
      <c r="A410" t="s">
        <v>980</v>
      </c>
      <c r="B410" s="10">
        <v>45886</v>
      </c>
      <c r="C410" s="3" t="s">
        <v>70</v>
      </c>
      <c r="D410" t="s">
        <v>89</v>
      </c>
      <c r="E410" t="s">
        <v>99</v>
      </c>
      <c r="F410" t="s">
        <v>73</v>
      </c>
      <c r="G410" t="s">
        <v>74</v>
      </c>
      <c r="H410" t="s">
        <v>115</v>
      </c>
      <c r="I410" t="s">
        <v>116</v>
      </c>
      <c r="J410" t="s">
        <v>117</v>
      </c>
      <c r="K410" t="s">
        <v>61</v>
      </c>
      <c r="L410" t="s">
        <v>981</v>
      </c>
      <c r="M410" t="s">
        <v>63</v>
      </c>
      <c r="N410" t="s">
        <v>45</v>
      </c>
      <c r="O410" t="s">
        <v>213</v>
      </c>
      <c r="P410" t="s">
        <v>214</v>
      </c>
      <c r="Q410" t="s">
        <v>215</v>
      </c>
      <c r="R410" t="s">
        <v>49</v>
      </c>
      <c r="S410">
        <v>1</v>
      </c>
      <c r="T410" s="14">
        <v>125.58</v>
      </c>
      <c r="U410" s="7">
        <v>12</v>
      </c>
      <c r="V410" s="7">
        <v>22</v>
      </c>
      <c r="W410" s="14">
        <v>159.58000000000001</v>
      </c>
      <c r="X410" s="14">
        <v>418.6</v>
      </c>
      <c r="Y410" s="16">
        <v>10</v>
      </c>
      <c r="Z410" s="12">
        <v>376.74</v>
      </c>
      <c r="AA410" s="5">
        <v>217.16</v>
      </c>
      <c r="AB410" s="18">
        <v>57.64</v>
      </c>
      <c r="AC410" t="s">
        <v>104</v>
      </c>
      <c r="AD410" t="s">
        <v>86</v>
      </c>
      <c r="AE410" t="s">
        <v>126</v>
      </c>
      <c r="AF410">
        <v>3</v>
      </c>
      <c r="AG410" t="s">
        <v>53</v>
      </c>
    </row>
    <row r="411" spans="1:33">
      <c r="A411" t="s">
        <v>982</v>
      </c>
      <c r="B411" s="10">
        <v>45668</v>
      </c>
      <c r="C411" s="3" t="s">
        <v>199</v>
      </c>
      <c r="D411" t="s">
        <v>71</v>
      </c>
      <c r="E411" t="s">
        <v>152</v>
      </c>
      <c r="F411" t="s">
        <v>91</v>
      </c>
      <c r="G411" t="s">
        <v>92</v>
      </c>
      <c r="H411" t="s">
        <v>133</v>
      </c>
      <c r="I411" t="s">
        <v>134</v>
      </c>
      <c r="J411" t="s">
        <v>135</v>
      </c>
      <c r="K411" t="s">
        <v>42</v>
      </c>
      <c r="L411" t="s">
        <v>983</v>
      </c>
      <c r="M411" t="s">
        <v>44</v>
      </c>
      <c r="N411" t="s">
        <v>81</v>
      </c>
      <c r="O411" t="s">
        <v>189</v>
      </c>
      <c r="P411" t="s">
        <v>190</v>
      </c>
      <c r="Q411" t="s">
        <v>48</v>
      </c>
      <c r="R411" t="s">
        <v>49</v>
      </c>
      <c r="S411">
        <v>3</v>
      </c>
      <c r="T411" s="14">
        <v>66.78</v>
      </c>
      <c r="U411" s="7">
        <v>12</v>
      </c>
      <c r="V411" s="7">
        <v>22</v>
      </c>
      <c r="W411" s="14">
        <v>100.78</v>
      </c>
      <c r="X411" s="14">
        <v>222.6</v>
      </c>
      <c r="Y411" s="16">
        <v>10</v>
      </c>
      <c r="Z411" s="12">
        <v>601.02</v>
      </c>
      <c r="AA411" s="5">
        <v>298.68</v>
      </c>
      <c r="AB411" s="18">
        <v>49.7</v>
      </c>
      <c r="AC411" t="s">
        <v>50</v>
      </c>
      <c r="AD411" t="s">
        <v>51</v>
      </c>
      <c r="AE411" t="s">
        <v>52</v>
      </c>
      <c r="AF411">
        <v>5</v>
      </c>
      <c r="AG411" t="s">
        <v>53</v>
      </c>
    </row>
    <row r="412" spans="1:33">
      <c r="A412" t="s">
        <v>984</v>
      </c>
      <c r="B412" s="10">
        <v>45908</v>
      </c>
      <c r="C412" s="3" t="s">
        <v>141</v>
      </c>
      <c r="D412" t="s">
        <v>206</v>
      </c>
      <c r="E412" t="s">
        <v>72</v>
      </c>
      <c r="F412" t="s">
        <v>73</v>
      </c>
      <c r="G412" t="s">
        <v>74</v>
      </c>
      <c r="H412" t="s">
        <v>39</v>
      </c>
      <c r="I412" t="s">
        <v>2143</v>
      </c>
      <c r="J412" t="s">
        <v>41</v>
      </c>
      <c r="K412" t="s">
        <v>42</v>
      </c>
      <c r="L412" t="s">
        <v>985</v>
      </c>
      <c r="M412" t="s">
        <v>44</v>
      </c>
      <c r="N412" t="s">
        <v>81</v>
      </c>
      <c r="O412" t="s">
        <v>119</v>
      </c>
      <c r="P412" t="s">
        <v>120</v>
      </c>
      <c r="Q412" t="s">
        <v>103</v>
      </c>
      <c r="R412" t="s">
        <v>67</v>
      </c>
      <c r="S412">
        <v>3</v>
      </c>
      <c r="T412" s="14">
        <v>38.700000000000003</v>
      </c>
      <c r="U412" s="7">
        <v>12</v>
      </c>
      <c r="V412" s="7">
        <v>22</v>
      </c>
      <c r="W412" s="14">
        <v>72.7</v>
      </c>
      <c r="X412" s="14">
        <v>129</v>
      </c>
      <c r="Y412" s="16">
        <v>5</v>
      </c>
      <c r="Z412" s="12">
        <v>367.65</v>
      </c>
      <c r="AA412" s="5">
        <v>149.55000000000001</v>
      </c>
      <c r="AB412" s="18">
        <v>40.68</v>
      </c>
      <c r="AC412" t="s">
        <v>104</v>
      </c>
      <c r="AD412" t="s">
        <v>158</v>
      </c>
      <c r="AE412" t="s">
        <v>96</v>
      </c>
      <c r="AF412">
        <v>5</v>
      </c>
      <c r="AG412" t="s">
        <v>53</v>
      </c>
    </row>
    <row r="413" spans="1:33">
      <c r="A413" t="s">
        <v>986</v>
      </c>
      <c r="B413" s="10">
        <v>45729</v>
      </c>
      <c r="C413" s="3" t="s">
        <v>194</v>
      </c>
      <c r="D413" t="s">
        <v>56</v>
      </c>
      <c r="E413" t="s">
        <v>108</v>
      </c>
      <c r="F413" t="s">
        <v>91</v>
      </c>
      <c r="G413" t="s">
        <v>38</v>
      </c>
      <c r="H413" t="s">
        <v>39</v>
      </c>
      <c r="I413" t="s">
        <v>2143</v>
      </c>
      <c r="J413" t="s">
        <v>41</v>
      </c>
      <c r="K413" t="s">
        <v>42</v>
      </c>
      <c r="L413" t="s">
        <v>987</v>
      </c>
      <c r="M413" t="s">
        <v>63</v>
      </c>
      <c r="N413" t="s">
        <v>45</v>
      </c>
      <c r="O413" t="s">
        <v>94</v>
      </c>
      <c r="P413" t="s">
        <v>95</v>
      </c>
      <c r="Q413" t="s">
        <v>66</v>
      </c>
      <c r="R413" t="s">
        <v>67</v>
      </c>
      <c r="S413">
        <v>1</v>
      </c>
      <c r="T413" s="14">
        <v>65.7</v>
      </c>
      <c r="U413" s="7">
        <v>12</v>
      </c>
      <c r="V413" s="7">
        <v>22</v>
      </c>
      <c r="W413" s="14">
        <v>99.7</v>
      </c>
      <c r="X413" s="14">
        <v>219</v>
      </c>
      <c r="Y413" s="16">
        <v>5</v>
      </c>
      <c r="Z413" s="12">
        <v>208.05</v>
      </c>
      <c r="AA413" s="5">
        <v>108.35</v>
      </c>
      <c r="AB413" s="18">
        <v>52.08</v>
      </c>
      <c r="AC413" t="s">
        <v>50</v>
      </c>
      <c r="AD413" t="s">
        <v>86</v>
      </c>
      <c r="AE413" t="s">
        <v>68</v>
      </c>
      <c r="AF413">
        <v>5</v>
      </c>
      <c r="AG413" t="s">
        <v>53</v>
      </c>
    </row>
    <row r="414" spans="1:33">
      <c r="A414" t="s">
        <v>988</v>
      </c>
      <c r="B414" s="10">
        <v>45980</v>
      </c>
      <c r="C414" s="3" t="s">
        <v>113</v>
      </c>
      <c r="D414" t="s">
        <v>129</v>
      </c>
      <c r="E414" t="s">
        <v>57</v>
      </c>
      <c r="F414" t="s">
        <v>37</v>
      </c>
      <c r="G414" t="s">
        <v>38</v>
      </c>
      <c r="H414" t="s">
        <v>75</v>
      </c>
      <c r="I414" t="s">
        <v>76</v>
      </c>
      <c r="J414" t="s">
        <v>77</v>
      </c>
      <c r="K414" t="s">
        <v>78</v>
      </c>
      <c r="L414" t="s">
        <v>989</v>
      </c>
      <c r="M414" t="s">
        <v>63</v>
      </c>
      <c r="N414" t="s">
        <v>110</v>
      </c>
      <c r="O414" t="s">
        <v>176</v>
      </c>
      <c r="P414" t="s">
        <v>177</v>
      </c>
      <c r="Q414" t="s">
        <v>66</v>
      </c>
      <c r="R414" t="s">
        <v>67</v>
      </c>
      <c r="S414">
        <v>1</v>
      </c>
      <c r="T414" s="14">
        <v>50.7</v>
      </c>
      <c r="U414" s="7">
        <v>12</v>
      </c>
      <c r="V414" s="7">
        <v>22</v>
      </c>
      <c r="W414" s="14">
        <v>84.7</v>
      </c>
      <c r="X414" s="14">
        <v>169</v>
      </c>
      <c r="Y414" s="16">
        <v>10</v>
      </c>
      <c r="Z414" s="12">
        <v>152.1</v>
      </c>
      <c r="AA414" s="5">
        <v>67.400000000000006</v>
      </c>
      <c r="AB414" s="18">
        <v>44.31</v>
      </c>
      <c r="AC414" t="s">
        <v>50</v>
      </c>
      <c r="AD414" t="s">
        <v>86</v>
      </c>
      <c r="AE414" t="s">
        <v>52</v>
      </c>
      <c r="AF414">
        <v>5</v>
      </c>
      <c r="AG414" t="s">
        <v>53</v>
      </c>
    </row>
    <row r="415" spans="1:33">
      <c r="A415" t="s">
        <v>990</v>
      </c>
      <c r="B415" s="10">
        <v>45857</v>
      </c>
      <c r="C415" s="3" t="s">
        <v>148</v>
      </c>
      <c r="D415" t="s">
        <v>71</v>
      </c>
      <c r="E415" t="s">
        <v>114</v>
      </c>
      <c r="F415" t="s">
        <v>73</v>
      </c>
      <c r="G415" t="s">
        <v>74</v>
      </c>
      <c r="H415" t="s">
        <v>115</v>
      </c>
      <c r="I415" t="s">
        <v>116</v>
      </c>
      <c r="J415" t="s">
        <v>117</v>
      </c>
      <c r="K415" t="s">
        <v>61</v>
      </c>
      <c r="L415" t="s">
        <v>991</v>
      </c>
      <c r="M415" t="s">
        <v>63</v>
      </c>
      <c r="N415" t="s">
        <v>45</v>
      </c>
      <c r="O415" t="s">
        <v>82</v>
      </c>
      <c r="P415" t="s">
        <v>83</v>
      </c>
      <c r="Q415" t="s">
        <v>66</v>
      </c>
      <c r="R415" t="s">
        <v>84</v>
      </c>
      <c r="S415">
        <v>2</v>
      </c>
      <c r="T415" s="14">
        <v>86.04</v>
      </c>
      <c r="U415" s="7">
        <v>12</v>
      </c>
      <c r="V415" s="7">
        <v>22</v>
      </c>
      <c r="W415" s="14">
        <v>120.04</v>
      </c>
      <c r="X415" s="14">
        <v>286.8</v>
      </c>
      <c r="Y415" s="16">
        <v>10</v>
      </c>
      <c r="Z415" s="12">
        <v>516.24</v>
      </c>
      <c r="AA415" s="5">
        <v>276.16000000000003</v>
      </c>
      <c r="AB415" s="18">
        <v>53.49</v>
      </c>
      <c r="AC415" t="s">
        <v>104</v>
      </c>
      <c r="AD415" t="s">
        <v>86</v>
      </c>
      <c r="AE415" t="s">
        <v>96</v>
      </c>
      <c r="AF415">
        <v>5</v>
      </c>
      <c r="AG415" t="s">
        <v>53</v>
      </c>
    </row>
    <row r="416" spans="1:33">
      <c r="A416" t="s">
        <v>992</v>
      </c>
      <c r="B416" s="10">
        <v>45994</v>
      </c>
      <c r="C416" s="3" t="s">
        <v>34</v>
      </c>
      <c r="D416" t="s">
        <v>129</v>
      </c>
      <c r="E416" t="s">
        <v>149</v>
      </c>
      <c r="F416" t="s">
        <v>37</v>
      </c>
      <c r="G416" t="s">
        <v>92</v>
      </c>
      <c r="H416" t="s">
        <v>58</v>
      </c>
      <c r="I416" t="s">
        <v>59</v>
      </c>
      <c r="J416" t="s">
        <v>60</v>
      </c>
      <c r="K416" t="s">
        <v>61</v>
      </c>
      <c r="L416" t="s">
        <v>993</v>
      </c>
      <c r="M416" t="s">
        <v>80</v>
      </c>
      <c r="N416" t="s">
        <v>110</v>
      </c>
      <c r="O416" t="s">
        <v>94</v>
      </c>
      <c r="P416" t="s">
        <v>95</v>
      </c>
      <c r="Q416" t="s">
        <v>66</v>
      </c>
      <c r="R416" t="s">
        <v>84</v>
      </c>
      <c r="S416">
        <v>3</v>
      </c>
      <c r="T416" s="14">
        <v>78.84</v>
      </c>
      <c r="U416" s="7">
        <v>12</v>
      </c>
      <c r="V416" s="7">
        <v>22</v>
      </c>
      <c r="W416" s="14">
        <v>112.84</v>
      </c>
      <c r="X416" s="14">
        <v>262.8</v>
      </c>
      <c r="Y416" s="16">
        <v>0</v>
      </c>
      <c r="Z416" s="12">
        <v>788.4</v>
      </c>
      <c r="AA416" s="5">
        <v>449.88</v>
      </c>
      <c r="AB416" s="18">
        <v>57.06</v>
      </c>
      <c r="AC416" t="s">
        <v>85</v>
      </c>
      <c r="AD416" t="s">
        <v>158</v>
      </c>
      <c r="AE416" t="s">
        <v>68</v>
      </c>
      <c r="AF416">
        <v>5</v>
      </c>
      <c r="AG416" t="s">
        <v>53</v>
      </c>
    </row>
    <row r="417" spans="1:33">
      <c r="A417" t="s">
        <v>994</v>
      </c>
      <c r="B417" s="10">
        <v>45864</v>
      </c>
      <c r="C417" s="3" t="s">
        <v>107</v>
      </c>
      <c r="D417" t="s">
        <v>71</v>
      </c>
      <c r="E417" t="s">
        <v>114</v>
      </c>
      <c r="F417" t="s">
        <v>73</v>
      </c>
      <c r="G417" t="s">
        <v>74</v>
      </c>
      <c r="H417" t="s">
        <v>142</v>
      </c>
      <c r="I417" t="s">
        <v>143</v>
      </c>
      <c r="J417" t="s">
        <v>144</v>
      </c>
      <c r="K417" t="s">
        <v>145</v>
      </c>
      <c r="L417" t="s">
        <v>995</v>
      </c>
      <c r="M417" t="s">
        <v>80</v>
      </c>
      <c r="N417" t="s">
        <v>81</v>
      </c>
      <c r="O417" t="s">
        <v>213</v>
      </c>
      <c r="P417" t="s">
        <v>214</v>
      </c>
      <c r="Q417" t="s">
        <v>215</v>
      </c>
      <c r="R417" t="s">
        <v>49</v>
      </c>
      <c r="S417">
        <v>4</v>
      </c>
      <c r="T417" s="14">
        <v>125.58</v>
      </c>
      <c r="U417" s="7">
        <v>12</v>
      </c>
      <c r="V417" s="7">
        <v>22</v>
      </c>
      <c r="W417" s="14">
        <v>159.58000000000001</v>
      </c>
      <c r="X417" s="14">
        <v>418.6</v>
      </c>
      <c r="Y417" s="16">
        <v>15</v>
      </c>
      <c r="Z417" s="12">
        <v>1423.24</v>
      </c>
      <c r="AA417" s="5">
        <v>784.92</v>
      </c>
      <c r="AB417" s="18">
        <v>55.15</v>
      </c>
      <c r="AC417" t="s">
        <v>111</v>
      </c>
      <c r="AD417" t="s">
        <v>51</v>
      </c>
      <c r="AE417" t="s">
        <v>68</v>
      </c>
      <c r="AF417">
        <v>5</v>
      </c>
      <c r="AG417" t="s">
        <v>53</v>
      </c>
    </row>
    <row r="418" spans="1:33">
      <c r="A418" t="s">
        <v>996</v>
      </c>
      <c r="B418" s="10">
        <v>45978</v>
      </c>
      <c r="C418" s="3" t="s">
        <v>194</v>
      </c>
      <c r="D418" t="s">
        <v>206</v>
      </c>
      <c r="E418" t="s">
        <v>57</v>
      </c>
      <c r="F418" t="s">
        <v>37</v>
      </c>
      <c r="G418" t="s">
        <v>38</v>
      </c>
      <c r="H418" t="s">
        <v>75</v>
      </c>
      <c r="I418" t="s">
        <v>76</v>
      </c>
      <c r="J418" t="s">
        <v>77</v>
      </c>
      <c r="K418" t="s">
        <v>78</v>
      </c>
      <c r="L418" t="s">
        <v>997</v>
      </c>
      <c r="M418" t="s">
        <v>44</v>
      </c>
      <c r="N418" t="s">
        <v>110</v>
      </c>
      <c r="O418" t="s">
        <v>176</v>
      </c>
      <c r="P418" t="s">
        <v>177</v>
      </c>
      <c r="Q418" t="s">
        <v>66</v>
      </c>
      <c r="R418" t="s">
        <v>84</v>
      </c>
      <c r="S418">
        <v>3</v>
      </c>
      <c r="T418" s="14">
        <v>60.84</v>
      </c>
      <c r="U418" s="7">
        <v>12</v>
      </c>
      <c r="V418" s="7">
        <v>22</v>
      </c>
      <c r="W418" s="14">
        <v>94.84</v>
      </c>
      <c r="X418" s="14">
        <v>202.8</v>
      </c>
      <c r="Y418" s="16">
        <v>0</v>
      </c>
      <c r="Z418" s="12">
        <v>608.4</v>
      </c>
      <c r="AA418" s="5">
        <v>323.88</v>
      </c>
      <c r="AB418" s="18">
        <v>53.23</v>
      </c>
      <c r="AC418" t="s">
        <v>50</v>
      </c>
      <c r="AD418" t="s">
        <v>86</v>
      </c>
      <c r="AE418" t="s">
        <v>68</v>
      </c>
      <c r="AF418">
        <v>4</v>
      </c>
      <c r="AG418" t="s">
        <v>53</v>
      </c>
    </row>
    <row r="419" spans="1:33">
      <c r="A419" t="s">
        <v>998</v>
      </c>
      <c r="B419" s="10">
        <v>45805</v>
      </c>
      <c r="C419" s="3" t="s">
        <v>107</v>
      </c>
      <c r="D419" t="s">
        <v>129</v>
      </c>
      <c r="E419" t="s">
        <v>130</v>
      </c>
      <c r="F419" t="s">
        <v>131</v>
      </c>
      <c r="G419" t="s">
        <v>132</v>
      </c>
      <c r="H419" t="s">
        <v>133</v>
      </c>
      <c r="I419" t="s">
        <v>134</v>
      </c>
      <c r="J419" t="s">
        <v>135</v>
      </c>
      <c r="K419" t="s">
        <v>42</v>
      </c>
      <c r="L419" t="s">
        <v>999</v>
      </c>
      <c r="M419" t="s">
        <v>63</v>
      </c>
      <c r="N419" t="s">
        <v>81</v>
      </c>
      <c r="O419" t="s">
        <v>82</v>
      </c>
      <c r="P419" t="s">
        <v>83</v>
      </c>
      <c r="Q419" t="s">
        <v>66</v>
      </c>
      <c r="R419" t="s">
        <v>67</v>
      </c>
      <c r="S419">
        <v>3</v>
      </c>
      <c r="T419" s="14">
        <v>71.7</v>
      </c>
      <c r="U419" s="7">
        <v>12</v>
      </c>
      <c r="V419" s="7">
        <v>22</v>
      </c>
      <c r="W419" s="14">
        <v>105.7</v>
      </c>
      <c r="X419" s="14">
        <v>239</v>
      </c>
      <c r="Y419" s="16">
        <v>0</v>
      </c>
      <c r="Z419" s="12">
        <v>717</v>
      </c>
      <c r="AA419" s="5">
        <v>399.9</v>
      </c>
      <c r="AB419" s="18">
        <v>55.77</v>
      </c>
      <c r="AC419" t="s">
        <v>85</v>
      </c>
      <c r="AD419" t="s">
        <v>158</v>
      </c>
      <c r="AE419" t="s">
        <v>68</v>
      </c>
      <c r="AF419">
        <v>3</v>
      </c>
      <c r="AG419" t="s">
        <v>53</v>
      </c>
    </row>
    <row r="420" spans="1:33">
      <c r="A420" t="s">
        <v>1000</v>
      </c>
      <c r="B420" s="10">
        <v>45891</v>
      </c>
      <c r="C420" s="3" t="s">
        <v>179</v>
      </c>
      <c r="D420" t="s">
        <v>35</v>
      </c>
      <c r="E420" t="s">
        <v>99</v>
      </c>
      <c r="F420" t="s">
        <v>73</v>
      </c>
      <c r="G420" t="s">
        <v>74</v>
      </c>
      <c r="H420" t="s">
        <v>133</v>
      </c>
      <c r="I420" t="s">
        <v>134</v>
      </c>
      <c r="J420" t="s">
        <v>135</v>
      </c>
      <c r="K420" t="s">
        <v>42</v>
      </c>
      <c r="L420" t="s">
        <v>1001</v>
      </c>
      <c r="M420" t="s">
        <v>63</v>
      </c>
      <c r="N420" t="s">
        <v>81</v>
      </c>
      <c r="O420" t="s">
        <v>176</v>
      </c>
      <c r="P420" t="s">
        <v>177</v>
      </c>
      <c r="Q420" t="s">
        <v>66</v>
      </c>
      <c r="R420" t="s">
        <v>67</v>
      </c>
      <c r="S420">
        <v>1</v>
      </c>
      <c r="T420" s="14">
        <v>50.7</v>
      </c>
      <c r="U420" s="7">
        <v>12</v>
      </c>
      <c r="V420" s="7">
        <v>22</v>
      </c>
      <c r="W420" s="14">
        <v>84.7</v>
      </c>
      <c r="X420" s="14">
        <v>169</v>
      </c>
      <c r="Y420" s="16">
        <v>10</v>
      </c>
      <c r="Z420" s="12">
        <v>152.1</v>
      </c>
      <c r="AA420" s="5">
        <v>67.400000000000006</v>
      </c>
      <c r="AB420" s="18">
        <v>44.31</v>
      </c>
      <c r="AC420" t="s">
        <v>85</v>
      </c>
      <c r="AD420" t="s">
        <v>86</v>
      </c>
      <c r="AE420" t="s">
        <v>126</v>
      </c>
      <c r="AF420">
        <v>5</v>
      </c>
      <c r="AG420" t="s">
        <v>53</v>
      </c>
    </row>
    <row r="421" spans="1:33">
      <c r="A421" t="s">
        <v>1002</v>
      </c>
      <c r="B421" s="10">
        <v>45766</v>
      </c>
      <c r="C421" s="3" t="s">
        <v>113</v>
      </c>
      <c r="D421" t="s">
        <v>71</v>
      </c>
      <c r="E421" t="s">
        <v>280</v>
      </c>
      <c r="F421" t="s">
        <v>131</v>
      </c>
      <c r="G421" t="s">
        <v>132</v>
      </c>
      <c r="H421" t="s">
        <v>115</v>
      </c>
      <c r="I421" t="s">
        <v>116</v>
      </c>
      <c r="J421" t="s">
        <v>117</v>
      </c>
      <c r="K421" t="s">
        <v>61</v>
      </c>
      <c r="L421" t="s">
        <v>1003</v>
      </c>
      <c r="M421" t="s">
        <v>44</v>
      </c>
      <c r="N421" t="s">
        <v>81</v>
      </c>
      <c r="O421" t="s">
        <v>46</v>
      </c>
      <c r="P421" t="s">
        <v>47</v>
      </c>
      <c r="Q421" t="s">
        <v>48</v>
      </c>
      <c r="R421" t="s">
        <v>67</v>
      </c>
      <c r="S421">
        <v>3</v>
      </c>
      <c r="T421" s="14">
        <v>77.7</v>
      </c>
      <c r="U421" s="7">
        <v>12</v>
      </c>
      <c r="V421" s="7">
        <v>22</v>
      </c>
      <c r="W421" s="14">
        <v>111.7</v>
      </c>
      <c r="X421" s="14">
        <v>259</v>
      </c>
      <c r="Y421" s="16">
        <v>10</v>
      </c>
      <c r="Z421" s="12">
        <v>699.3</v>
      </c>
      <c r="AA421" s="5">
        <v>364.2</v>
      </c>
      <c r="AB421" s="18">
        <v>52.08</v>
      </c>
      <c r="AC421" t="s">
        <v>104</v>
      </c>
      <c r="AD421" t="s">
        <v>86</v>
      </c>
      <c r="AE421" t="s">
        <v>105</v>
      </c>
      <c r="AF421">
        <v>5</v>
      </c>
      <c r="AG421" t="s">
        <v>53</v>
      </c>
    </row>
    <row r="422" spans="1:33">
      <c r="A422" t="s">
        <v>1004</v>
      </c>
      <c r="B422" s="10">
        <v>45913</v>
      </c>
      <c r="C422" s="3" t="s">
        <v>219</v>
      </c>
      <c r="D422" t="s">
        <v>71</v>
      </c>
      <c r="E422" t="s">
        <v>72</v>
      </c>
      <c r="F422" t="s">
        <v>73</v>
      </c>
      <c r="G422" t="s">
        <v>74</v>
      </c>
      <c r="H422" t="s">
        <v>115</v>
      </c>
      <c r="I422" t="s">
        <v>116</v>
      </c>
      <c r="J422" t="s">
        <v>117</v>
      </c>
      <c r="K422" t="s">
        <v>61</v>
      </c>
      <c r="L422" t="s">
        <v>1005</v>
      </c>
      <c r="M422" t="s">
        <v>63</v>
      </c>
      <c r="N422" t="s">
        <v>45</v>
      </c>
      <c r="O422" t="s">
        <v>94</v>
      </c>
      <c r="P422" t="s">
        <v>95</v>
      </c>
      <c r="Q422" t="s">
        <v>66</v>
      </c>
      <c r="R422" t="s">
        <v>49</v>
      </c>
      <c r="S422">
        <v>3</v>
      </c>
      <c r="T422" s="14">
        <v>91.98</v>
      </c>
      <c r="U422" s="7">
        <v>12</v>
      </c>
      <c r="V422" s="7">
        <v>22</v>
      </c>
      <c r="W422" s="14">
        <v>125.98</v>
      </c>
      <c r="X422" s="14">
        <v>306.60000000000002</v>
      </c>
      <c r="Y422" s="16">
        <v>15</v>
      </c>
      <c r="Z422" s="12">
        <v>781.83</v>
      </c>
      <c r="AA422" s="5">
        <v>403.89</v>
      </c>
      <c r="AB422" s="18">
        <v>51.66</v>
      </c>
      <c r="AC422" t="s">
        <v>111</v>
      </c>
      <c r="AD422" t="s">
        <v>51</v>
      </c>
      <c r="AE422" t="s">
        <v>96</v>
      </c>
      <c r="AF422">
        <v>5</v>
      </c>
      <c r="AG422" t="s">
        <v>53</v>
      </c>
    </row>
    <row r="423" spans="1:33">
      <c r="A423" t="s">
        <v>1006</v>
      </c>
      <c r="B423" s="10">
        <v>45737</v>
      </c>
      <c r="C423" s="3" t="s">
        <v>179</v>
      </c>
      <c r="D423" t="s">
        <v>35</v>
      </c>
      <c r="E423" t="s">
        <v>108</v>
      </c>
      <c r="F423" t="s">
        <v>91</v>
      </c>
      <c r="G423" t="s">
        <v>38</v>
      </c>
      <c r="H423" t="s">
        <v>39</v>
      </c>
      <c r="I423" t="s">
        <v>2143</v>
      </c>
      <c r="J423" t="s">
        <v>41</v>
      </c>
      <c r="K423" t="s">
        <v>42</v>
      </c>
      <c r="L423" t="s">
        <v>1007</v>
      </c>
      <c r="M423" t="s">
        <v>63</v>
      </c>
      <c r="N423" t="s">
        <v>81</v>
      </c>
      <c r="O423" t="s">
        <v>64</v>
      </c>
      <c r="P423" t="s">
        <v>65</v>
      </c>
      <c r="Q423" t="s">
        <v>66</v>
      </c>
      <c r="R423" t="s">
        <v>49</v>
      </c>
      <c r="S423">
        <v>1</v>
      </c>
      <c r="T423" s="14">
        <v>62.58</v>
      </c>
      <c r="U423" s="7">
        <v>12</v>
      </c>
      <c r="V423" s="7">
        <v>22</v>
      </c>
      <c r="W423" s="14">
        <v>96.58</v>
      </c>
      <c r="X423" s="14">
        <v>208.6</v>
      </c>
      <c r="Y423" s="16">
        <v>10</v>
      </c>
      <c r="Z423" s="12">
        <v>187.74</v>
      </c>
      <c r="AA423" s="5">
        <v>91.16</v>
      </c>
      <c r="AB423" s="18">
        <v>48.56</v>
      </c>
      <c r="AC423" t="s">
        <v>85</v>
      </c>
      <c r="AD423" t="s">
        <v>86</v>
      </c>
      <c r="AE423" t="s">
        <v>105</v>
      </c>
      <c r="AF423">
        <v>5</v>
      </c>
      <c r="AG423" t="s">
        <v>53</v>
      </c>
    </row>
    <row r="424" spans="1:33">
      <c r="A424" t="s">
        <v>1008</v>
      </c>
      <c r="B424" s="10">
        <v>45748</v>
      </c>
      <c r="C424" s="3" t="s">
        <v>155</v>
      </c>
      <c r="D424" t="s">
        <v>156</v>
      </c>
      <c r="E424" t="s">
        <v>280</v>
      </c>
      <c r="F424" t="s">
        <v>131</v>
      </c>
      <c r="G424" t="s">
        <v>132</v>
      </c>
      <c r="H424" t="s">
        <v>75</v>
      </c>
      <c r="I424" t="s">
        <v>76</v>
      </c>
      <c r="J424" t="s">
        <v>77</v>
      </c>
      <c r="K424" t="s">
        <v>78</v>
      </c>
      <c r="L424" t="s">
        <v>1009</v>
      </c>
      <c r="M424" t="s">
        <v>80</v>
      </c>
      <c r="N424" t="s">
        <v>81</v>
      </c>
      <c r="O424" t="s">
        <v>119</v>
      </c>
      <c r="P424" t="s">
        <v>120</v>
      </c>
      <c r="Q424" t="s">
        <v>103</v>
      </c>
      <c r="R424" t="s">
        <v>84</v>
      </c>
      <c r="S424">
        <v>3</v>
      </c>
      <c r="T424" s="14">
        <v>46.44</v>
      </c>
      <c r="U424" s="7">
        <v>12</v>
      </c>
      <c r="V424" s="7">
        <v>22</v>
      </c>
      <c r="W424" s="14">
        <v>80.44</v>
      </c>
      <c r="X424" s="14">
        <v>154.80000000000001</v>
      </c>
      <c r="Y424" s="16">
        <v>0</v>
      </c>
      <c r="Z424" s="12">
        <v>464.4</v>
      </c>
      <c r="AA424" s="5">
        <v>223.08</v>
      </c>
      <c r="AB424" s="18">
        <v>48.04</v>
      </c>
      <c r="AC424" t="s">
        <v>104</v>
      </c>
      <c r="AD424" t="s">
        <v>86</v>
      </c>
      <c r="AE424" t="s">
        <v>126</v>
      </c>
      <c r="AF424">
        <v>3</v>
      </c>
      <c r="AG424" t="s">
        <v>53</v>
      </c>
    </row>
    <row r="425" spans="1:33">
      <c r="A425" t="s">
        <v>1010</v>
      </c>
      <c r="B425" s="10">
        <v>45733</v>
      </c>
      <c r="C425" s="3" t="s">
        <v>310</v>
      </c>
      <c r="D425" t="s">
        <v>206</v>
      </c>
      <c r="E425" t="s">
        <v>108</v>
      </c>
      <c r="F425" t="s">
        <v>91</v>
      </c>
      <c r="G425" t="s">
        <v>38</v>
      </c>
      <c r="H425" t="s">
        <v>142</v>
      </c>
      <c r="I425" t="s">
        <v>143</v>
      </c>
      <c r="J425" t="s">
        <v>144</v>
      </c>
      <c r="K425" t="s">
        <v>145</v>
      </c>
      <c r="L425" t="s">
        <v>1011</v>
      </c>
      <c r="M425" t="s">
        <v>63</v>
      </c>
      <c r="N425" t="s">
        <v>45</v>
      </c>
      <c r="O425" t="s">
        <v>189</v>
      </c>
      <c r="P425" t="s">
        <v>190</v>
      </c>
      <c r="Q425" t="s">
        <v>48</v>
      </c>
      <c r="R425" t="s">
        <v>84</v>
      </c>
      <c r="S425">
        <v>3</v>
      </c>
      <c r="T425" s="14">
        <v>57.24</v>
      </c>
      <c r="U425" s="7">
        <v>12</v>
      </c>
      <c r="V425" s="7">
        <v>22</v>
      </c>
      <c r="W425" s="14">
        <v>91.240000000000009</v>
      </c>
      <c r="X425" s="14">
        <v>190.8</v>
      </c>
      <c r="Y425" s="16">
        <v>10</v>
      </c>
      <c r="Z425" s="12">
        <v>515.16</v>
      </c>
      <c r="AA425" s="5">
        <v>241.44</v>
      </c>
      <c r="AB425" s="18">
        <v>46.87</v>
      </c>
      <c r="AC425" t="s">
        <v>50</v>
      </c>
      <c r="AD425" t="s">
        <v>158</v>
      </c>
      <c r="AE425" t="s">
        <v>105</v>
      </c>
      <c r="AF425">
        <v>5</v>
      </c>
      <c r="AG425" t="s">
        <v>53</v>
      </c>
    </row>
    <row r="426" spans="1:33">
      <c r="A426" t="s">
        <v>1012</v>
      </c>
      <c r="B426" s="10">
        <v>45999</v>
      </c>
      <c r="C426" s="3" t="s">
        <v>141</v>
      </c>
      <c r="D426" t="s">
        <v>206</v>
      </c>
      <c r="E426" t="s">
        <v>149</v>
      </c>
      <c r="F426" t="s">
        <v>37</v>
      </c>
      <c r="G426" t="s">
        <v>92</v>
      </c>
      <c r="H426" t="s">
        <v>142</v>
      </c>
      <c r="I426" t="s">
        <v>143</v>
      </c>
      <c r="J426" t="s">
        <v>144</v>
      </c>
      <c r="K426" t="s">
        <v>145</v>
      </c>
      <c r="L426" t="s">
        <v>1013</v>
      </c>
      <c r="M426" t="s">
        <v>63</v>
      </c>
      <c r="N426" t="s">
        <v>45</v>
      </c>
      <c r="O426" t="s">
        <v>176</v>
      </c>
      <c r="P426" t="s">
        <v>177</v>
      </c>
      <c r="Q426" t="s">
        <v>66</v>
      </c>
      <c r="R426" t="s">
        <v>67</v>
      </c>
      <c r="S426">
        <v>3</v>
      </c>
      <c r="T426" s="14">
        <v>50.7</v>
      </c>
      <c r="U426" s="7">
        <v>12</v>
      </c>
      <c r="V426" s="7">
        <v>22</v>
      </c>
      <c r="W426" s="14">
        <v>84.7</v>
      </c>
      <c r="X426" s="14">
        <v>169</v>
      </c>
      <c r="Y426" s="16">
        <v>5</v>
      </c>
      <c r="Z426" s="12">
        <v>481.65</v>
      </c>
      <c r="AA426" s="5">
        <v>227.55</v>
      </c>
      <c r="AB426" s="18">
        <v>47.24</v>
      </c>
      <c r="AC426" t="s">
        <v>104</v>
      </c>
      <c r="AD426" t="s">
        <v>86</v>
      </c>
      <c r="AE426" t="s">
        <v>96</v>
      </c>
      <c r="AF426">
        <v>4</v>
      </c>
      <c r="AG426" t="s">
        <v>53</v>
      </c>
    </row>
    <row r="427" spans="1:33">
      <c r="A427" t="s">
        <v>1014</v>
      </c>
      <c r="B427" s="10">
        <v>45957</v>
      </c>
      <c r="C427" s="3" t="s">
        <v>98</v>
      </c>
      <c r="D427" t="s">
        <v>206</v>
      </c>
      <c r="E427" t="s">
        <v>36</v>
      </c>
      <c r="F427" t="s">
        <v>37</v>
      </c>
      <c r="G427" t="s">
        <v>38</v>
      </c>
      <c r="H427" t="s">
        <v>58</v>
      </c>
      <c r="I427" t="s">
        <v>59</v>
      </c>
      <c r="J427" t="s">
        <v>60</v>
      </c>
      <c r="K427" t="s">
        <v>61</v>
      </c>
      <c r="L427" t="s">
        <v>1015</v>
      </c>
      <c r="M427" t="s">
        <v>80</v>
      </c>
      <c r="N427" t="s">
        <v>81</v>
      </c>
      <c r="O427" t="s">
        <v>94</v>
      </c>
      <c r="P427" t="s">
        <v>95</v>
      </c>
      <c r="Q427" t="s">
        <v>66</v>
      </c>
      <c r="R427" t="s">
        <v>67</v>
      </c>
      <c r="S427">
        <v>3</v>
      </c>
      <c r="T427" s="14">
        <v>65.7</v>
      </c>
      <c r="U427" s="7">
        <v>12</v>
      </c>
      <c r="V427" s="7">
        <v>22</v>
      </c>
      <c r="W427" s="14">
        <v>99.7</v>
      </c>
      <c r="X427" s="14">
        <v>219</v>
      </c>
      <c r="Y427" s="16">
        <v>5</v>
      </c>
      <c r="Z427" s="12">
        <v>624.15</v>
      </c>
      <c r="AA427" s="5">
        <v>325.05</v>
      </c>
      <c r="AB427" s="18">
        <v>52.08</v>
      </c>
      <c r="AC427" t="s">
        <v>50</v>
      </c>
      <c r="AD427" t="s">
        <v>86</v>
      </c>
      <c r="AE427" t="s">
        <v>68</v>
      </c>
      <c r="AF427" t="s">
        <v>2124</v>
      </c>
      <c r="AG427" t="s">
        <v>53</v>
      </c>
    </row>
    <row r="428" spans="1:33">
      <c r="A428" t="s">
        <v>1016</v>
      </c>
      <c r="B428" s="10">
        <v>45733</v>
      </c>
      <c r="C428" s="3" t="s">
        <v>339</v>
      </c>
      <c r="D428" t="s">
        <v>206</v>
      </c>
      <c r="E428" t="s">
        <v>108</v>
      </c>
      <c r="F428" t="s">
        <v>91</v>
      </c>
      <c r="G428" t="s">
        <v>38</v>
      </c>
      <c r="H428" t="s">
        <v>58</v>
      </c>
      <c r="I428" t="s">
        <v>59</v>
      </c>
      <c r="J428" t="s">
        <v>60</v>
      </c>
      <c r="K428" t="s">
        <v>61</v>
      </c>
      <c r="L428" t="s">
        <v>1017</v>
      </c>
      <c r="M428" t="s">
        <v>80</v>
      </c>
      <c r="N428" t="s">
        <v>81</v>
      </c>
      <c r="O428" t="s">
        <v>82</v>
      </c>
      <c r="P428" t="s">
        <v>83</v>
      </c>
      <c r="Q428" t="s">
        <v>66</v>
      </c>
      <c r="R428" t="s">
        <v>84</v>
      </c>
      <c r="S428">
        <v>3</v>
      </c>
      <c r="T428" s="14">
        <v>86.04</v>
      </c>
      <c r="U428" s="7">
        <v>12</v>
      </c>
      <c r="V428" s="7">
        <v>22</v>
      </c>
      <c r="W428" s="14">
        <v>120.04</v>
      </c>
      <c r="X428" s="14">
        <v>286.8</v>
      </c>
      <c r="Y428" s="16">
        <v>0</v>
      </c>
      <c r="Z428" s="12">
        <v>860.4</v>
      </c>
      <c r="AA428" s="5">
        <v>500.28</v>
      </c>
      <c r="AB428" s="18">
        <v>58.15</v>
      </c>
      <c r="AC428" t="s">
        <v>111</v>
      </c>
      <c r="AD428" t="s">
        <v>51</v>
      </c>
      <c r="AE428" t="s">
        <v>105</v>
      </c>
      <c r="AF428">
        <v>3</v>
      </c>
      <c r="AG428" t="s">
        <v>53</v>
      </c>
    </row>
    <row r="429" spans="1:33">
      <c r="A429" t="s">
        <v>1018</v>
      </c>
      <c r="B429" s="10">
        <v>45876</v>
      </c>
      <c r="C429" s="3" t="s">
        <v>390</v>
      </c>
      <c r="D429" t="s">
        <v>56</v>
      </c>
      <c r="E429" t="s">
        <v>99</v>
      </c>
      <c r="F429" t="s">
        <v>73</v>
      </c>
      <c r="G429" t="s">
        <v>74</v>
      </c>
      <c r="H429" t="s">
        <v>58</v>
      </c>
      <c r="I429" t="s">
        <v>59</v>
      </c>
      <c r="J429" t="s">
        <v>60</v>
      </c>
      <c r="K429" t="s">
        <v>61</v>
      </c>
      <c r="L429" t="s">
        <v>1019</v>
      </c>
      <c r="M429" t="s">
        <v>63</v>
      </c>
      <c r="N429" t="s">
        <v>81</v>
      </c>
      <c r="O429" t="s">
        <v>123</v>
      </c>
      <c r="P429" t="s">
        <v>124</v>
      </c>
      <c r="Q429" t="s">
        <v>125</v>
      </c>
      <c r="R429" t="s">
        <v>49</v>
      </c>
      <c r="S429">
        <v>3</v>
      </c>
      <c r="T429" s="14">
        <v>104.58</v>
      </c>
      <c r="U429" s="7">
        <v>12</v>
      </c>
      <c r="V429" s="7">
        <v>22</v>
      </c>
      <c r="W429" s="14">
        <v>138.58000000000001</v>
      </c>
      <c r="X429" s="14">
        <v>348.6</v>
      </c>
      <c r="Y429" s="16">
        <v>0</v>
      </c>
      <c r="Z429" s="12">
        <v>1045.8</v>
      </c>
      <c r="AA429" s="5">
        <v>630.05999999999995</v>
      </c>
      <c r="AB429" s="18">
        <v>60.25</v>
      </c>
      <c r="AC429" t="s">
        <v>50</v>
      </c>
      <c r="AD429" t="s">
        <v>86</v>
      </c>
      <c r="AE429" t="s">
        <v>68</v>
      </c>
      <c r="AF429">
        <v>4</v>
      </c>
      <c r="AG429" t="s">
        <v>53</v>
      </c>
    </row>
    <row r="430" spans="1:33">
      <c r="A430" t="s">
        <v>1020</v>
      </c>
      <c r="B430" s="10">
        <v>45737</v>
      </c>
      <c r="C430" s="3" t="s">
        <v>219</v>
      </c>
      <c r="D430" t="s">
        <v>35</v>
      </c>
      <c r="E430" t="s">
        <v>108</v>
      </c>
      <c r="F430" t="s">
        <v>91</v>
      </c>
      <c r="G430" t="s">
        <v>38</v>
      </c>
      <c r="H430" t="s">
        <v>133</v>
      </c>
      <c r="I430" t="s">
        <v>134</v>
      </c>
      <c r="J430" t="s">
        <v>135</v>
      </c>
      <c r="K430" t="s">
        <v>42</v>
      </c>
      <c r="L430" t="s">
        <v>1021</v>
      </c>
      <c r="M430" t="s">
        <v>80</v>
      </c>
      <c r="N430" t="s">
        <v>110</v>
      </c>
      <c r="O430" t="s">
        <v>168</v>
      </c>
      <c r="P430" t="s">
        <v>169</v>
      </c>
      <c r="Q430" t="s">
        <v>139</v>
      </c>
      <c r="R430" t="s">
        <v>84</v>
      </c>
      <c r="S430">
        <v>3</v>
      </c>
      <c r="T430" s="14">
        <v>57.24</v>
      </c>
      <c r="U430" s="7">
        <v>12</v>
      </c>
      <c r="V430" s="7">
        <v>22</v>
      </c>
      <c r="W430" s="14">
        <v>91.240000000000009</v>
      </c>
      <c r="X430" s="14">
        <v>190.8</v>
      </c>
      <c r="Y430" s="16">
        <v>0</v>
      </c>
      <c r="Z430" s="12">
        <v>572.4</v>
      </c>
      <c r="AA430" s="5">
        <v>298.68</v>
      </c>
      <c r="AB430" s="18">
        <v>52.18</v>
      </c>
      <c r="AC430" t="s">
        <v>50</v>
      </c>
      <c r="AD430" t="s">
        <v>51</v>
      </c>
      <c r="AE430" t="s">
        <v>105</v>
      </c>
      <c r="AF430">
        <v>5</v>
      </c>
      <c r="AG430" t="s">
        <v>53</v>
      </c>
    </row>
    <row r="431" spans="1:33">
      <c r="A431" t="s">
        <v>1022</v>
      </c>
      <c r="B431" s="10">
        <v>45996</v>
      </c>
      <c r="C431" s="3" t="s">
        <v>155</v>
      </c>
      <c r="D431" t="s">
        <v>35</v>
      </c>
      <c r="E431" t="s">
        <v>149</v>
      </c>
      <c r="F431" t="s">
        <v>37</v>
      </c>
      <c r="G431" t="s">
        <v>92</v>
      </c>
      <c r="H431" t="s">
        <v>39</v>
      </c>
      <c r="I431" t="s">
        <v>2143</v>
      </c>
      <c r="J431" t="s">
        <v>41</v>
      </c>
      <c r="K431" t="s">
        <v>42</v>
      </c>
      <c r="L431" t="s">
        <v>1023</v>
      </c>
      <c r="M431" t="s">
        <v>44</v>
      </c>
      <c r="N431" t="s">
        <v>110</v>
      </c>
      <c r="O431" t="s">
        <v>94</v>
      </c>
      <c r="P431" t="s">
        <v>95</v>
      </c>
      <c r="Q431" t="s">
        <v>66</v>
      </c>
      <c r="R431" t="s">
        <v>49</v>
      </c>
      <c r="S431">
        <v>3</v>
      </c>
      <c r="T431" s="14">
        <v>91.98</v>
      </c>
      <c r="U431" s="7">
        <v>12</v>
      </c>
      <c r="V431" s="7">
        <v>22</v>
      </c>
      <c r="W431" s="14">
        <v>125.98</v>
      </c>
      <c r="X431" s="14">
        <v>306.60000000000002</v>
      </c>
      <c r="Y431" s="16">
        <v>10</v>
      </c>
      <c r="Z431" s="12">
        <v>827.82</v>
      </c>
      <c r="AA431" s="5">
        <v>449.88</v>
      </c>
      <c r="AB431" s="18">
        <v>54.35</v>
      </c>
      <c r="AC431" t="s">
        <v>111</v>
      </c>
      <c r="AD431" t="s">
        <v>51</v>
      </c>
      <c r="AE431" t="s">
        <v>52</v>
      </c>
      <c r="AF431">
        <v>5</v>
      </c>
      <c r="AG431" t="s">
        <v>53</v>
      </c>
    </row>
    <row r="432" spans="1:33">
      <c r="A432" t="s">
        <v>1024</v>
      </c>
      <c r="B432" s="10">
        <v>45685</v>
      </c>
      <c r="C432" s="3" t="s">
        <v>98</v>
      </c>
      <c r="D432" t="s">
        <v>156</v>
      </c>
      <c r="E432" t="s">
        <v>152</v>
      </c>
      <c r="F432" t="s">
        <v>91</v>
      </c>
      <c r="G432" t="s">
        <v>92</v>
      </c>
      <c r="H432" t="s">
        <v>58</v>
      </c>
      <c r="I432" t="s">
        <v>59</v>
      </c>
      <c r="J432" t="s">
        <v>60</v>
      </c>
      <c r="K432" t="s">
        <v>61</v>
      </c>
      <c r="L432" t="s">
        <v>1025</v>
      </c>
      <c r="M432" t="s">
        <v>44</v>
      </c>
      <c r="N432" t="s">
        <v>81</v>
      </c>
      <c r="O432" t="s">
        <v>82</v>
      </c>
      <c r="P432" t="s">
        <v>83</v>
      </c>
      <c r="Q432" t="s">
        <v>66</v>
      </c>
      <c r="R432" t="s">
        <v>84</v>
      </c>
      <c r="S432">
        <v>2</v>
      </c>
      <c r="T432" s="14">
        <v>86.04</v>
      </c>
      <c r="U432" s="7">
        <v>12</v>
      </c>
      <c r="V432" s="7">
        <v>22</v>
      </c>
      <c r="W432" s="14">
        <v>120.04</v>
      </c>
      <c r="X432" s="14">
        <v>286.8</v>
      </c>
      <c r="Y432" s="16">
        <v>10</v>
      </c>
      <c r="Z432" s="12">
        <v>516.24</v>
      </c>
      <c r="AA432" s="5">
        <v>276.16000000000003</v>
      </c>
      <c r="AB432" s="18">
        <v>53.49</v>
      </c>
      <c r="AC432" t="s">
        <v>50</v>
      </c>
      <c r="AD432" t="s">
        <v>51</v>
      </c>
      <c r="AE432" t="s">
        <v>96</v>
      </c>
      <c r="AF432">
        <v>3</v>
      </c>
      <c r="AG432" t="s">
        <v>53</v>
      </c>
    </row>
    <row r="433" spans="1:33">
      <c r="A433" t="s">
        <v>1026</v>
      </c>
      <c r="B433" s="10">
        <v>45767</v>
      </c>
      <c r="C433" s="3" t="s">
        <v>339</v>
      </c>
      <c r="D433" t="s">
        <v>89</v>
      </c>
      <c r="E433" t="s">
        <v>280</v>
      </c>
      <c r="F433" t="s">
        <v>131</v>
      </c>
      <c r="G433" t="s">
        <v>132</v>
      </c>
      <c r="H433" t="s">
        <v>142</v>
      </c>
      <c r="I433" t="s">
        <v>143</v>
      </c>
      <c r="J433" t="s">
        <v>144</v>
      </c>
      <c r="K433" t="s">
        <v>145</v>
      </c>
      <c r="L433" t="s">
        <v>1027</v>
      </c>
      <c r="M433" t="s">
        <v>44</v>
      </c>
      <c r="N433" t="s">
        <v>110</v>
      </c>
      <c r="O433" t="s">
        <v>46</v>
      </c>
      <c r="P433" t="s">
        <v>47</v>
      </c>
      <c r="Q433" t="s">
        <v>48</v>
      </c>
      <c r="R433" t="s">
        <v>49</v>
      </c>
      <c r="S433">
        <v>2</v>
      </c>
      <c r="T433" s="14">
        <v>108.78</v>
      </c>
      <c r="U433" s="7">
        <v>12</v>
      </c>
      <c r="V433" s="7">
        <v>22</v>
      </c>
      <c r="W433" s="14">
        <v>142.78</v>
      </c>
      <c r="X433" s="14">
        <v>362.6</v>
      </c>
      <c r="Y433" s="16">
        <v>15</v>
      </c>
      <c r="Z433" s="12">
        <v>616.41999999999996</v>
      </c>
      <c r="AA433" s="5">
        <v>330.86</v>
      </c>
      <c r="AB433" s="18">
        <v>53.67</v>
      </c>
      <c r="AC433" t="s">
        <v>111</v>
      </c>
      <c r="AD433" t="s">
        <v>86</v>
      </c>
      <c r="AE433" t="s">
        <v>96</v>
      </c>
      <c r="AF433">
        <v>5</v>
      </c>
      <c r="AG433" t="s">
        <v>53</v>
      </c>
    </row>
    <row r="434" spans="1:33">
      <c r="A434" t="s">
        <v>1028</v>
      </c>
      <c r="B434" s="10">
        <v>45951</v>
      </c>
      <c r="C434" s="3" t="s">
        <v>70</v>
      </c>
      <c r="D434" t="s">
        <v>156</v>
      </c>
      <c r="E434" t="s">
        <v>36</v>
      </c>
      <c r="F434" t="s">
        <v>37</v>
      </c>
      <c r="G434" t="s">
        <v>38</v>
      </c>
      <c r="H434" t="s">
        <v>39</v>
      </c>
      <c r="I434" t="s">
        <v>2143</v>
      </c>
      <c r="J434" t="s">
        <v>41</v>
      </c>
      <c r="K434" t="s">
        <v>42</v>
      </c>
      <c r="L434" t="s">
        <v>1029</v>
      </c>
      <c r="M434" t="s">
        <v>44</v>
      </c>
      <c r="N434" t="s">
        <v>110</v>
      </c>
      <c r="O434" t="s">
        <v>82</v>
      </c>
      <c r="P434" t="s">
        <v>83</v>
      </c>
      <c r="Q434" t="s">
        <v>66</v>
      </c>
      <c r="R434" t="s">
        <v>84</v>
      </c>
      <c r="S434">
        <v>3</v>
      </c>
      <c r="T434" s="14">
        <v>86.04</v>
      </c>
      <c r="U434" s="7">
        <v>12</v>
      </c>
      <c r="V434" s="7">
        <v>22</v>
      </c>
      <c r="W434" s="14">
        <v>120.04</v>
      </c>
      <c r="X434" s="14">
        <v>286.8</v>
      </c>
      <c r="Y434" s="16">
        <v>5</v>
      </c>
      <c r="Z434" s="12">
        <v>817.38</v>
      </c>
      <c r="AA434" s="5">
        <v>457.26</v>
      </c>
      <c r="AB434" s="18">
        <v>55.94</v>
      </c>
      <c r="AC434" t="s">
        <v>85</v>
      </c>
      <c r="AD434" t="s">
        <v>51</v>
      </c>
      <c r="AE434" t="s">
        <v>126</v>
      </c>
      <c r="AF434">
        <v>4</v>
      </c>
      <c r="AG434" t="s">
        <v>53</v>
      </c>
    </row>
    <row r="435" spans="1:33">
      <c r="A435" t="s">
        <v>1030</v>
      </c>
      <c r="B435" s="10">
        <v>45823</v>
      </c>
      <c r="C435" s="3" t="s">
        <v>55</v>
      </c>
      <c r="D435" t="s">
        <v>89</v>
      </c>
      <c r="E435" t="s">
        <v>174</v>
      </c>
      <c r="F435" t="s">
        <v>131</v>
      </c>
      <c r="G435" t="s">
        <v>132</v>
      </c>
      <c r="H435" t="s">
        <v>39</v>
      </c>
      <c r="I435" t="s">
        <v>2143</v>
      </c>
      <c r="J435" t="s">
        <v>41</v>
      </c>
      <c r="K435" t="s">
        <v>42</v>
      </c>
      <c r="L435" t="s">
        <v>1031</v>
      </c>
      <c r="M435" t="s">
        <v>44</v>
      </c>
      <c r="N435" t="s">
        <v>110</v>
      </c>
      <c r="O435" t="s">
        <v>452</v>
      </c>
      <c r="P435" t="s">
        <v>453</v>
      </c>
      <c r="Q435" t="s">
        <v>215</v>
      </c>
      <c r="R435" t="s">
        <v>84</v>
      </c>
      <c r="S435">
        <v>3</v>
      </c>
      <c r="T435" s="14">
        <v>118.44</v>
      </c>
      <c r="U435" s="7">
        <v>12</v>
      </c>
      <c r="V435" s="7">
        <v>22</v>
      </c>
      <c r="W435" s="14">
        <v>152.44</v>
      </c>
      <c r="X435" s="14">
        <v>394.8</v>
      </c>
      <c r="Y435" s="16">
        <v>10</v>
      </c>
      <c r="Z435" s="12">
        <v>1065.96</v>
      </c>
      <c r="AA435" s="5">
        <v>608.64</v>
      </c>
      <c r="AB435" s="18">
        <v>57.1</v>
      </c>
      <c r="AC435" t="s">
        <v>111</v>
      </c>
      <c r="AD435" t="s">
        <v>51</v>
      </c>
      <c r="AE435" t="s">
        <v>105</v>
      </c>
      <c r="AF435">
        <v>3</v>
      </c>
      <c r="AG435" t="s">
        <v>53</v>
      </c>
    </row>
    <row r="436" spans="1:33">
      <c r="A436" t="s">
        <v>1032</v>
      </c>
      <c r="B436" s="10">
        <v>45794</v>
      </c>
      <c r="C436" s="3" t="s">
        <v>219</v>
      </c>
      <c r="D436" t="s">
        <v>71</v>
      </c>
      <c r="E436" t="s">
        <v>130</v>
      </c>
      <c r="F436" t="s">
        <v>131</v>
      </c>
      <c r="G436" t="s">
        <v>132</v>
      </c>
      <c r="H436" t="s">
        <v>58</v>
      </c>
      <c r="I436" t="s">
        <v>59</v>
      </c>
      <c r="J436" t="s">
        <v>60</v>
      </c>
      <c r="K436" t="s">
        <v>61</v>
      </c>
      <c r="L436" t="s">
        <v>1033</v>
      </c>
      <c r="M436" t="s">
        <v>80</v>
      </c>
      <c r="N436" t="s">
        <v>81</v>
      </c>
      <c r="O436" t="s">
        <v>213</v>
      </c>
      <c r="P436" t="s">
        <v>214</v>
      </c>
      <c r="Q436" t="s">
        <v>215</v>
      </c>
      <c r="R436" t="s">
        <v>49</v>
      </c>
      <c r="S436">
        <v>4</v>
      </c>
      <c r="T436" s="14">
        <v>125.58</v>
      </c>
      <c r="U436" s="7">
        <v>12</v>
      </c>
      <c r="V436" s="7">
        <v>22</v>
      </c>
      <c r="W436" s="14">
        <v>159.58000000000001</v>
      </c>
      <c r="X436" s="14">
        <v>418.6</v>
      </c>
      <c r="Y436" s="16">
        <v>10</v>
      </c>
      <c r="Z436" s="12">
        <v>1506.96</v>
      </c>
      <c r="AA436" s="5">
        <v>868.64</v>
      </c>
      <c r="AB436" s="18">
        <v>57.64</v>
      </c>
      <c r="AC436" t="s">
        <v>85</v>
      </c>
      <c r="AD436" t="s">
        <v>51</v>
      </c>
      <c r="AE436" t="s">
        <v>126</v>
      </c>
      <c r="AF436">
        <v>5</v>
      </c>
      <c r="AG436" t="s">
        <v>53</v>
      </c>
    </row>
    <row r="437" spans="1:33">
      <c r="A437" t="s">
        <v>1034</v>
      </c>
      <c r="B437" s="10">
        <v>45899</v>
      </c>
      <c r="C437" s="3" t="s">
        <v>390</v>
      </c>
      <c r="D437" t="s">
        <v>71</v>
      </c>
      <c r="E437" t="s">
        <v>99</v>
      </c>
      <c r="F437" t="s">
        <v>73</v>
      </c>
      <c r="G437" t="s">
        <v>74</v>
      </c>
      <c r="H437" t="s">
        <v>133</v>
      </c>
      <c r="I437" t="s">
        <v>134</v>
      </c>
      <c r="J437" t="s">
        <v>135</v>
      </c>
      <c r="K437" t="s">
        <v>42</v>
      </c>
      <c r="L437" t="s">
        <v>1035</v>
      </c>
      <c r="M437" t="s">
        <v>63</v>
      </c>
      <c r="N437" t="s">
        <v>81</v>
      </c>
      <c r="O437" t="s">
        <v>213</v>
      </c>
      <c r="P437" t="s">
        <v>214</v>
      </c>
      <c r="Q437" t="s">
        <v>215</v>
      </c>
      <c r="R437" t="s">
        <v>67</v>
      </c>
      <c r="S437">
        <v>2</v>
      </c>
      <c r="T437" s="14">
        <v>89.7</v>
      </c>
      <c r="U437" s="7">
        <v>12</v>
      </c>
      <c r="V437" s="7">
        <v>22</v>
      </c>
      <c r="W437" s="14">
        <v>123.7</v>
      </c>
      <c r="X437" s="14">
        <v>299</v>
      </c>
      <c r="Y437" s="16">
        <v>15</v>
      </c>
      <c r="Z437" s="12">
        <v>508.3</v>
      </c>
      <c r="AA437" s="5">
        <v>260.89999999999998</v>
      </c>
      <c r="AB437" s="18">
        <v>51.33</v>
      </c>
      <c r="AC437" t="s">
        <v>104</v>
      </c>
      <c r="AD437" t="s">
        <v>158</v>
      </c>
      <c r="AE437" t="s">
        <v>68</v>
      </c>
      <c r="AF437">
        <v>5</v>
      </c>
      <c r="AG437" t="s">
        <v>53</v>
      </c>
    </row>
    <row r="438" spans="1:33">
      <c r="A438" t="s">
        <v>1036</v>
      </c>
      <c r="B438" s="10">
        <v>45899</v>
      </c>
      <c r="C438" s="3" t="s">
        <v>70</v>
      </c>
      <c r="D438" t="s">
        <v>71</v>
      </c>
      <c r="E438" t="s">
        <v>99</v>
      </c>
      <c r="F438" t="s">
        <v>73</v>
      </c>
      <c r="G438" t="s">
        <v>74</v>
      </c>
      <c r="H438" t="s">
        <v>58</v>
      </c>
      <c r="I438" t="s">
        <v>59</v>
      </c>
      <c r="J438" t="s">
        <v>60</v>
      </c>
      <c r="K438" t="s">
        <v>61</v>
      </c>
      <c r="L438" t="s">
        <v>1037</v>
      </c>
      <c r="M438" t="s">
        <v>63</v>
      </c>
      <c r="N438" t="s">
        <v>110</v>
      </c>
      <c r="O438" t="s">
        <v>213</v>
      </c>
      <c r="P438" t="s">
        <v>214</v>
      </c>
      <c r="Q438" t="s">
        <v>215</v>
      </c>
      <c r="R438" t="s">
        <v>84</v>
      </c>
      <c r="S438">
        <v>1</v>
      </c>
      <c r="T438" s="14">
        <v>107.64</v>
      </c>
      <c r="U438" s="7">
        <v>12</v>
      </c>
      <c r="V438" s="7">
        <v>22</v>
      </c>
      <c r="W438" s="14">
        <v>141.63999999999999</v>
      </c>
      <c r="X438" s="14">
        <v>358.8</v>
      </c>
      <c r="Y438" s="16">
        <v>15</v>
      </c>
      <c r="Z438" s="12">
        <v>304.98</v>
      </c>
      <c r="AA438" s="5">
        <v>163.34</v>
      </c>
      <c r="AB438" s="18">
        <v>53.56</v>
      </c>
      <c r="AC438" t="s">
        <v>104</v>
      </c>
      <c r="AD438" t="s">
        <v>86</v>
      </c>
      <c r="AE438" t="s">
        <v>52</v>
      </c>
      <c r="AF438">
        <v>5</v>
      </c>
      <c r="AG438" t="s">
        <v>53</v>
      </c>
    </row>
    <row r="439" spans="1:33">
      <c r="A439" t="s">
        <v>1038</v>
      </c>
      <c r="B439" s="10">
        <v>45902</v>
      </c>
      <c r="C439" s="3" t="s">
        <v>113</v>
      </c>
      <c r="D439" t="s">
        <v>156</v>
      </c>
      <c r="E439" t="s">
        <v>72</v>
      </c>
      <c r="F439" t="s">
        <v>73</v>
      </c>
      <c r="G439" t="s">
        <v>74</v>
      </c>
      <c r="H439" t="s">
        <v>133</v>
      </c>
      <c r="I439" t="s">
        <v>134</v>
      </c>
      <c r="J439" t="s">
        <v>135</v>
      </c>
      <c r="K439" t="s">
        <v>42</v>
      </c>
      <c r="L439" t="s">
        <v>1039</v>
      </c>
      <c r="M439" t="s">
        <v>63</v>
      </c>
      <c r="N439" t="s">
        <v>110</v>
      </c>
      <c r="O439" t="s">
        <v>82</v>
      </c>
      <c r="P439" t="s">
        <v>83</v>
      </c>
      <c r="Q439" t="s">
        <v>66</v>
      </c>
      <c r="R439" t="s">
        <v>67</v>
      </c>
      <c r="S439">
        <v>2</v>
      </c>
      <c r="T439" s="14">
        <v>71.7</v>
      </c>
      <c r="U439" s="7">
        <v>12</v>
      </c>
      <c r="V439" s="7">
        <v>22</v>
      </c>
      <c r="W439" s="14">
        <v>105.7</v>
      </c>
      <c r="X439" s="14">
        <v>239</v>
      </c>
      <c r="Y439" s="16">
        <v>0</v>
      </c>
      <c r="Z439" s="12">
        <v>478</v>
      </c>
      <c r="AA439" s="5">
        <v>266.60000000000002</v>
      </c>
      <c r="AB439" s="18">
        <v>55.77</v>
      </c>
      <c r="AC439" t="s">
        <v>2145</v>
      </c>
      <c r="AD439" t="s">
        <v>158</v>
      </c>
      <c r="AE439" t="s">
        <v>52</v>
      </c>
      <c r="AF439">
        <v>5</v>
      </c>
      <c r="AG439" t="s">
        <v>53</v>
      </c>
    </row>
    <row r="440" spans="1:33">
      <c r="A440" t="s">
        <v>1040</v>
      </c>
      <c r="B440" s="10">
        <v>45896</v>
      </c>
      <c r="C440" s="3" t="s">
        <v>185</v>
      </c>
      <c r="D440" t="s">
        <v>129</v>
      </c>
      <c r="E440" t="s">
        <v>99</v>
      </c>
      <c r="F440" t="s">
        <v>73</v>
      </c>
      <c r="G440" t="s">
        <v>74</v>
      </c>
      <c r="H440" t="s">
        <v>39</v>
      </c>
      <c r="I440" t="s">
        <v>2143</v>
      </c>
      <c r="J440" t="s">
        <v>41</v>
      </c>
      <c r="K440" t="s">
        <v>42</v>
      </c>
      <c r="L440" t="s">
        <v>1041</v>
      </c>
      <c r="M440" t="s">
        <v>63</v>
      </c>
      <c r="N440" t="s">
        <v>45</v>
      </c>
      <c r="O440" t="s">
        <v>64</v>
      </c>
      <c r="P440" t="s">
        <v>65</v>
      </c>
      <c r="Q440" t="s">
        <v>66</v>
      </c>
      <c r="R440" t="s">
        <v>49</v>
      </c>
      <c r="S440">
        <v>1</v>
      </c>
      <c r="T440" s="14">
        <v>62.58</v>
      </c>
      <c r="U440" s="7">
        <v>12</v>
      </c>
      <c r="V440" s="7">
        <v>22</v>
      </c>
      <c r="W440" s="14">
        <v>96.58</v>
      </c>
      <c r="X440" s="14">
        <v>208.6</v>
      </c>
      <c r="Y440" s="16">
        <v>5</v>
      </c>
      <c r="Z440" s="12">
        <v>198.17</v>
      </c>
      <c r="AA440" s="5">
        <v>101.59</v>
      </c>
      <c r="AB440" s="18">
        <v>51.26</v>
      </c>
      <c r="AC440" t="s">
        <v>85</v>
      </c>
      <c r="AD440" t="s">
        <v>51</v>
      </c>
      <c r="AE440" t="s">
        <v>52</v>
      </c>
      <c r="AF440">
        <v>5</v>
      </c>
      <c r="AG440" t="s">
        <v>53</v>
      </c>
    </row>
    <row r="441" spans="1:33">
      <c r="A441" t="s">
        <v>1042</v>
      </c>
      <c r="B441" s="10">
        <v>45852</v>
      </c>
      <c r="C441" s="3" t="s">
        <v>219</v>
      </c>
      <c r="D441" t="s">
        <v>206</v>
      </c>
      <c r="E441" t="s">
        <v>114</v>
      </c>
      <c r="F441" t="s">
        <v>73</v>
      </c>
      <c r="G441" t="s">
        <v>74</v>
      </c>
      <c r="H441" t="s">
        <v>58</v>
      </c>
      <c r="I441" t="s">
        <v>59</v>
      </c>
      <c r="J441" t="s">
        <v>60</v>
      </c>
      <c r="K441" t="s">
        <v>61</v>
      </c>
      <c r="L441" t="s">
        <v>1043</v>
      </c>
      <c r="M441" t="s">
        <v>63</v>
      </c>
      <c r="N441" t="s">
        <v>81</v>
      </c>
      <c r="O441" t="s">
        <v>101</v>
      </c>
      <c r="P441" t="s">
        <v>102</v>
      </c>
      <c r="Q441" t="s">
        <v>103</v>
      </c>
      <c r="R441" t="s">
        <v>49</v>
      </c>
      <c r="S441">
        <v>3</v>
      </c>
      <c r="T441" s="14">
        <v>62.58</v>
      </c>
      <c r="U441" s="7">
        <v>12</v>
      </c>
      <c r="V441" s="7">
        <v>22</v>
      </c>
      <c r="W441" s="14">
        <v>96.58</v>
      </c>
      <c r="X441" s="14">
        <v>208.6</v>
      </c>
      <c r="Y441" s="16">
        <v>10</v>
      </c>
      <c r="Z441" s="12">
        <v>563.22</v>
      </c>
      <c r="AA441" s="5">
        <v>273.48</v>
      </c>
      <c r="AB441" s="18">
        <v>48.56</v>
      </c>
      <c r="AC441" t="s">
        <v>50</v>
      </c>
      <c r="AD441" t="s">
        <v>51</v>
      </c>
      <c r="AE441" t="s">
        <v>96</v>
      </c>
      <c r="AF441">
        <v>5</v>
      </c>
      <c r="AG441" t="s">
        <v>53</v>
      </c>
    </row>
    <row r="442" spans="1:33">
      <c r="A442" t="s">
        <v>1044</v>
      </c>
      <c r="B442" s="10">
        <v>45904</v>
      </c>
      <c r="C442" s="3" t="s">
        <v>70</v>
      </c>
      <c r="D442" t="s">
        <v>56</v>
      </c>
      <c r="E442" t="s">
        <v>72</v>
      </c>
      <c r="F442" t="s">
        <v>73</v>
      </c>
      <c r="G442" t="s">
        <v>74</v>
      </c>
      <c r="H442" t="s">
        <v>75</v>
      </c>
      <c r="I442" t="s">
        <v>76</v>
      </c>
      <c r="J442" t="s">
        <v>77</v>
      </c>
      <c r="K442" t="s">
        <v>78</v>
      </c>
      <c r="L442" t="s">
        <v>1045</v>
      </c>
      <c r="M442" t="s">
        <v>80</v>
      </c>
      <c r="N442" t="s">
        <v>45</v>
      </c>
      <c r="O442" t="s">
        <v>176</v>
      </c>
      <c r="P442" t="s">
        <v>177</v>
      </c>
      <c r="Q442" t="s">
        <v>66</v>
      </c>
      <c r="R442" t="s">
        <v>84</v>
      </c>
      <c r="S442">
        <v>2</v>
      </c>
      <c r="T442" s="14">
        <v>60.84</v>
      </c>
      <c r="U442" s="7">
        <v>12</v>
      </c>
      <c r="V442" s="7">
        <v>22</v>
      </c>
      <c r="W442" s="14">
        <v>94.84</v>
      </c>
      <c r="X442" s="14">
        <v>202.8</v>
      </c>
      <c r="Y442" s="16">
        <v>10</v>
      </c>
      <c r="Z442" s="12">
        <v>365.04</v>
      </c>
      <c r="AA442" s="5">
        <v>175.36</v>
      </c>
      <c r="AB442" s="18">
        <v>48.04</v>
      </c>
      <c r="AC442" t="s">
        <v>111</v>
      </c>
      <c r="AD442" t="s">
        <v>86</v>
      </c>
      <c r="AE442" t="s">
        <v>126</v>
      </c>
      <c r="AF442">
        <v>5</v>
      </c>
      <c r="AG442" t="s">
        <v>53</v>
      </c>
    </row>
    <row r="443" spans="1:33">
      <c r="A443" t="s">
        <v>1046</v>
      </c>
      <c r="B443" s="10">
        <v>45840</v>
      </c>
      <c r="C443" s="3" t="s">
        <v>113</v>
      </c>
      <c r="D443" t="s">
        <v>129</v>
      </c>
      <c r="E443" t="s">
        <v>114</v>
      </c>
      <c r="F443" t="s">
        <v>73</v>
      </c>
      <c r="G443" t="s">
        <v>74</v>
      </c>
      <c r="H443" t="s">
        <v>58</v>
      </c>
      <c r="I443" t="s">
        <v>59</v>
      </c>
      <c r="J443" t="s">
        <v>60</v>
      </c>
      <c r="K443" t="s">
        <v>61</v>
      </c>
      <c r="L443" t="s">
        <v>1047</v>
      </c>
      <c r="M443" t="s">
        <v>44</v>
      </c>
      <c r="N443" t="s">
        <v>81</v>
      </c>
      <c r="O443" t="s">
        <v>64</v>
      </c>
      <c r="P443" t="s">
        <v>65</v>
      </c>
      <c r="Q443" t="s">
        <v>66</v>
      </c>
      <c r="R443" t="s">
        <v>67</v>
      </c>
      <c r="S443">
        <v>1</v>
      </c>
      <c r="T443" s="14">
        <v>44.7</v>
      </c>
      <c r="U443" s="7">
        <v>12</v>
      </c>
      <c r="V443" s="7">
        <v>22</v>
      </c>
      <c r="W443" s="14">
        <v>78.7</v>
      </c>
      <c r="X443" s="14">
        <v>149</v>
      </c>
      <c r="Y443" s="16">
        <v>0</v>
      </c>
      <c r="Z443" s="12">
        <v>149</v>
      </c>
      <c r="AA443" s="5">
        <v>70.3</v>
      </c>
      <c r="AB443" s="18">
        <v>47.18</v>
      </c>
      <c r="AC443" t="s">
        <v>104</v>
      </c>
      <c r="AD443" t="s">
        <v>51</v>
      </c>
      <c r="AE443" t="s">
        <v>52</v>
      </c>
      <c r="AF443">
        <v>5</v>
      </c>
      <c r="AG443" t="s">
        <v>53</v>
      </c>
    </row>
    <row r="444" spans="1:33">
      <c r="A444" t="s">
        <v>1048</v>
      </c>
      <c r="B444" s="10">
        <v>45891</v>
      </c>
      <c r="C444" s="3" t="s">
        <v>113</v>
      </c>
      <c r="D444" t="s">
        <v>35</v>
      </c>
      <c r="E444" t="s">
        <v>99</v>
      </c>
      <c r="F444" t="s">
        <v>73</v>
      </c>
      <c r="G444" t="s">
        <v>74</v>
      </c>
      <c r="H444" t="s">
        <v>133</v>
      </c>
      <c r="I444" t="s">
        <v>134</v>
      </c>
      <c r="J444" t="s">
        <v>135</v>
      </c>
      <c r="K444" t="s">
        <v>42</v>
      </c>
      <c r="L444" t="s">
        <v>1049</v>
      </c>
      <c r="M444" t="s">
        <v>80</v>
      </c>
      <c r="N444" t="s">
        <v>45</v>
      </c>
      <c r="O444" t="s">
        <v>64</v>
      </c>
      <c r="P444" t="s">
        <v>65</v>
      </c>
      <c r="Q444" t="s">
        <v>66</v>
      </c>
      <c r="R444" t="s">
        <v>67</v>
      </c>
      <c r="S444">
        <v>2</v>
      </c>
      <c r="T444" s="14">
        <v>44.7</v>
      </c>
      <c r="U444" s="7">
        <v>12</v>
      </c>
      <c r="V444" s="7">
        <v>22</v>
      </c>
      <c r="W444" s="14">
        <v>78.7</v>
      </c>
      <c r="X444" s="14">
        <v>149</v>
      </c>
      <c r="Y444" s="16">
        <v>5</v>
      </c>
      <c r="Z444" s="12">
        <v>283.10000000000002</v>
      </c>
      <c r="AA444" s="5">
        <v>125.7</v>
      </c>
      <c r="AB444" s="18">
        <v>44.4</v>
      </c>
      <c r="AC444" t="s">
        <v>111</v>
      </c>
      <c r="AD444" t="s">
        <v>158</v>
      </c>
      <c r="AE444" t="s">
        <v>105</v>
      </c>
      <c r="AF444">
        <v>5</v>
      </c>
      <c r="AG444" t="s">
        <v>53</v>
      </c>
    </row>
    <row r="445" spans="1:33">
      <c r="A445" t="s">
        <v>1050</v>
      </c>
      <c r="B445" s="10">
        <v>45726</v>
      </c>
      <c r="C445" s="3" t="s">
        <v>390</v>
      </c>
      <c r="D445" t="s">
        <v>206</v>
      </c>
      <c r="E445" t="s">
        <v>108</v>
      </c>
      <c r="F445" t="s">
        <v>91</v>
      </c>
      <c r="G445" t="s">
        <v>38</v>
      </c>
      <c r="H445" t="s">
        <v>142</v>
      </c>
      <c r="I445" t="s">
        <v>143</v>
      </c>
      <c r="J445" t="s">
        <v>144</v>
      </c>
      <c r="K445" t="s">
        <v>145</v>
      </c>
      <c r="L445" t="s">
        <v>1051</v>
      </c>
      <c r="M445" t="s">
        <v>44</v>
      </c>
      <c r="N445" t="s">
        <v>81</v>
      </c>
      <c r="O445" t="s">
        <v>123</v>
      </c>
      <c r="P445" t="s">
        <v>124</v>
      </c>
      <c r="Q445" t="s">
        <v>125</v>
      </c>
      <c r="R445" t="s">
        <v>84</v>
      </c>
      <c r="S445">
        <v>3</v>
      </c>
      <c r="T445" s="14">
        <v>89.64</v>
      </c>
      <c r="U445" s="7">
        <v>12</v>
      </c>
      <c r="V445" s="7">
        <v>22</v>
      </c>
      <c r="W445" s="14">
        <v>123.64</v>
      </c>
      <c r="X445" s="14">
        <v>298.8</v>
      </c>
      <c r="Y445" s="16">
        <v>5</v>
      </c>
      <c r="Z445" s="12">
        <v>851.58</v>
      </c>
      <c r="AA445" s="5">
        <v>480.66</v>
      </c>
      <c r="AB445" s="18">
        <v>56.44</v>
      </c>
      <c r="AC445" t="s">
        <v>85</v>
      </c>
      <c r="AD445" t="s">
        <v>51</v>
      </c>
      <c r="AE445" t="s">
        <v>96</v>
      </c>
      <c r="AF445">
        <v>5</v>
      </c>
      <c r="AG445" t="s">
        <v>53</v>
      </c>
    </row>
    <row r="446" spans="1:33">
      <c r="A446" t="s">
        <v>1052</v>
      </c>
      <c r="B446" s="10">
        <v>45750</v>
      </c>
      <c r="C446" s="3" t="s">
        <v>390</v>
      </c>
      <c r="D446" t="s">
        <v>56</v>
      </c>
      <c r="E446" t="s">
        <v>280</v>
      </c>
      <c r="F446" t="s">
        <v>131</v>
      </c>
      <c r="G446" t="s">
        <v>132</v>
      </c>
      <c r="H446" t="s">
        <v>75</v>
      </c>
      <c r="I446" t="s">
        <v>76</v>
      </c>
      <c r="J446" t="s">
        <v>77</v>
      </c>
      <c r="K446" t="s">
        <v>78</v>
      </c>
      <c r="L446" t="s">
        <v>1053</v>
      </c>
      <c r="M446" t="s">
        <v>63</v>
      </c>
      <c r="N446" t="s">
        <v>81</v>
      </c>
      <c r="O446" t="s">
        <v>123</v>
      </c>
      <c r="P446" t="s">
        <v>124</v>
      </c>
      <c r="Q446" t="s">
        <v>125</v>
      </c>
      <c r="R446" t="s">
        <v>67</v>
      </c>
      <c r="S446">
        <v>2</v>
      </c>
      <c r="T446" s="14">
        <v>74.7</v>
      </c>
      <c r="U446" s="7">
        <v>12</v>
      </c>
      <c r="V446" s="7">
        <v>22</v>
      </c>
      <c r="W446" s="14">
        <v>108.7</v>
      </c>
      <c r="X446" s="14">
        <v>249</v>
      </c>
      <c r="Y446" s="16">
        <v>0</v>
      </c>
      <c r="Z446" s="12">
        <v>498</v>
      </c>
      <c r="AA446" s="5">
        <v>280.60000000000002</v>
      </c>
      <c r="AB446" s="18">
        <v>56.35</v>
      </c>
      <c r="AC446" t="s">
        <v>104</v>
      </c>
      <c r="AD446" t="s">
        <v>51</v>
      </c>
      <c r="AE446" t="s">
        <v>126</v>
      </c>
      <c r="AF446">
        <v>5</v>
      </c>
      <c r="AG446" t="s">
        <v>53</v>
      </c>
    </row>
    <row r="447" spans="1:33">
      <c r="A447" t="s">
        <v>1054</v>
      </c>
      <c r="B447" s="10">
        <v>45820</v>
      </c>
      <c r="C447" s="3" t="s">
        <v>141</v>
      </c>
      <c r="D447" t="s">
        <v>56</v>
      </c>
      <c r="E447" t="s">
        <v>174</v>
      </c>
      <c r="F447" t="s">
        <v>131</v>
      </c>
      <c r="G447" t="s">
        <v>132</v>
      </c>
      <c r="H447" t="s">
        <v>142</v>
      </c>
      <c r="I447" t="s">
        <v>143</v>
      </c>
      <c r="J447" t="s">
        <v>144</v>
      </c>
      <c r="K447" t="s">
        <v>145</v>
      </c>
      <c r="L447" t="s">
        <v>1055</v>
      </c>
      <c r="M447" t="s">
        <v>80</v>
      </c>
      <c r="N447" t="s">
        <v>110</v>
      </c>
      <c r="O447" t="s">
        <v>189</v>
      </c>
      <c r="P447" t="s">
        <v>190</v>
      </c>
      <c r="Q447" t="s">
        <v>48</v>
      </c>
      <c r="R447" t="s">
        <v>84</v>
      </c>
      <c r="S447">
        <v>1</v>
      </c>
      <c r="T447" s="14">
        <v>57.24</v>
      </c>
      <c r="U447" s="7">
        <v>12</v>
      </c>
      <c r="V447" s="7">
        <v>22</v>
      </c>
      <c r="W447" s="14">
        <v>91.240000000000009</v>
      </c>
      <c r="X447" s="14">
        <v>190.8</v>
      </c>
      <c r="Y447" s="16">
        <v>5</v>
      </c>
      <c r="Z447" s="12">
        <v>181.26</v>
      </c>
      <c r="AA447" s="5">
        <v>90.02</v>
      </c>
      <c r="AB447" s="18">
        <v>49.66</v>
      </c>
      <c r="AC447" t="s">
        <v>85</v>
      </c>
      <c r="AD447" t="s">
        <v>158</v>
      </c>
      <c r="AE447" t="s">
        <v>96</v>
      </c>
      <c r="AF447">
        <v>5</v>
      </c>
      <c r="AG447" t="s">
        <v>53</v>
      </c>
    </row>
    <row r="448" spans="1:33">
      <c r="A448" t="s">
        <v>1056</v>
      </c>
      <c r="B448" s="10">
        <v>45951</v>
      </c>
      <c r="C448" s="3" t="s">
        <v>171</v>
      </c>
      <c r="D448" t="s">
        <v>156</v>
      </c>
      <c r="E448" t="s">
        <v>36</v>
      </c>
      <c r="F448" t="s">
        <v>37</v>
      </c>
      <c r="G448" t="s">
        <v>38</v>
      </c>
      <c r="H448" t="s">
        <v>115</v>
      </c>
      <c r="I448" t="s">
        <v>116</v>
      </c>
      <c r="J448" t="s">
        <v>117</v>
      </c>
      <c r="K448" t="s">
        <v>61</v>
      </c>
      <c r="L448" t="s">
        <v>1057</v>
      </c>
      <c r="M448" t="s">
        <v>44</v>
      </c>
      <c r="N448" t="s">
        <v>45</v>
      </c>
      <c r="O448" t="s">
        <v>101</v>
      </c>
      <c r="P448" t="s">
        <v>102</v>
      </c>
      <c r="Q448" t="s">
        <v>103</v>
      </c>
      <c r="R448" t="s">
        <v>49</v>
      </c>
      <c r="S448">
        <v>3</v>
      </c>
      <c r="T448" s="14">
        <v>62.58</v>
      </c>
      <c r="U448" s="7">
        <v>12</v>
      </c>
      <c r="V448" s="7">
        <v>22</v>
      </c>
      <c r="W448" s="14">
        <v>96.58</v>
      </c>
      <c r="X448" s="14">
        <v>208.6</v>
      </c>
      <c r="Y448" s="16">
        <v>0</v>
      </c>
      <c r="Z448" s="12">
        <v>625.79999999999995</v>
      </c>
      <c r="AA448" s="5">
        <v>336.06</v>
      </c>
      <c r="AB448" s="18">
        <v>53.7</v>
      </c>
      <c r="AC448" t="s">
        <v>85</v>
      </c>
      <c r="AD448" t="s">
        <v>86</v>
      </c>
      <c r="AE448" t="s">
        <v>105</v>
      </c>
      <c r="AF448">
        <v>5</v>
      </c>
      <c r="AG448" t="s">
        <v>53</v>
      </c>
    </row>
    <row r="449" spans="1:33">
      <c r="A449" t="s">
        <v>1058</v>
      </c>
      <c r="B449" s="10">
        <v>45778</v>
      </c>
      <c r="C449" s="3" t="s">
        <v>310</v>
      </c>
      <c r="D449" t="s">
        <v>56</v>
      </c>
      <c r="E449" t="s">
        <v>130</v>
      </c>
      <c r="F449" t="s">
        <v>131</v>
      </c>
      <c r="G449" t="s">
        <v>132</v>
      </c>
      <c r="H449" t="s">
        <v>142</v>
      </c>
      <c r="I449" t="s">
        <v>143</v>
      </c>
      <c r="J449" t="s">
        <v>144</v>
      </c>
      <c r="K449" t="s">
        <v>145</v>
      </c>
      <c r="L449" t="s">
        <v>1059</v>
      </c>
      <c r="M449" t="s">
        <v>44</v>
      </c>
      <c r="N449" t="s">
        <v>81</v>
      </c>
      <c r="O449" t="s">
        <v>46</v>
      </c>
      <c r="P449" t="s">
        <v>47</v>
      </c>
      <c r="Q449" t="s">
        <v>48</v>
      </c>
      <c r="R449" t="s">
        <v>84</v>
      </c>
      <c r="S449">
        <v>2</v>
      </c>
      <c r="T449" s="14">
        <v>93.24</v>
      </c>
      <c r="U449" s="7">
        <v>12</v>
      </c>
      <c r="V449" s="7">
        <v>22</v>
      </c>
      <c r="W449" s="14">
        <v>127.24</v>
      </c>
      <c r="X449" s="14">
        <v>310.8</v>
      </c>
      <c r="Y449" s="16">
        <v>5</v>
      </c>
      <c r="Z449" s="12">
        <v>590.52</v>
      </c>
      <c r="AA449" s="5">
        <v>336.04</v>
      </c>
      <c r="AB449" s="18">
        <v>56.91</v>
      </c>
      <c r="AC449" t="s">
        <v>104</v>
      </c>
      <c r="AD449" t="s">
        <v>51</v>
      </c>
      <c r="AE449" t="s">
        <v>105</v>
      </c>
      <c r="AF449">
        <v>4</v>
      </c>
      <c r="AG449" t="s">
        <v>53</v>
      </c>
    </row>
    <row r="450" spans="1:33">
      <c r="A450" t="s">
        <v>1060</v>
      </c>
      <c r="B450" s="10">
        <v>45757</v>
      </c>
      <c r="C450" s="3" t="s">
        <v>98</v>
      </c>
      <c r="D450" t="s">
        <v>56</v>
      </c>
      <c r="E450" t="s">
        <v>280</v>
      </c>
      <c r="F450" t="s">
        <v>131</v>
      </c>
      <c r="G450" t="s">
        <v>132</v>
      </c>
      <c r="H450" t="s">
        <v>58</v>
      </c>
      <c r="I450" t="s">
        <v>59</v>
      </c>
      <c r="J450" t="s">
        <v>60</v>
      </c>
      <c r="K450" t="s">
        <v>61</v>
      </c>
      <c r="L450" t="s">
        <v>1061</v>
      </c>
      <c r="M450" t="s">
        <v>80</v>
      </c>
      <c r="N450" t="s">
        <v>81</v>
      </c>
      <c r="O450" t="s">
        <v>94</v>
      </c>
      <c r="P450" t="s">
        <v>95</v>
      </c>
      <c r="Q450" t="s">
        <v>66</v>
      </c>
      <c r="R450" t="s">
        <v>67</v>
      </c>
      <c r="S450">
        <v>3</v>
      </c>
      <c r="T450" s="14">
        <v>65.7</v>
      </c>
      <c r="U450" s="7">
        <v>12</v>
      </c>
      <c r="V450" s="7">
        <v>22</v>
      </c>
      <c r="W450" s="14">
        <v>99.7</v>
      </c>
      <c r="X450" s="14">
        <v>219</v>
      </c>
      <c r="Y450" s="16">
        <v>10</v>
      </c>
      <c r="Z450" s="12">
        <v>591.29999999999995</v>
      </c>
      <c r="AA450" s="5">
        <v>292.2</v>
      </c>
      <c r="AB450" s="18">
        <v>49.42</v>
      </c>
      <c r="AC450" t="s">
        <v>111</v>
      </c>
      <c r="AD450" t="s">
        <v>158</v>
      </c>
      <c r="AE450" t="s">
        <v>126</v>
      </c>
      <c r="AF450">
        <v>5</v>
      </c>
      <c r="AG450" t="s">
        <v>53</v>
      </c>
    </row>
    <row r="451" spans="1:33">
      <c r="A451" t="s">
        <v>1062</v>
      </c>
      <c r="B451" s="10">
        <v>45874</v>
      </c>
      <c r="C451" s="3" t="s">
        <v>390</v>
      </c>
      <c r="D451" t="s">
        <v>156</v>
      </c>
      <c r="E451" t="s">
        <v>99</v>
      </c>
      <c r="F451" t="s">
        <v>73</v>
      </c>
      <c r="G451" t="s">
        <v>74</v>
      </c>
      <c r="H451" t="s">
        <v>142</v>
      </c>
      <c r="I451" t="s">
        <v>143</v>
      </c>
      <c r="J451" t="s">
        <v>144</v>
      </c>
      <c r="K451" t="s">
        <v>145</v>
      </c>
      <c r="L451" t="s">
        <v>1063</v>
      </c>
      <c r="M451" t="s">
        <v>80</v>
      </c>
      <c r="N451" t="s">
        <v>81</v>
      </c>
      <c r="O451" t="s">
        <v>189</v>
      </c>
      <c r="P451" t="s">
        <v>190</v>
      </c>
      <c r="Q451" t="s">
        <v>48</v>
      </c>
      <c r="R451" t="s">
        <v>84</v>
      </c>
      <c r="S451">
        <v>1</v>
      </c>
      <c r="T451" s="14">
        <v>57.24</v>
      </c>
      <c r="U451" s="7">
        <v>12</v>
      </c>
      <c r="V451" s="7">
        <v>22</v>
      </c>
      <c r="W451" s="14">
        <v>91.240000000000009</v>
      </c>
      <c r="X451" s="14">
        <v>190.8</v>
      </c>
      <c r="Y451" s="16">
        <v>5</v>
      </c>
      <c r="Z451" s="12">
        <v>181.26</v>
      </c>
      <c r="AA451" s="5">
        <v>90.02</v>
      </c>
      <c r="AB451" s="18">
        <v>49.66</v>
      </c>
      <c r="AC451" t="s">
        <v>111</v>
      </c>
      <c r="AD451" t="s">
        <v>51</v>
      </c>
      <c r="AE451" t="s">
        <v>52</v>
      </c>
      <c r="AF451">
        <v>5</v>
      </c>
      <c r="AG451" t="s">
        <v>53</v>
      </c>
    </row>
    <row r="452" spans="1:33">
      <c r="A452" t="s">
        <v>1064</v>
      </c>
      <c r="B452" s="10">
        <v>45704</v>
      </c>
      <c r="C452" s="3" t="s">
        <v>88</v>
      </c>
      <c r="D452" t="s">
        <v>89</v>
      </c>
      <c r="E452" t="s">
        <v>90</v>
      </c>
      <c r="F452" t="s">
        <v>91</v>
      </c>
      <c r="G452" t="s">
        <v>92</v>
      </c>
      <c r="H452" t="s">
        <v>115</v>
      </c>
      <c r="I452" t="s">
        <v>116</v>
      </c>
      <c r="J452" t="s">
        <v>117</v>
      </c>
      <c r="K452" t="s">
        <v>61</v>
      </c>
      <c r="L452" t="s">
        <v>1065</v>
      </c>
      <c r="M452" t="s">
        <v>80</v>
      </c>
      <c r="N452" t="s">
        <v>45</v>
      </c>
      <c r="O452" t="s">
        <v>275</v>
      </c>
      <c r="P452" t="s">
        <v>276</v>
      </c>
      <c r="Q452" t="s">
        <v>125</v>
      </c>
      <c r="R452" t="s">
        <v>67</v>
      </c>
      <c r="S452">
        <v>4</v>
      </c>
      <c r="T452" s="14">
        <v>68.7</v>
      </c>
      <c r="U452" s="7">
        <v>12</v>
      </c>
      <c r="V452" s="7">
        <v>22</v>
      </c>
      <c r="W452" s="14">
        <v>102.7</v>
      </c>
      <c r="X452" s="14">
        <v>229</v>
      </c>
      <c r="Y452" s="16">
        <v>15</v>
      </c>
      <c r="Z452" s="12">
        <v>778.6</v>
      </c>
      <c r="AA452" s="5">
        <v>367.8</v>
      </c>
      <c r="AB452" s="18">
        <v>47.24</v>
      </c>
      <c r="AC452" t="s">
        <v>111</v>
      </c>
      <c r="AD452" t="s">
        <v>86</v>
      </c>
      <c r="AE452" t="s">
        <v>105</v>
      </c>
      <c r="AF452">
        <v>4</v>
      </c>
      <c r="AG452" t="s">
        <v>53</v>
      </c>
    </row>
    <row r="453" spans="1:33">
      <c r="A453" t="s">
        <v>1066</v>
      </c>
      <c r="B453" s="10">
        <v>45829</v>
      </c>
      <c r="C453" s="3" t="s">
        <v>34</v>
      </c>
      <c r="D453" t="s">
        <v>71</v>
      </c>
      <c r="E453" t="s">
        <v>174</v>
      </c>
      <c r="F453" t="s">
        <v>131</v>
      </c>
      <c r="G453" t="s">
        <v>132</v>
      </c>
      <c r="H453" t="s">
        <v>75</v>
      </c>
      <c r="I453" t="s">
        <v>76</v>
      </c>
      <c r="J453" t="s">
        <v>77</v>
      </c>
      <c r="K453" t="s">
        <v>78</v>
      </c>
      <c r="L453" t="s">
        <v>1067</v>
      </c>
      <c r="M453" t="s">
        <v>44</v>
      </c>
      <c r="N453" t="s">
        <v>45</v>
      </c>
      <c r="O453" t="s">
        <v>189</v>
      </c>
      <c r="P453" t="s">
        <v>190</v>
      </c>
      <c r="Q453" t="s">
        <v>48</v>
      </c>
      <c r="R453" t="s">
        <v>84</v>
      </c>
      <c r="S453">
        <v>2</v>
      </c>
      <c r="T453" s="14">
        <v>57.24</v>
      </c>
      <c r="U453" s="7">
        <v>12</v>
      </c>
      <c r="V453" s="7">
        <v>22</v>
      </c>
      <c r="W453" s="14">
        <v>91.240000000000009</v>
      </c>
      <c r="X453" s="14">
        <v>190.8</v>
      </c>
      <c r="Y453" s="16">
        <v>10</v>
      </c>
      <c r="Z453" s="12">
        <v>343.44</v>
      </c>
      <c r="AA453" s="5">
        <v>160.96</v>
      </c>
      <c r="AB453" s="18">
        <v>46.87</v>
      </c>
      <c r="AC453" t="s">
        <v>85</v>
      </c>
      <c r="AD453" t="s">
        <v>51</v>
      </c>
      <c r="AE453" t="s">
        <v>126</v>
      </c>
      <c r="AF453">
        <v>3</v>
      </c>
      <c r="AG453" t="s">
        <v>53</v>
      </c>
    </row>
    <row r="454" spans="1:33">
      <c r="A454" t="s">
        <v>1068</v>
      </c>
      <c r="B454" s="10">
        <v>45667</v>
      </c>
      <c r="C454" s="3" t="s">
        <v>107</v>
      </c>
      <c r="D454" t="s">
        <v>35</v>
      </c>
      <c r="E454" t="s">
        <v>152</v>
      </c>
      <c r="F454" t="s">
        <v>91</v>
      </c>
      <c r="G454" t="s">
        <v>92</v>
      </c>
      <c r="H454" t="s">
        <v>142</v>
      </c>
      <c r="I454" t="s">
        <v>143</v>
      </c>
      <c r="J454" t="s">
        <v>144</v>
      </c>
      <c r="K454" t="s">
        <v>145</v>
      </c>
      <c r="L454" t="s">
        <v>1069</v>
      </c>
      <c r="M454" t="s">
        <v>63</v>
      </c>
      <c r="N454" t="s">
        <v>81</v>
      </c>
      <c r="O454" t="s">
        <v>168</v>
      </c>
      <c r="P454" t="s">
        <v>169</v>
      </c>
      <c r="Q454" t="s">
        <v>139</v>
      </c>
      <c r="R454" t="s">
        <v>84</v>
      </c>
      <c r="S454">
        <v>3</v>
      </c>
      <c r="T454" s="14">
        <v>57.24</v>
      </c>
      <c r="U454" s="7">
        <v>12</v>
      </c>
      <c r="V454" s="7">
        <v>22</v>
      </c>
      <c r="W454" s="14">
        <v>91.240000000000009</v>
      </c>
      <c r="X454" s="14">
        <v>190.8</v>
      </c>
      <c r="Y454" s="16">
        <v>0</v>
      </c>
      <c r="Z454" s="12">
        <v>572.4</v>
      </c>
      <c r="AA454" s="5">
        <v>298.68</v>
      </c>
      <c r="AB454" s="18">
        <v>52.18</v>
      </c>
      <c r="AC454" t="s">
        <v>104</v>
      </c>
      <c r="AD454" t="s">
        <v>86</v>
      </c>
      <c r="AE454" t="s">
        <v>52</v>
      </c>
      <c r="AF454">
        <v>5</v>
      </c>
      <c r="AG454" t="s">
        <v>53</v>
      </c>
    </row>
    <row r="455" spans="1:33">
      <c r="A455" t="s">
        <v>1070</v>
      </c>
      <c r="B455" s="10">
        <v>45831</v>
      </c>
      <c r="C455" s="3" t="s">
        <v>171</v>
      </c>
      <c r="D455" t="s">
        <v>206</v>
      </c>
      <c r="E455" t="s">
        <v>174</v>
      </c>
      <c r="F455" t="s">
        <v>131</v>
      </c>
      <c r="G455" t="s">
        <v>132</v>
      </c>
      <c r="H455" t="s">
        <v>115</v>
      </c>
      <c r="I455" t="s">
        <v>116</v>
      </c>
      <c r="J455" t="s">
        <v>117</v>
      </c>
      <c r="K455" t="s">
        <v>61</v>
      </c>
      <c r="L455" t="s">
        <v>1071</v>
      </c>
      <c r="M455" t="s">
        <v>44</v>
      </c>
      <c r="N455" t="s">
        <v>110</v>
      </c>
      <c r="O455" t="s">
        <v>46</v>
      </c>
      <c r="P455" t="s">
        <v>47</v>
      </c>
      <c r="Q455" t="s">
        <v>48</v>
      </c>
      <c r="R455" t="s">
        <v>67</v>
      </c>
      <c r="S455">
        <v>2</v>
      </c>
      <c r="T455" s="14">
        <v>77.7</v>
      </c>
      <c r="U455" s="7">
        <v>12</v>
      </c>
      <c r="V455" s="7">
        <v>22</v>
      </c>
      <c r="W455" s="14">
        <v>111.7</v>
      </c>
      <c r="X455" s="14">
        <v>259</v>
      </c>
      <c r="Y455" s="16">
        <v>10</v>
      </c>
      <c r="Z455" s="12">
        <v>466.2</v>
      </c>
      <c r="AA455" s="5">
        <v>242.8</v>
      </c>
      <c r="AB455" s="18">
        <v>52.08</v>
      </c>
      <c r="AC455" t="s">
        <v>104</v>
      </c>
      <c r="AD455" t="s">
        <v>86</v>
      </c>
      <c r="AE455" t="s">
        <v>105</v>
      </c>
      <c r="AF455">
        <v>5</v>
      </c>
      <c r="AG455" t="s">
        <v>53</v>
      </c>
    </row>
    <row r="456" spans="1:33">
      <c r="A456" t="s">
        <v>1072</v>
      </c>
      <c r="B456" s="10">
        <v>45948</v>
      </c>
      <c r="C456" s="3" t="s">
        <v>185</v>
      </c>
      <c r="D456" t="s">
        <v>71</v>
      </c>
      <c r="E456" t="s">
        <v>36</v>
      </c>
      <c r="F456" t="s">
        <v>37</v>
      </c>
      <c r="G456" t="s">
        <v>38</v>
      </c>
      <c r="H456" t="s">
        <v>115</v>
      </c>
      <c r="I456" t="s">
        <v>116</v>
      </c>
      <c r="J456" t="s">
        <v>117</v>
      </c>
      <c r="K456" t="s">
        <v>61</v>
      </c>
      <c r="L456" t="s">
        <v>1073</v>
      </c>
      <c r="M456" t="s">
        <v>80</v>
      </c>
      <c r="N456" t="s">
        <v>110</v>
      </c>
      <c r="O456" t="s">
        <v>101</v>
      </c>
      <c r="P456" t="s">
        <v>102</v>
      </c>
      <c r="Q456" t="s">
        <v>103</v>
      </c>
      <c r="R456" t="s">
        <v>67</v>
      </c>
      <c r="S456">
        <v>3</v>
      </c>
      <c r="T456" s="14">
        <v>44.7</v>
      </c>
      <c r="U456" s="7">
        <v>12</v>
      </c>
      <c r="V456" s="7">
        <v>22</v>
      </c>
      <c r="W456" s="14">
        <v>78.7</v>
      </c>
      <c r="X456" s="14">
        <v>149</v>
      </c>
      <c r="Y456" s="16">
        <v>15</v>
      </c>
      <c r="Z456" s="12">
        <v>379.95</v>
      </c>
      <c r="AA456" s="5">
        <v>143.85</v>
      </c>
      <c r="AB456" s="18">
        <v>37.86</v>
      </c>
      <c r="AC456" t="s">
        <v>104</v>
      </c>
      <c r="AD456" t="s">
        <v>51</v>
      </c>
      <c r="AE456" t="s">
        <v>96</v>
      </c>
      <c r="AF456">
        <v>4</v>
      </c>
      <c r="AG456" t="s">
        <v>53</v>
      </c>
    </row>
    <row r="457" spans="1:33">
      <c r="A457" t="s">
        <v>1074</v>
      </c>
      <c r="B457" s="10">
        <v>45971</v>
      </c>
      <c r="C457" s="3" t="s">
        <v>107</v>
      </c>
      <c r="D457" t="s">
        <v>206</v>
      </c>
      <c r="E457" t="s">
        <v>57</v>
      </c>
      <c r="F457" t="s">
        <v>37</v>
      </c>
      <c r="G457" t="s">
        <v>38</v>
      </c>
      <c r="H457" t="s">
        <v>58</v>
      </c>
      <c r="I457" t="s">
        <v>59</v>
      </c>
      <c r="J457" t="s">
        <v>60</v>
      </c>
      <c r="K457" t="s">
        <v>61</v>
      </c>
      <c r="L457" t="s">
        <v>1075</v>
      </c>
      <c r="M457" t="s">
        <v>80</v>
      </c>
      <c r="N457" t="s">
        <v>110</v>
      </c>
      <c r="O457" t="s">
        <v>94</v>
      </c>
      <c r="P457" t="s">
        <v>95</v>
      </c>
      <c r="Q457" t="s">
        <v>66</v>
      </c>
      <c r="R457" t="s">
        <v>67</v>
      </c>
      <c r="S457">
        <v>3</v>
      </c>
      <c r="T457" s="14">
        <v>65.7</v>
      </c>
      <c r="U457" s="7">
        <v>12</v>
      </c>
      <c r="V457" s="7">
        <v>22</v>
      </c>
      <c r="W457" s="14">
        <v>99.7</v>
      </c>
      <c r="X457" s="14">
        <v>219</v>
      </c>
      <c r="Y457" s="16">
        <v>10</v>
      </c>
      <c r="Z457" s="12">
        <v>591.29999999999995</v>
      </c>
      <c r="AA457" s="5">
        <v>292.2</v>
      </c>
      <c r="AB457" s="18">
        <v>49.42</v>
      </c>
      <c r="AC457" t="s">
        <v>104</v>
      </c>
      <c r="AD457" t="s">
        <v>51</v>
      </c>
      <c r="AE457" t="s">
        <v>68</v>
      </c>
      <c r="AF457">
        <v>3</v>
      </c>
      <c r="AG457" t="s">
        <v>53</v>
      </c>
    </row>
    <row r="458" spans="1:33">
      <c r="A458" t="s">
        <v>1076</v>
      </c>
      <c r="B458" s="10">
        <v>45661</v>
      </c>
      <c r="C458" s="3" t="s">
        <v>185</v>
      </c>
      <c r="D458" t="s">
        <v>71</v>
      </c>
      <c r="E458" t="s">
        <v>152</v>
      </c>
      <c r="F458" t="s">
        <v>91</v>
      </c>
      <c r="G458" t="s">
        <v>92</v>
      </c>
      <c r="H458" t="s">
        <v>75</v>
      </c>
      <c r="I458" t="s">
        <v>76</v>
      </c>
      <c r="J458" t="s">
        <v>77</v>
      </c>
      <c r="K458" t="s">
        <v>78</v>
      </c>
      <c r="L458" t="s">
        <v>1077</v>
      </c>
      <c r="M458" t="s">
        <v>80</v>
      </c>
      <c r="N458" t="s">
        <v>45</v>
      </c>
      <c r="O458" t="s">
        <v>213</v>
      </c>
      <c r="P458" t="s">
        <v>214</v>
      </c>
      <c r="Q458" t="s">
        <v>215</v>
      </c>
      <c r="R458" t="s">
        <v>84</v>
      </c>
      <c r="S458">
        <v>4</v>
      </c>
      <c r="T458" s="14">
        <v>107.64</v>
      </c>
      <c r="U458" s="7">
        <v>12</v>
      </c>
      <c r="V458" s="7">
        <v>22</v>
      </c>
      <c r="W458" s="14">
        <v>141.63999999999999</v>
      </c>
      <c r="X458" s="14">
        <v>358.8</v>
      </c>
      <c r="Y458" s="16">
        <v>15</v>
      </c>
      <c r="Z458" s="12">
        <v>1219.92</v>
      </c>
      <c r="AA458" s="5">
        <v>653.36</v>
      </c>
      <c r="AB458" s="18">
        <v>53.56</v>
      </c>
      <c r="AC458" t="s">
        <v>85</v>
      </c>
      <c r="AD458" t="s">
        <v>158</v>
      </c>
      <c r="AE458" t="s">
        <v>68</v>
      </c>
      <c r="AF458" t="s">
        <v>2124</v>
      </c>
      <c r="AG458" t="s">
        <v>53</v>
      </c>
    </row>
    <row r="459" spans="1:33">
      <c r="A459" t="s">
        <v>1078</v>
      </c>
      <c r="B459" s="10">
        <v>45865</v>
      </c>
      <c r="C459" s="3" t="s">
        <v>155</v>
      </c>
      <c r="D459" t="s">
        <v>89</v>
      </c>
      <c r="E459" t="s">
        <v>114</v>
      </c>
      <c r="F459" t="s">
        <v>73</v>
      </c>
      <c r="G459" t="s">
        <v>74</v>
      </c>
      <c r="H459" t="s">
        <v>133</v>
      </c>
      <c r="I459" t="s">
        <v>134</v>
      </c>
      <c r="J459" t="s">
        <v>135</v>
      </c>
      <c r="K459" t="s">
        <v>42</v>
      </c>
      <c r="L459" t="s">
        <v>1079</v>
      </c>
      <c r="M459" t="s">
        <v>80</v>
      </c>
      <c r="N459" t="s">
        <v>110</v>
      </c>
      <c r="O459" t="s">
        <v>119</v>
      </c>
      <c r="P459" t="s">
        <v>120</v>
      </c>
      <c r="Q459" t="s">
        <v>103</v>
      </c>
      <c r="R459" t="s">
        <v>49</v>
      </c>
      <c r="S459">
        <v>3</v>
      </c>
      <c r="T459" s="14">
        <v>54.18</v>
      </c>
      <c r="U459" s="7">
        <v>12</v>
      </c>
      <c r="V459" s="7">
        <v>22</v>
      </c>
      <c r="W459" s="14">
        <v>88.18</v>
      </c>
      <c r="X459" s="14">
        <v>180.6</v>
      </c>
      <c r="Y459" s="16">
        <v>10</v>
      </c>
      <c r="Z459" s="12">
        <v>487.62</v>
      </c>
      <c r="AA459" s="5">
        <v>223.08</v>
      </c>
      <c r="AB459" s="18">
        <v>45.75</v>
      </c>
      <c r="AC459" t="s">
        <v>85</v>
      </c>
      <c r="AD459" t="s">
        <v>158</v>
      </c>
      <c r="AE459" t="s">
        <v>52</v>
      </c>
      <c r="AF459">
        <v>5</v>
      </c>
      <c r="AG459" t="s">
        <v>53</v>
      </c>
    </row>
    <row r="460" spans="1:33">
      <c r="A460" t="s">
        <v>1080</v>
      </c>
      <c r="B460" s="10">
        <v>45708</v>
      </c>
      <c r="C460" s="3" t="s">
        <v>88</v>
      </c>
      <c r="D460" t="s">
        <v>56</v>
      </c>
      <c r="E460" t="s">
        <v>90</v>
      </c>
      <c r="F460" t="s">
        <v>91</v>
      </c>
      <c r="G460" t="s">
        <v>92</v>
      </c>
      <c r="H460" t="s">
        <v>58</v>
      </c>
      <c r="I460" t="s">
        <v>59</v>
      </c>
      <c r="J460" t="s">
        <v>60</v>
      </c>
      <c r="K460" t="s">
        <v>61</v>
      </c>
      <c r="L460" t="s">
        <v>1081</v>
      </c>
      <c r="M460" t="s">
        <v>44</v>
      </c>
      <c r="N460" t="s">
        <v>45</v>
      </c>
      <c r="O460" t="s">
        <v>162</v>
      </c>
      <c r="P460" t="s">
        <v>163</v>
      </c>
      <c r="Q460" t="s">
        <v>48</v>
      </c>
      <c r="R460" t="s">
        <v>84</v>
      </c>
      <c r="S460">
        <v>1</v>
      </c>
      <c r="T460" s="14">
        <v>89.64</v>
      </c>
      <c r="U460" s="7">
        <v>12</v>
      </c>
      <c r="V460" s="7">
        <v>22</v>
      </c>
      <c r="W460" s="14">
        <v>123.64</v>
      </c>
      <c r="X460" s="14">
        <v>298.8</v>
      </c>
      <c r="Y460" s="16">
        <v>55</v>
      </c>
      <c r="Z460" s="12">
        <v>283.86</v>
      </c>
      <c r="AA460" s="5">
        <v>160.22</v>
      </c>
      <c r="AB460" s="18">
        <v>56.44</v>
      </c>
      <c r="AC460" t="s">
        <v>111</v>
      </c>
      <c r="AD460" t="s">
        <v>51</v>
      </c>
      <c r="AE460" t="s">
        <v>68</v>
      </c>
      <c r="AF460">
        <v>5</v>
      </c>
      <c r="AG460" t="s">
        <v>53</v>
      </c>
    </row>
    <row r="461" spans="1:33">
      <c r="A461" t="s">
        <v>1082</v>
      </c>
      <c r="B461" s="10">
        <v>45814</v>
      </c>
      <c r="C461" s="3" t="s">
        <v>107</v>
      </c>
      <c r="D461" t="s">
        <v>35</v>
      </c>
      <c r="E461" t="s">
        <v>174</v>
      </c>
      <c r="F461" t="s">
        <v>131</v>
      </c>
      <c r="G461" t="s">
        <v>132</v>
      </c>
      <c r="H461" t="s">
        <v>75</v>
      </c>
      <c r="I461" t="s">
        <v>76</v>
      </c>
      <c r="J461" t="s">
        <v>77</v>
      </c>
      <c r="K461" t="s">
        <v>78</v>
      </c>
      <c r="L461" t="s">
        <v>1083</v>
      </c>
      <c r="M461" t="s">
        <v>80</v>
      </c>
      <c r="N461" t="s">
        <v>45</v>
      </c>
      <c r="O461" t="s">
        <v>137</v>
      </c>
      <c r="P461" t="s">
        <v>138</v>
      </c>
      <c r="Q461" t="s">
        <v>139</v>
      </c>
      <c r="R461" t="s">
        <v>49</v>
      </c>
      <c r="S461">
        <v>2</v>
      </c>
      <c r="T461" s="14">
        <v>83.58</v>
      </c>
      <c r="U461" s="7">
        <v>12</v>
      </c>
      <c r="V461" s="7">
        <v>22</v>
      </c>
      <c r="W461" s="14">
        <v>117.58</v>
      </c>
      <c r="X461" s="14">
        <v>278.60000000000002</v>
      </c>
      <c r="Y461" s="16">
        <v>10</v>
      </c>
      <c r="Z461" s="12">
        <v>501.48</v>
      </c>
      <c r="AA461" s="5">
        <v>266.32</v>
      </c>
      <c r="AB461" s="18">
        <v>53.11</v>
      </c>
      <c r="AC461" t="s">
        <v>85</v>
      </c>
      <c r="AD461" t="s">
        <v>86</v>
      </c>
      <c r="AE461" t="s">
        <v>105</v>
      </c>
      <c r="AF461">
        <v>5</v>
      </c>
      <c r="AG461" t="s">
        <v>53</v>
      </c>
    </row>
    <row r="462" spans="1:33">
      <c r="A462" t="s">
        <v>1084</v>
      </c>
      <c r="B462" s="10">
        <v>45709</v>
      </c>
      <c r="C462" s="3" t="s">
        <v>113</v>
      </c>
      <c r="D462" t="s">
        <v>35</v>
      </c>
      <c r="E462" t="s">
        <v>90</v>
      </c>
      <c r="F462" t="s">
        <v>91</v>
      </c>
      <c r="G462" t="s">
        <v>92</v>
      </c>
      <c r="H462" t="s">
        <v>142</v>
      </c>
      <c r="I462" t="s">
        <v>143</v>
      </c>
      <c r="J462" t="s">
        <v>144</v>
      </c>
      <c r="K462" t="s">
        <v>145</v>
      </c>
      <c r="L462" t="s">
        <v>1085</v>
      </c>
      <c r="M462" t="s">
        <v>80</v>
      </c>
      <c r="N462" t="s">
        <v>81</v>
      </c>
      <c r="O462" t="s">
        <v>176</v>
      </c>
      <c r="P462" t="s">
        <v>177</v>
      </c>
      <c r="Q462" t="s">
        <v>66</v>
      </c>
      <c r="R462" t="s">
        <v>84</v>
      </c>
      <c r="S462">
        <v>1</v>
      </c>
      <c r="T462" s="14">
        <v>60.84</v>
      </c>
      <c r="U462" s="7">
        <v>12</v>
      </c>
      <c r="V462" s="7">
        <v>22</v>
      </c>
      <c r="W462" s="14">
        <v>94.84</v>
      </c>
      <c r="X462" s="14">
        <v>202.8</v>
      </c>
      <c r="Y462" s="16">
        <v>0</v>
      </c>
      <c r="Z462" s="12">
        <v>202.8</v>
      </c>
      <c r="AA462" s="5">
        <v>107.96</v>
      </c>
      <c r="AB462" s="18">
        <v>53.23</v>
      </c>
      <c r="AC462" t="s">
        <v>50</v>
      </c>
      <c r="AD462" t="s">
        <v>86</v>
      </c>
      <c r="AE462" t="s">
        <v>52</v>
      </c>
      <c r="AF462">
        <v>4</v>
      </c>
      <c r="AG462" t="s">
        <v>53</v>
      </c>
    </row>
    <row r="463" spans="1:33">
      <c r="A463" t="s">
        <v>1086</v>
      </c>
      <c r="B463" s="10">
        <v>45967</v>
      </c>
      <c r="C463" s="3" t="s">
        <v>113</v>
      </c>
      <c r="D463" t="s">
        <v>56</v>
      </c>
      <c r="E463" t="s">
        <v>57</v>
      </c>
      <c r="F463" t="s">
        <v>37</v>
      </c>
      <c r="G463" t="s">
        <v>38</v>
      </c>
      <c r="H463" t="s">
        <v>142</v>
      </c>
      <c r="I463" t="s">
        <v>143</v>
      </c>
      <c r="J463" t="s">
        <v>144</v>
      </c>
      <c r="K463" t="s">
        <v>145</v>
      </c>
      <c r="L463" t="s">
        <v>1087</v>
      </c>
      <c r="M463" t="s">
        <v>63</v>
      </c>
      <c r="N463" t="s">
        <v>45</v>
      </c>
      <c r="O463" t="s">
        <v>101</v>
      </c>
      <c r="P463" t="s">
        <v>102</v>
      </c>
      <c r="Q463" t="s">
        <v>103</v>
      </c>
      <c r="R463" t="s">
        <v>67</v>
      </c>
      <c r="S463">
        <v>3</v>
      </c>
      <c r="T463" s="14">
        <v>44.7</v>
      </c>
      <c r="U463" s="7">
        <v>12</v>
      </c>
      <c r="V463" s="7">
        <v>22</v>
      </c>
      <c r="W463" s="14">
        <v>78.7</v>
      </c>
      <c r="X463" s="14">
        <v>149</v>
      </c>
      <c r="Y463" s="16">
        <v>10</v>
      </c>
      <c r="Z463" s="12">
        <v>402.3</v>
      </c>
      <c r="AA463" s="5">
        <v>166.2</v>
      </c>
      <c r="AB463" s="18">
        <v>41.31</v>
      </c>
      <c r="AC463" t="s">
        <v>111</v>
      </c>
      <c r="AD463" t="s">
        <v>86</v>
      </c>
      <c r="AE463" t="s">
        <v>126</v>
      </c>
      <c r="AF463">
        <v>4</v>
      </c>
      <c r="AG463" t="s">
        <v>53</v>
      </c>
    </row>
    <row r="464" spans="1:33">
      <c r="A464" t="s">
        <v>1088</v>
      </c>
      <c r="B464" s="10">
        <v>45846</v>
      </c>
      <c r="C464" s="3" t="s">
        <v>107</v>
      </c>
      <c r="D464" t="s">
        <v>156</v>
      </c>
      <c r="E464" t="s">
        <v>114</v>
      </c>
      <c r="F464" t="s">
        <v>73</v>
      </c>
      <c r="G464" t="s">
        <v>74</v>
      </c>
      <c r="H464" t="s">
        <v>133</v>
      </c>
      <c r="I464" t="s">
        <v>134</v>
      </c>
      <c r="J464" t="s">
        <v>135</v>
      </c>
      <c r="K464" t="s">
        <v>42</v>
      </c>
      <c r="L464" t="s">
        <v>1089</v>
      </c>
      <c r="M464" t="s">
        <v>80</v>
      </c>
      <c r="N464" t="s">
        <v>110</v>
      </c>
      <c r="O464" t="s">
        <v>168</v>
      </c>
      <c r="P464" t="s">
        <v>169</v>
      </c>
      <c r="Q464" t="s">
        <v>139</v>
      </c>
      <c r="R464" t="s">
        <v>49</v>
      </c>
      <c r="S464">
        <v>1</v>
      </c>
      <c r="T464" s="14">
        <v>66.78</v>
      </c>
      <c r="U464" s="7">
        <v>12</v>
      </c>
      <c r="V464" s="7">
        <v>22</v>
      </c>
      <c r="W464" s="14">
        <v>100.78</v>
      </c>
      <c r="X464" s="14">
        <v>222.6</v>
      </c>
      <c r="Y464" s="16">
        <v>10</v>
      </c>
      <c r="Z464" s="12">
        <v>200.34</v>
      </c>
      <c r="AA464" s="5">
        <v>99.56</v>
      </c>
      <c r="AB464" s="18">
        <v>49.7</v>
      </c>
      <c r="AC464" t="s">
        <v>104</v>
      </c>
      <c r="AD464" t="s">
        <v>86</v>
      </c>
      <c r="AE464" t="s">
        <v>126</v>
      </c>
      <c r="AF464">
        <v>5</v>
      </c>
      <c r="AG464" t="s">
        <v>53</v>
      </c>
    </row>
    <row r="465" spans="1:33">
      <c r="A465" t="s">
        <v>1090</v>
      </c>
      <c r="B465" s="10">
        <v>45673</v>
      </c>
      <c r="C465" s="3" t="s">
        <v>171</v>
      </c>
      <c r="D465" t="s">
        <v>56</v>
      </c>
      <c r="E465" t="s">
        <v>152</v>
      </c>
      <c r="F465" t="s">
        <v>91</v>
      </c>
      <c r="G465" t="s">
        <v>92</v>
      </c>
      <c r="H465" t="s">
        <v>39</v>
      </c>
      <c r="I465" t="s">
        <v>2143</v>
      </c>
      <c r="J465" t="s">
        <v>41</v>
      </c>
      <c r="K465" t="s">
        <v>42</v>
      </c>
      <c r="L465" t="s">
        <v>1091</v>
      </c>
      <c r="M465" t="s">
        <v>80</v>
      </c>
      <c r="N465" t="s">
        <v>45</v>
      </c>
      <c r="O465" t="s">
        <v>64</v>
      </c>
      <c r="P465" t="s">
        <v>65</v>
      </c>
      <c r="Q465" t="s">
        <v>66</v>
      </c>
      <c r="R465" t="s">
        <v>67</v>
      </c>
      <c r="S465">
        <v>2</v>
      </c>
      <c r="T465" s="14">
        <v>44.7</v>
      </c>
      <c r="U465" s="7">
        <v>12</v>
      </c>
      <c r="V465" s="7">
        <v>22</v>
      </c>
      <c r="W465" s="14">
        <v>78.7</v>
      </c>
      <c r="X465" s="14">
        <v>149</v>
      </c>
      <c r="Y465" s="16">
        <v>5</v>
      </c>
      <c r="Z465" s="12">
        <v>283.10000000000002</v>
      </c>
      <c r="AA465" s="5">
        <v>125.7</v>
      </c>
      <c r="AB465" s="18">
        <v>44.4</v>
      </c>
      <c r="AC465" t="s">
        <v>50</v>
      </c>
      <c r="AD465" t="s">
        <v>51</v>
      </c>
      <c r="AE465" t="s">
        <v>68</v>
      </c>
      <c r="AF465">
        <v>5</v>
      </c>
      <c r="AG465" t="s">
        <v>53</v>
      </c>
    </row>
    <row r="466" spans="1:33">
      <c r="A466" t="s">
        <v>1092</v>
      </c>
      <c r="B466" s="10">
        <v>45731</v>
      </c>
      <c r="C466" s="3" t="s">
        <v>171</v>
      </c>
      <c r="D466" t="s">
        <v>71</v>
      </c>
      <c r="E466" t="s">
        <v>108</v>
      </c>
      <c r="F466" t="s">
        <v>91</v>
      </c>
      <c r="G466" t="s">
        <v>38</v>
      </c>
      <c r="H466" t="s">
        <v>39</v>
      </c>
      <c r="I466" t="s">
        <v>2143</v>
      </c>
      <c r="J466" t="s">
        <v>41</v>
      </c>
      <c r="K466" t="s">
        <v>42</v>
      </c>
      <c r="L466" t="s">
        <v>1093</v>
      </c>
      <c r="M466" t="s">
        <v>44</v>
      </c>
      <c r="N466" t="s">
        <v>45</v>
      </c>
      <c r="O466" t="s">
        <v>64</v>
      </c>
      <c r="P466" t="s">
        <v>65</v>
      </c>
      <c r="Q466" t="s">
        <v>66</v>
      </c>
      <c r="R466" t="s">
        <v>49</v>
      </c>
      <c r="S466">
        <v>3</v>
      </c>
      <c r="T466" s="14">
        <v>62.58</v>
      </c>
      <c r="U466" s="7">
        <v>12</v>
      </c>
      <c r="V466" s="7">
        <v>22</v>
      </c>
      <c r="W466" s="14">
        <v>96.58</v>
      </c>
      <c r="X466" s="14">
        <v>208.6</v>
      </c>
      <c r="Y466" s="16">
        <v>15</v>
      </c>
      <c r="Z466" s="12">
        <v>531.92999999999995</v>
      </c>
      <c r="AA466" s="5">
        <v>242.19</v>
      </c>
      <c r="AB466" s="18">
        <v>45.53</v>
      </c>
      <c r="AC466" t="s">
        <v>85</v>
      </c>
      <c r="AD466" t="s">
        <v>86</v>
      </c>
      <c r="AE466" t="s">
        <v>96</v>
      </c>
      <c r="AF466">
        <v>3</v>
      </c>
      <c r="AG466" t="s">
        <v>53</v>
      </c>
    </row>
    <row r="467" spans="1:33">
      <c r="A467" t="s">
        <v>1094</v>
      </c>
      <c r="B467" s="10">
        <v>45938</v>
      </c>
      <c r="C467" s="3" t="s">
        <v>182</v>
      </c>
      <c r="D467" t="s">
        <v>129</v>
      </c>
      <c r="E467" t="s">
        <v>36</v>
      </c>
      <c r="F467" t="s">
        <v>37</v>
      </c>
      <c r="G467" t="s">
        <v>38</v>
      </c>
      <c r="H467" t="s">
        <v>115</v>
      </c>
      <c r="I467" t="s">
        <v>116</v>
      </c>
      <c r="J467" t="s">
        <v>117</v>
      </c>
      <c r="K467" t="s">
        <v>61</v>
      </c>
      <c r="L467" t="s">
        <v>1095</v>
      </c>
      <c r="M467" t="s">
        <v>80</v>
      </c>
      <c r="N467" t="s">
        <v>81</v>
      </c>
      <c r="O467" t="s">
        <v>123</v>
      </c>
      <c r="P467" t="s">
        <v>124</v>
      </c>
      <c r="Q467" t="s">
        <v>125</v>
      </c>
      <c r="R467" t="s">
        <v>67</v>
      </c>
      <c r="S467">
        <v>2</v>
      </c>
      <c r="T467" s="14">
        <v>74.7</v>
      </c>
      <c r="U467" s="7">
        <v>12</v>
      </c>
      <c r="V467" s="7">
        <v>22</v>
      </c>
      <c r="W467" s="14">
        <v>108.7</v>
      </c>
      <c r="X467" s="14">
        <v>249</v>
      </c>
      <c r="Y467" s="16">
        <v>0</v>
      </c>
      <c r="Z467" s="12">
        <v>498</v>
      </c>
      <c r="AA467" s="5">
        <v>280.60000000000002</v>
      </c>
      <c r="AB467" s="18">
        <v>56.35</v>
      </c>
      <c r="AC467" t="s">
        <v>111</v>
      </c>
      <c r="AD467" t="s">
        <v>51</v>
      </c>
      <c r="AE467" t="s">
        <v>68</v>
      </c>
      <c r="AF467">
        <v>4</v>
      </c>
      <c r="AG467" t="s">
        <v>53</v>
      </c>
    </row>
    <row r="468" spans="1:33">
      <c r="A468" t="s">
        <v>1096</v>
      </c>
      <c r="B468" s="10">
        <v>45718</v>
      </c>
      <c r="C468" s="3" t="s">
        <v>70</v>
      </c>
      <c r="D468" t="s">
        <v>89</v>
      </c>
      <c r="E468" t="s">
        <v>108</v>
      </c>
      <c r="F468" t="s">
        <v>91</v>
      </c>
      <c r="G468" t="s">
        <v>38</v>
      </c>
      <c r="H468" t="s">
        <v>58</v>
      </c>
      <c r="I468" t="s">
        <v>59</v>
      </c>
      <c r="J468" t="s">
        <v>60</v>
      </c>
      <c r="K468" t="s">
        <v>61</v>
      </c>
      <c r="L468" t="s">
        <v>1097</v>
      </c>
      <c r="M468" t="s">
        <v>80</v>
      </c>
      <c r="N468" t="s">
        <v>45</v>
      </c>
      <c r="O468" t="s">
        <v>452</v>
      </c>
      <c r="P468" t="s">
        <v>453</v>
      </c>
      <c r="Q468" t="s">
        <v>215</v>
      </c>
      <c r="R468" t="s">
        <v>67</v>
      </c>
      <c r="S468">
        <v>3</v>
      </c>
      <c r="T468" s="14">
        <v>98.7</v>
      </c>
      <c r="U468" s="7">
        <v>12</v>
      </c>
      <c r="V468" s="7">
        <v>22</v>
      </c>
      <c r="W468" s="14">
        <v>132.69999999999999</v>
      </c>
      <c r="X468" s="14">
        <v>329</v>
      </c>
      <c r="Y468" s="16">
        <v>15</v>
      </c>
      <c r="Z468" s="12">
        <v>838.95</v>
      </c>
      <c r="AA468" s="5">
        <v>440.85</v>
      </c>
      <c r="AB468" s="18">
        <v>52.55</v>
      </c>
      <c r="AC468" t="s">
        <v>104</v>
      </c>
      <c r="AD468" t="s">
        <v>86</v>
      </c>
      <c r="AE468" t="s">
        <v>52</v>
      </c>
      <c r="AF468">
        <v>3</v>
      </c>
      <c r="AG468" t="s">
        <v>53</v>
      </c>
    </row>
    <row r="469" spans="1:33">
      <c r="A469" t="s">
        <v>1098</v>
      </c>
      <c r="B469" s="10">
        <v>45889</v>
      </c>
      <c r="C469" s="3" t="s">
        <v>171</v>
      </c>
      <c r="D469" t="s">
        <v>129</v>
      </c>
      <c r="E469" t="s">
        <v>99</v>
      </c>
      <c r="F469" t="s">
        <v>73</v>
      </c>
      <c r="G469" t="s">
        <v>74</v>
      </c>
      <c r="H469" t="s">
        <v>75</v>
      </c>
      <c r="I469" t="s">
        <v>76</v>
      </c>
      <c r="J469" t="s">
        <v>77</v>
      </c>
      <c r="K469" t="s">
        <v>78</v>
      </c>
      <c r="L469" t="s">
        <v>1099</v>
      </c>
      <c r="M469" t="s">
        <v>44</v>
      </c>
      <c r="N469" t="s">
        <v>45</v>
      </c>
      <c r="O469" t="s">
        <v>82</v>
      </c>
      <c r="P469" t="s">
        <v>83</v>
      </c>
      <c r="Q469" t="s">
        <v>66</v>
      </c>
      <c r="R469" t="s">
        <v>84</v>
      </c>
      <c r="S469">
        <v>1</v>
      </c>
      <c r="T469" s="14">
        <v>86.04</v>
      </c>
      <c r="U469" s="7">
        <v>12</v>
      </c>
      <c r="V469" s="7">
        <v>22</v>
      </c>
      <c r="W469" s="14">
        <v>120.04</v>
      </c>
      <c r="X469" s="14">
        <v>286.8</v>
      </c>
      <c r="Y469" s="16">
        <v>0</v>
      </c>
      <c r="Z469" s="12">
        <v>286.8</v>
      </c>
      <c r="AA469" s="5">
        <v>166.76</v>
      </c>
      <c r="AB469" s="18">
        <v>58.15</v>
      </c>
      <c r="AC469" t="s">
        <v>50</v>
      </c>
      <c r="AD469" t="s">
        <v>86</v>
      </c>
      <c r="AE469" t="s">
        <v>96</v>
      </c>
      <c r="AF469">
        <v>4</v>
      </c>
      <c r="AG469" t="s">
        <v>53</v>
      </c>
    </row>
    <row r="470" spans="1:33">
      <c r="A470" t="s">
        <v>1100</v>
      </c>
      <c r="B470" s="10">
        <v>45838</v>
      </c>
      <c r="C470" s="3" t="s">
        <v>339</v>
      </c>
      <c r="D470" t="s">
        <v>206</v>
      </c>
      <c r="E470" t="s">
        <v>174</v>
      </c>
      <c r="F470" t="s">
        <v>131</v>
      </c>
      <c r="G470" t="s">
        <v>132</v>
      </c>
      <c r="H470" t="s">
        <v>39</v>
      </c>
      <c r="I470" t="s">
        <v>2143</v>
      </c>
      <c r="J470" t="s">
        <v>41</v>
      </c>
      <c r="K470" t="s">
        <v>42</v>
      </c>
      <c r="L470" t="s">
        <v>1101</v>
      </c>
      <c r="M470" t="s">
        <v>63</v>
      </c>
      <c r="N470" t="s">
        <v>45</v>
      </c>
      <c r="O470" t="s">
        <v>137</v>
      </c>
      <c r="P470" t="s">
        <v>138</v>
      </c>
      <c r="Q470" t="s">
        <v>139</v>
      </c>
      <c r="R470" t="s">
        <v>67</v>
      </c>
      <c r="S470">
        <v>1</v>
      </c>
      <c r="T470" s="14">
        <v>59.7</v>
      </c>
      <c r="U470" s="7">
        <v>12</v>
      </c>
      <c r="V470" s="7">
        <v>22</v>
      </c>
      <c r="W470" s="14">
        <v>93.7</v>
      </c>
      <c r="X470" s="14">
        <v>199</v>
      </c>
      <c r="Y470" s="16">
        <v>5</v>
      </c>
      <c r="Z470" s="12">
        <v>189.05</v>
      </c>
      <c r="AA470" s="5">
        <v>95.35</v>
      </c>
      <c r="AB470" s="18">
        <v>50.44</v>
      </c>
      <c r="AC470" t="s">
        <v>111</v>
      </c>
      <c r="AD470" t="s">
        <v>86</v>
      </c>
      <c r="AE470" t="s">
        <v>52</v>
      </c>
      <c r="AF470">
        <v>5</v>
      </c>
      <c r="AG470" t="s">
        <v>53</v>
      </c>
    </row>
    <row r="471" spans="1:33">
      <c r="A471" t="s">
        <v>1102</v>
      </c>
      <c r="B471" s="10">
        <v>45926</v>
      </c>
      <c r="C471" s="3" t="s">
        <v>141</v>
      </c>
      <c r="D471" t="s">
        <v>35</v>
      </c>
      <c r="E471" t="s">
        <v>72</v>
      </c>
      <c r="F471" t="s">
        <v>73</v>
      </c>
      <c r="G471" t="s">
        <v>74</v>
      </c>
      <c r="H471" t="s">
        <v>75</v>
      </c>
      <c r="I471" t="s">
        <v>76</v>
      </c>
      <c r="J471" t="s">
        <v>77</v>
      </c>
      <c r="K471" t="s">
        <v>78</v>
      </c>
      <c r="L471" t="s">
        <v>1103</v>
      </c>
      <c r="M471" t="s">
        <v>63</v>
      </c>
      <c r="N471" t="s">
        <v>81</v>
      </c>
      <c r="O471" t="s">
        <v>119</v>
      </c>
      <c r="P471" t="s">
        <v>120</v>
      </c>
      <c r="Q471" t="s">
        <v>103</v>
      </c>
      <c r="R471" t="s">
        <v>67</v>
      </c>
      <c r="S471">
        <v>1</v>
      </c>
      <c r="T471" s="14">
        <v>38.700000000000003</v>
      </c>
      <c r="U471" s="7">
        <v>12</v>
      </c>
      <c r="V471" s="7">
        <v>22</v>
      </c>
      <c r="W471" s="14">
        <v>72.7</v>
      </c>
      <c r="X471" s="14">
        <v>129</v>
      </c>
      <c r="Y471" s="16">
        <v>5</v>
      </c>
      <c r="Z471" s="12">
        <v>122.55</v>
      </c>
      <c r="AA471" s="5">
        <v>49.85</v>
      </c>
      <c r="AB471" s="18">
        <v>40.68</v>
      </c>
      <c r="AC471" t="s">
        <v>104</v>
      </c>
      <c r="AD471" t="s">
        <v>86</v>
      </c>
      <c r="AE471" t="s">
        <v>105</v>
      </c>
      <c r="AF471">
        <v>5</v>
      </c>
      <c r="AG471" t="s">
        <v>53</v>
      </c>
    </row>
    <row r="472" spans="1:33">
      <c r="A472" t="s">
        <v>1104</v>
      </c>
      <c r="B472" s="10">
        <v>45796</v>
      </c>
      <c r="C472" s="3" t="s">
        <v>182</v>
      </c>
      <c r="D472" t="s">
        <v>206</v>
      </c>
      <c r="E472" t="s">
        <v>130</v>
      </c>
      <c r="F472" t="s">
        <v>131</v>
      </c>
      <c r="G472" t="s">
        <v>132</v>
      </c>
      <c r="H472" t="s">
        <v>115</v>
      </c>
      <c r="I472" t="s">
        <v>116</v>
      </c>
      <c r="J472" t="s">
        <v>117</v>
      </c>
      <c r="K472" t="s">
        <v>61</v>
      </c>
      <c r="L472" t="s">
        <v>1105</v>
      </c>
      <c r="M472" t="s">
        <v>63</v>
      </c>
      <c r="N472" t="s">
        <v>45</v>
      </c>
      <c r="O472" t="s">
        <v>162</v>
      </c>
      <c r="P472" t="s">
        <v>163</v>
      </c>
      <c r="Q472" t="s">
        <v>48</v>
      </c>
      <c r="R472" t="s">
        <v>67</v>
      </c>
      <c r="S472">
        <v>3</v>
      </c>
      <c r="T472" s="14">
        <v>74.7</v>
      </c>
      <c r="U472" s="7">
        <v>12</v>
      </c>
      <c r="V472" s="7">
        <v>22</v>
      </c>
      <c r="W472" s="14">
        <v>108.7</v>
      </c>
      <c r="X472" s="14">
        <v>249</v>
      </c>
      <c r="Y472" s="16">
        <v>0</v>
      </c>
      <c r="Z472" s="12">
        <v>747</v>
      </c>
      <c r="AA472" s="5">
        <v>420.9</v>
      </c>
      <c r="AB472" s="18">
        <v>56.35</v>
      </c>
      <c r="AC472" t="s">
        <v>104</v>
      </c>
      <c r="AD472" t="s">
        <v>51</v>
      </c>
      <c r="AE472" t="s">
        <v>96</v>
      </c>
      <c r="AF472">
        <v>5</v>
      </c>
      <c r="AG472" t="s">
        <v>53</v>
      </c>
    </row>
    <row r="473" spans="1:33">
      <c r="A473" t="s">
        <v>1106</v>
      </c>
      <c r="B473" s="10">
        <v>45990</v>
      </c>
      <c r="C473" s="3" t="s">
        <v>55</v>
      </c>
      <c r="D473" t="s">
        <v>71</v>
      </c>
      <c r="E473" t="s">
        <v>57</v>
      </c>
      <c r="F473" t="s">
        <v>37</v>
      </c>
      <c r="G473" t="s">
        <v>38</v>
      </c>
      <c r="H473" t="s">
        <v>39</v>
      </c>
      <c r="I473" t="s">
        <v>2143</v>
      </c>
      <c r="J473" t="s">
        <v>41</v>
      </c>
      <c r="K473" t="s">
        <v>42</v>
      </c>
      <c r="L473" t="s">
        <v>1107</v>
      </c>
      <c r="M473" t="s">
        <v>44</v>
      </c>
      <c r="N473" t="s">
        <v>81</v>
      </c>
      <c r="O473" t="s">
        <v>452</v>
      </c>
      <c r="P473" t="s">
        <v>453</v>
      </c>
      <c r="Q473" t="s">
        <v>215</v>
      </c>
      <c r="R473" t="s">
        <v>84</v>
      </c>
      <c r="S473">
        <v>2</v>
      </c>
      <c r="T473" s="14">
        <v>118.44</v>
      </c>
      <c r="U473" s="7">
        <v>12</v>
      </c>
      <c r="V473" s="7">
        <v>22</v>
      </c>
      <c r="W473" s="14">
        <v>152.44</v>
      </c>
      <c r="X473" s="14">
        <v>394.8</v>
      </c>
      <c r="Y473" s="16">
        <v>10</v>
      </c>
      <c r="Z473" s="12">
        <v>710.64</v>
      </c>
      <c r="AA473" s="5">
        <v>405.76</v>
      </c>
      <c r="AB473" s="18">
        <v>57.1</v>
      </c>
      <c r="AC473" t="s">
        <v>50</v>
      </c>
      <c r="AD473" t="s">
        <v>51</v>
      </c>
      <c r="AE473" t="s">
        <v>52</v>
      </c>
      <c r="AF473">
        <v>4</v>
      </c>
      <c r="AG473" t="s">
        <v>53</v>
      </c>
    </row>
    <row r="474" spans="1:33">
      <c r="A474" t="s">
        <v>1108</v>
      </c>
      <c r="B474" s="10">
        <v>46020</v>
      </c>
      <c r="C474" s="3" t="s">
        <v>155</v>
      </c>
      <c r="D474" t="s">
        <v>206</v>
      </c>
      <c r="E474" t="s">
        <v>149</v>
      </c>
      <c r="F474" t="s">
        <v>37</v>
      </c>
      <c r="G474" t="s">
        <v>92</v>
      </c>
      <c r="H474" t="s">
        <v>142</v>
      </c>
      <c r="I474" t="s">
        <v>143</v>
      </c>
      <c r="J474" t="s">
        <v>144</v>
      </c>
      <c r="K474" t="s">
        <v>145</v>
      </c>
      <c r="L474" t="s">
        <v>1109</v>
      </c>
      <c r="M474" t="s">
        <v>44</v>
      </c>
      <c r="N474" t="s">
        <v>45</v>
      </c>
      <c r="O474" t="s">
        <v>82</v>
      </c>
      <c r="P474" t="s">
        <v>83</v>
      </c>
      <c r="Q474" t="s">
        <v>66</v>
      </c>
      <c r="R474" t="s">
        <v>49</v>
      </c>
      <c r="S474">
        <v>1</v>
      </c>
      <c r="T474" s="14">
        <v>100.38</v>
      </c>
      <c r="U474" s="7">
        <v>12</v>
      </c>
      <c r="V474" s="7">
        <v>22</v>
      </c>
      <c r="W474" s="14">
        <v>134.38</v>
      </c>
      <c r="X474" s="14">
        <v>334.6</v>
      </c>
      <c r="Y474" s="16">
        <v>10</v>
      </c>
      <c r="Z474" s="12">
        <v>301.14</v>
      </c>
      <c r="AA474" s="5">
        <v>166.76</v>
      </c>
      <c r="AB474" s="18">
        <v>55.38</v>
      </c>
      <c r="AC474" t="s">
        <v>104</v>
      </c>
      <c r="AD474" t="s">
        <v>86</v>
      </c>
      <c r="AE474" t="s">
        <v>126</v>
      </c>
      <c r="AF474">
        <v>5</v>
      </c>
      <c r="AG474" t="s">
        <v>53</v>
      </c>
    </row>
    <row r="475" spans="1:33">
      <c r="A475" t="s">
        <v>1110</v>
      </c>
      <c r="B475" s="10">
        <v>45929</v>
      </c>
      <c r="C475" s="3" t="s">
        <v>70</v>
      </c>
      <c r="D475" t="s">
        <v>206</v>
      </c>
      <c r="E475" t="s">
        <v>72</v>
      </c>
      <c r="F475" t="s">
        <v>73</v>
      </c>
      <c r="G475" t="s">
        <v>74</v>
      </c>
      <c r="H475" t="s">
        <v>39</v>
      </c>
      <c r="I475" t="s">
        <v>2143</v>
      </c>
      <c r="J475" t="s">
        <v>41</v>
      </c>
      <c r="K475" t="s">
        <v>42</v>
      </c>
      <c r="L475" t="s">
        <v>1111</v>
      </c>
      <c r="M475" t="s">
        <v>63</v>
      </c>
      <c r="N475" t="s">
        <v>81</v>
      </c>
      <c r="O475" t="s">
        <v>82</v>
      </c>
      <c r="P475" t="s">
        <v>83</v>
      </c>
      <c r="Q475" t="s">
        <v>66</v>
      </c>
      <c r="R475" t="s">
        <v>67</v>
      </c>
      <c r="S475">
        <v>3</v>
      </c>
      <c r="T475" s="14">
        <v>71.7</v>
      </c>
      <c r="U475" s="7">
        <v>12</v>
      </c>
      <c r="V475" s="7">
        <v>22</v>
      </c>
      <c r="W475" s="14">
        <v>105.7</v>
      </c>
      <c r="X475" s="14">
        <v>239</v>
      </c>
      <c r="Y475" s="16">
        <v>0</v>
      </c>
      <c r="Z475" s="12">
        <v>717</v>
      </c>
      <c r="AA475" s="5">
        <v>399.9</v>
      </c>
      <c r="AB475" s="18">
        <v>55.77</v>
      </c>
      <c r="AC475" t="s">
        <v>111</v>
      </c>
      <c r="AD475" t="s">
        <v>86</v>
      </c>
      <c r="AE475" t="s">
        <v>68</v>
      </c>
      <c r="AF475">
        <v>5</v>
      </c>
      <c r="AG475" t="s">
        <v>53</v>
      </c>
    </row>
    <row r="476" spans="1:33">
      <c r="A476" t="s">
        <v>1112</v>
      </c>
      <c r="B476" s="10">
        <v>45791</v>
      </c>
      <c r="C476" s="3" t="s">
        <v>310</v>
      </c>
      <c r="D476" t="s">
        <v>129</v>
      </c>
      <c r="E476" t="s">
        <v>130</v>
      </c>
      <c r="F476" t="s">
        <v>131</v>
      </c>
      <c r="G476" t="s">
        <v>132</v>
      </c>
      <c r="H476" t="s">
        <v>39</v>
      </c>
      <c r="I476" t="s">
        <v>2143</v>
      </c>
      <c r="J476" t="s">
        <v>41</v>
      </c>
      <c r="K476" t="s">
        <v>42</v>
      </c>
      <c r="L476" t="s">
        <v>1113</v>
      </c>
      <c r="M476" t="s">
        <v>80</v>
      </c>
      <c r="N476" t="s">
        <v>110</v>
      </c>
      <c r="O476" t="s">
        <v>162</v>
      </c>
      <c r="P476" t="s">
        <v>163</v>
      </c>
      <c r="Q476" t="s">
        <v>48</v>
      </c>
      <c r="R476" t="s">
        <v>67</v>
      </c>
      <c r="S476">
        <v>3</v>
      </c>
      <c r="T476" s="14">
        <v>74.7</v>
      </c>
      <c r="U476" s="7">
        <v>12</v>
      </c>
      <c r="V476" s="7">
        <v>22</v>
      </c>
      <c r="W476" s="14">
        <v>108.7</v>
      </c>
      <c r="X476" s="14">
        <v>249</v>
      </c>
      <c r="Y476" s="16">
        <v>0</v>
      </c>
      <c r="Z476" s="12">
        <v>747</v>
      </c>
      <c r="AA476" s="5">
        <v>420.9</v>
      </c>
      <c r="AB476" s="18">
        <v>56.35</v>
      </c>
      <c r="AC476" t="s">
        <v>50</v>
      </c>
      <c r="AD476" t="s">
        <v>51</v>
      </c>
      <c r="AE476" t="s">
        <v>105</v>
      </c>
      <c r="AF476">
        <v>5</v>
      </c>
      <c r="AG476" t="s">
        <v>53</v>
      </c>
    </row>
    <row r="477" spans="1:33">
      <c r="A477" t="s">
        <v>1114</v>
      </c>
      <c r="B477" s="10">
        <v>45707</v>
      </c>
      <c r="C477" s="3" t="s">
        <v>155</v>
      </c>
      <c r="D477" t="s">
        <v>129</v>
      </c>
      <c r="E477" t="s">
        <v>90</v>
      </c>
      <c r="F477" t="s">
        <v>91</v>
      </c>
      <c r="G477" t="s">
        <v>92</v>
      </c>
      <c r="H477" t="s">
        <v>133</v>
      </c>
      <c r="I477" t="s">
        <v>134</v>
      </c>
      <c r="J477" t="s">
        <v>135</v>
      </c>
      <c r="K477" t="s">
        <v>42</v>
      </c>
      <c r="L477" t="s">
        <v>1115</v>
      </c>
      <c r="M477" t="s">
        <v>63</v>
      </c>
      <c r="N477" t="s">
        <v>45</v>
      </c>
      <c r="O477" t="s">
        <v>82</v>
      </c>
      <c r="P477" t="s">
        <v>83</v>
      </c>
      <c r="Q477" t="s">
        <v>66</v>
      </c>
      <c r="R477" t="s">
        <v>84</v>
      </c>
      <c r="S477">
        <v>3</v>
      </c>
      <c r="T477" s="14">
        <v>86.04</v>
      </c>
      <c r="U477" s="7">
        <v>12</v>
      </c>
      <c r="V477" s="7">
        <v>22</v>
      </c>
      <c r="W477" s="14">
        <v>120.04</v>
      </c>
      <c r="X477" s="14">
        <v>286.8</v>
      </c>
      <c r="Y477" s="16">
        <v>5</v>
      </c>
      <c r="Z477" s="12">
        <v>817.38</v>
      </c>
      <c r="AA477" s="5">
        <v>457.26</v>
      </c>
      <c r="AB477" s="18">
        <v>55.94</v>
      </c>
      <c r="AC477" t="s">
        <v>85</v>
      </c>
      <c r="AD477" t="s">
        <v>86</v>
      </c>
      <c r="AE477" t="s">
        <v>126</v>
      </c>
      <c r="AF477">
        <v>5</v>
      </c>
      <c r="AG477" t="s">
        <v>53</v>
      </c>
    </row>
    <row r="478" spans="1:33">
      <c r="A478" t="s">
        <v>1116</v>
      </c>
      <c r="B478" s="10">
        <v>45981</v>
      </c>
      <c r="C478" s="3" t="s">
        <v>182</v>
      </c>
      <c r="D478" t="s">
        <v>56</v>
      </c>
      <c r="E478" t="s">
        <v>57</v>
      </c>
      <c r="F478" t="s">
        <v>37</v>
      </c>
      <c r="G478" t="s">
        <v>38</v>
      </c>
      <c r="H478" t="s">
        <v>142</v>
      </c>
      <c r="I478" t="s">
        <v>143</v>
      </c>
      <c r="J478" t="s">
        <v>144</v>
      </c>
      <c r="K478" t="s">
        <v>145</v>
      </c>
      <c r="L478" t="s">
        <v>1117</v>
      </c>
      <c r="M478" t="s">
        <v>63</v>
      </c>
      <c r="N478" t="s">
        <v>45</v>
      </c>
      <c r="O478" t="s">
        <v>275</v>
      </c>
      <c r="P478" t="s">
        <v>276</v>
      </c>
      <c r="Q478" t="s">
        <v>125</v>
      </c>
      <c r="R478" t="s">
        <v>49</v>
      </c>
      <c r="S478">
        <v>3</v>
      </c>
      <c r="T478" s="14">
        <v>96.18</v>
      </c>
      <c r="U478" s="7">
        <v>12</v>
      </c>
      <c r="V478" s="7">
        <v>22</v>
      </c>
      <c r="W478" s="14">
        <v>130.18</v>
      </c>
      <c r="X478" s="14">
        <v>320.60000000000002</v>
      </c>
      <c r="Y478" s="16">
        <v>0</v>
      </c>
      <c r="Z478" s="12">
        <v>961.8</v>
      </c>
      <c r="AA478" s="5">
        <v>571.26</v>
      </c>
      <c r="AB478" s="18">
        <v>59.39</v>
      </c>
      <c r="AC478" t="s">
        <v>2145</v>
      </c>
      <c r="AD478" t="s">
        <v>51</v>
      </c>
      <c r="AE478" t="s">
        <v>126</v>
      </c>
      <c r="AF478">
        <v>5</v>
      </c>
      <c r="AG478" t="s">
        <v>53</v>
      </c>
    </row>
    <row r="479" spans="1:33">
      <c r="A479" t="s">
        <v>1118</v>
      </c>
      <c r="B479" s="10">
        <v>45847</v>
      </c>
      <c r="C479" s="3" t="s">
        <v>88</v>
      </c>
      <c r="D479" t="s">
        <v>129</v>
      </c>
      <c r="E479" t="s">
        <v>114</v>
      </c>
      <c r="F479" t="s">
        <v>73</v>
      </c>
      <c r="G479" t="s">
        <v>74</v>
      </c>
      <c r="H479" t="s">
        <v>115</v>
      </c>
      <c r="I479" t="s">
        <v>116</v>
      </c>
      <c r="J479" t="s">
        <v>117</v>
      </c>
      <c r="K479" t="s">
        <v>61</v>
      </c>
      <c r="L479" t="s">
        <v>1119</v>
      </c>
      <c r="M479" t="s">
        <v>63</v>
      </c>
      <c r="N479" t="s">
        <v>81</v>
      </c>
      <c r="O479" t="s">
        <v>189</v>
      </c>
      <c r="P479" t="s">
        <v>190</v>
      </c>
      <c r="Q479" t="s">
        <v>48</v>
      </c>
      <c r="R479" t="s">
        <v>49</v>
      </c>
      <c r="S479">
        <v>3</v>
      </c>
      <c r="T479" s="14">
        <v>66.78</v>
      </c>
      <c r="U479" s="7">
        <v>12</v>
      </c>
      <c r="V479" s="7">
        <v>22</v>
      </c>
      <c r="W479" s="14">
        <v>100.78</v>
      </c>
      <c r="X479" s="14">
        <v>222.6</v>
      </c>
      <c r="Y479" s="16">
        <v>10</v>
      </c>
      <c r="Z479" s="12">
        <v>601.02</v>
      </c>
      <c r="AA479" s="5">
        <v>298.68</v>
      </c>
      <c r="AB479" s="18">
        <v>49.7</v>
      </c>
      <c r="AC479" t="s">
        <v>111</v>
      </c>
      <c r="AD479" t="s">
        <v>86</v>
      </c>
      <c r="AE479" t="s">
        <v>68</v>
      </c>
      <c r="AF479">
        <v>5</v>
      </c>
      <c r="AG479" t="s">
        <v>53</v>
      </c>
    </row>
    <row r="480" spans="1:33">
      <c r="A480" t="s">
        <v>1120</v>
      </c>
      <c r="B480" s="10">
        <v>45753</v>
      </c>
      <c r="C480" s="3" t="s">
        <v>390</v>
      </c>
      <c r="D480" t="s">
        <v>89</v>
      </c>
      <c r="E480" t="s">
        <v>280</v>
      </c>
      <c r="F480" t="s">
        <v>131</v>
      </c>
      <c r="G480" t="s">
        <v>132</v>
      </c>
      <c r="H480" t="s">
        <v>75</v>
      </c>
      <c r="I480" t="s">
        <v>76</v>
      </c>
      <c r="J480" t="s">
        <v>77</v>
      </c>
      <c r="K480" t="s">
        <v>78</v>
      </c>
      <c r="L480" t="s">
        <v>1121</v>
      </c>
      <c r="M480" t="s">
        <v>44</v>
      </c>
      <c r="N480" t="s">
        <v>110</v>
      </c>
      <c r="O480" t="s">
        <v>123</v>
      </c>
      <c r="P480" t="s">
        <v>124</v>
      </c>
      <c r="Q480" t="s">
        <v>125</v>
      </c>
      <c r="R480" t="s">
        <v>84</v>
      </c>
      <c r="S480">
        <v>3</v>
      </c>
      <c r="T480" s="14">
        <v>89.64</v>
      </c>
      <c r="U480" s="7">
        <v>12</v>
      </c>
      <c r="V480" s="7">
        <v>22</v>
      </c>
      <c r="W480" s="14">
        <v>123.64</v>
      </c>
      <c r="X480" s="14">
        <v>298.8</v>
      </c>
      <c r="Y480" s="16">
        <v>15</v>
      </c>
      <c r="Z480" s="12">
        <v>761.94</v>
      </c>
      <c r="AA480" s="5">
        <v>391.02</v>
      </c>
      <c r="AB480" s="18">
        <v>51.32</v>
      </c>
      <c r="AC480" t="s">
        <v>85</v>
      </c>
      <c r="AD480" t="s">
        <v>158</v>
      </c>
      <c r="AE480" t="s">
        <v>126</v>
      </c>
      <c r="AF480">
        <v>5</v>
      </c>
      <c r="AG480" t="s">
        <v>53</v>
      </c>
    </row>
    <row r="481" spans="1:33">
      <c r="A481" t="s">
        <v>1122</v>
      </c>
      <c r="B481" s="10">
        <v>45767</v>
      </c>
      <c r="C481" s="3" t="s">
        <v>148</v>
      </c>
      <c r="D481" t="s">
        <v>89</v>
      </c>
      <c r="E481" t="s">
        <v>280</v>
      </c>
      <c r="F481" t="s">
        <v>131</v>
      </c>
      <c r="G481" t="s">
        <v>132</v>
      </c>
      <c r="H481" t="s">
        <v>75</v>
      </c>
      <c r="I481" t="s">
        <v>76</v>
      </c>
      <c r="J481" t="s">
        <v>77</v>
      </c>
      <c r="K481" t="s">
        <v>78</v>
      </c>
      <c r="L481" t="s">
        <v>1123</v>
      </c>
      <c r="M481" t="s">
        <v>63</v>
      </c>
      <c r="N481" t="s">
        <v>110</v>
      </c>
      <c r="O481" t="s">
        <v>94</v>
      </c>
      <c r="P481" t="s">
        <v>95</v>
      </c>
      <c r="Q481" t="s">
        <v>66</v>
      </c>
      <c r="R481" t="s">
        <v>84</v>
      </c>
      <c r="S481">
        <v>2</v>
      </c>
      <c r="T481" s="14">
        <v>78.84</v>
      </c>
      <c r="U481" s="7">
        <v>12</v>
      </c>
      <c r="V481" s="7">
        <v>22</v>
      </c>
      <c r="W481" s="14">
        <v>112.84</v>
      </c>
      <c r="X481" s="14">
        <v>262.8</v>
      </c>
      <c r="Y481" s="16">
        <v>15</v>
      </c>
      <c r="Z481" s="12">
        <v>446.76</v>
      </c>
      <c r="AA481" s="5">
        <v>221.08</v>
      </c>
      <c r="AB481" s="18">
        <v>49.49</v>
      </c>
      <c r="AC481" t="s">
        <v>104</v>
      </c>
      <c r="AD481" t="s">
        <v>86</v>
      </c>
      <c r="AE481" t="s">
        <v>105</v>
      </c>
      <c r="AF481">
        <v>5</v>
      </c>
      <c r="AG481" t="s">
        <v>53</v>
      </c>
    </row>
    <row r="482" spans="1:33">
      <c r="A482" t="s">
        <v>1124</v>
      </c>
      <c r="B482" s="10">
        <v>45973</v>
      </c>
      <c r="C482" s="3" t="s">
        <v>171</v>
      </c>
      <c r="D482" t="s">
        <v>129</v>
      </c>
      <c r="E482" t="s">
        <v>57</v>
      </c>
      <c r="F482" t="s">
        <v>37</v>
      </c>
      <c r="G482" t="s">
        <v>38</v>
      </c>
      <c r="H482" t="s">
        <v>75</v>
      </c>
      <c r="I482" t="s">
        <v>76</v>
      </c>
      <c r="J482" t="s">
        <v>77</v>
      </c>
      <c r="K482" t="s">
        <v>78</v>
      </c>
      <c r="L482" t="s">
        <v>1125</v>
      </c>
      <c r="M482" t="s">
        <v>63</v>
      </c>
      <c r="N482" t="s">
        <v>81</v>
      </c>
      <c r="O482" t="s">
        <v>94</v>
      </c>
      <c r="P482" t="s">
        <v>95</v>
      </c>
      <c r="Q482" t="s">
        <v>66</v>
      </c>
      <c r="R482" t="s">
        <v>67</v>
      </c>
      <c r="S482">
        <v>1</v>
      </c>
      <c r="T482" s="14">
        <v>65.7</v>
      </c>
      <c r="U482" s="7">
        <v>12</v>
      </c>
      <c r="V482" s="7">
        <v>22</v>
      </c>
      <c r="W482" s="14">
        <v>99.7</v>
      </c>
      <c r="X482" s="14">
        <v>219</v>
      </c>
      <c r="Y482" s="16">
        <v>10</v>
      </c>
      <c r="Z482" s="12">
        <v>197.1</v>
      </c>
      <c r="AA482" s="5">
        <v>97.4</v>
      </c>
      <c r="AB482" s="18">
        <v>49.42</v>
      </c>
      <c r="AC482" t="s">
        <v>50</v>
      </c>
      <c r="AD482" t="s">
        <v>158</v>
      </c>
      <c r="AE482" t="s">
        <v>126</v>
      </c>
      <c r="AF482">
        <v>3</v>
      </c>
      <c r="AG482" t="s">
        <v>53</v>
      </c>
    </row>
    <row r="483" spans="1:33">
      <c r="A483" t="s">
        <v>1126</v>
      </c>
      <c r="B483" s="10">
        <v>45861</v>
      </c>
      <c r="C483" s="3" t="s">
        <v>211</v>
      </c>
      <c r="D483" t="s">
        <v>129</v>
      </c>
      <c r="E483" t="s">
        <v>114</v>
      </c>
      <c r="F483" t="s">
        <v>73</v>
      </c>
      <c r="G483" t="s">
        <v>74</v>
      </c>
      <c r="H483" t="s">
        <v>142</v>
      </c>
      <c r="I483" t="s">
        <v>143</v>
      </c>
      <c r="J483" t="s">
        <v>144</v>
      </c>
      <c r="K483" t="s">
        <v>145</v>
      </c>
      <c r="L483" t="s">
        <v>1127</v>
      </c>
      <c r="M483" t="s">
        <v>44</v>
      </c>
      <c r="N483" t="s">
        <v>81</v>
      </c>
      <c r="O483" t="s">
        <v>64</v>
      </c>
      <c r="P483" t="s">
        <v>65</v>
      </c>
      <c r="Q483" t="s">
        <v>66</v>
      </c>
      <c r="R483" t="s">
        <v>67</v>
      </c>
      <c r="S483">
        <v>1</v>
      </c>
      <c r="T483" s="14">
        <v>44.7</v>
      </c>
      <c r="U483" s="7">
        <v>12</v>
      </c>
      <c r="V483" s="7">
        <v>22</v>
      </c>
      <c r="W483" s="14">
        <v>78.7</v>
      </c>
      <c r="X483" s="14">
        <v>149</v>
      </c>
      <c r="Y483" s="16">
        <v>0</v>
      </c>
      <c r="Z483" s="12">
        <v>149</v>
      </c>
      <c r="AA483" s="5">
        <v>70.3</v>
      </c>
      <c r="AB483" s="18">
        <v>47.18</v>
      </c>
      <c r="AC483" t="s">
        <v>104</v>
      </c>
      <c r="AD483" t="s">
        <v>86</v>
      </c>
      <c r="AE483" t="s">
        <v>96</v>
      </c>
      <c r="AF483">
        <v>5</v>
      </c>
      <c r="AG483" t="s">
        <v>53</v>
      </c>
    </row>
    <row r="484" spans="1:33">
      <c r="A484" t="s">
        <v>1128</v>
      </c>
      <c r="B484" s="10">
        <v>45695</v>
      </c>
      <c r="C484" s="3" t="s">
        <v>182</v>
      </c>
      <c r="D484" t="s">
        <v>35</v>
      </c>
      <c r="E484" t="s">
        <v>90</v>
      </c>
      <c r="F484" t="s">
        <v>91</v>
      </c>
      <c r="G484" t="s">
        <v>92</v>
      </c>
      <c r="H484" t="s">
        <v>39</v>
      </c>
      <c r="I484" t="s">
        <v>2143</v>
      </c>
      <c r="J484" t="s">
        <v>41</v>
      </c>
      <c r="K484" t="s">
        <v>42</v>
      </c>
      <c r="L484" t="s">
        <v>1129</v>
      </c>
      <c r="M484" t="s">
        <v>44</v>
      </c>
      <c r="N484" t="s">
        <v>110</v>
      </c>
      <c r="O484" t="s">
        <v>94</v>
      </c>
      <c r="P484" t="s">
        <v>95</v>
      </c>
      <c r="Q484" t="s">
        <v>66</v>
      </c>
      <c r="R484" t="s">
        <v>67</v>
      </c>
      <c r="S484">
        <v>3</v>
      </c>
      <c r="T484" s="14">
        <v>65.7</v>
      </c>
      <c r="U484" s="7">
        <v>12</v>
      </c>
      <c r="V484" s="7">
        <v>22</v>
      </c>
      <c r="W484" s="14">
        <v>99.7</v>
      </c>
      <c r="X484" s="14">
        <v>219</v>
      </c>
      <c r="Y484" s="16">
        <v>10</v>
      </c>
      <c r="Z484" s="12">
        <v>591.29999999999995</v>
      </c>
      <c r="AA484" s="5">
        <v>292.2</v>
      </c>
      <c r="AB484" s="18">
        <v>49.42</v>
      </c>
      <c r="AC484" t="s">
        <v>104</v>
      </c>
      <c r="AD484" t="s">
        <v>51</v>
      </c>
      <c r="AE484" t="s">
        <v>68</v>
      </c>
      <c r="AF484">
        <v>5</v>
      </c>
      <c r="AG484" t="s">
        <v>53</v>
      </c>
    </row>
    <row r="485" spans="1:33">
      <c r="A485" t="s">
        <v>1130</v>
      </c>
      <c r="B485" s="10">
        <v>45862</v>
      </c>
      <c r="C485" s="3" t="s">
        <v>307</v>
      </c>
      <c r="D485" t="s">
        <v>56</v>
      </c>
      <c r="E485" t="s">
        <v>114</v>
      </c>
      <c r="F485" t="s">
        <v>73</v>
      </c>
      <c r="G485" t="s">
        <v>74</v>
      </c>
      <c r="H485" t="s">
        <v>75</v>
      </c>
      <c r="I485" t="s">
        <v>76</v>
      </c>
      <c r="J485" t="s">
        <v>77</v>
      </c>
      <c r="K485" t="s">
        <v>78</v>
      </c>
      <c r="L485" t="s">
        <v>1131</v>
      </c>
      <c r="M485" t="s">
        <v>44</v>
      </c>
      <c r="N485" t="s">
        <v>81</v>
      </c>
      <c r="O485" t="s">
        <v>119</v>
      </c>
      <c r="P485" t="s">
        <v>120</v>
      </c>
      <c r="Q485" t="s">
        <v>103</v>
      </c>
      <c r="R485" t="s">
        <v>49</v>
      </c>
      <c r="S485">
        <v>3</v>
      </c>
      <c r="T485" s="14">
        <v>54.18</v>
      </c>
      <c r="U485" s="7">
        <v>12</v>
      </c>
      <c r="V485" s="7">
        <v>22</v>
      </c>
      <c r="W485" s="14">
        <v>88.18</v>
      </c>
      <c r="X485" s="14">
        <v>180.6</v>
      </c>
      <c r="Y485" s="16">
        <v>10</v>
      </c>
      <c r="Z485" s="12">
        <v>487.62</v>
      </c>
      <c r="AA485" s="5">
        <v>223.08</v>
      </c>
      <c r="AB485" s="18">
        <v>45.75</v>
      </c>
      <c r="AC485" t="s">
        <v>50</v>
      </c>
      <c r="AD485" t="s">
        <v>51</v>
      </c>
      <c r="AE485" t="s">
        <v>68</v>
      </c>
      <c r="AF485">
        <v>5</v>
      </c>
      <c r="AG485" t="s">
        <v>53</v>
      </c>
    </row>
    <row r="486" spans="1:33">
      <c r="A486" t="s">
        <v>1132</v>
      </c>
      <c r="B486" s="10">
        <v>45767</v>
      </c>
      <c r="C486" s="3" t="s">
        <v>339</v>
      </c>
      <c r="D486" t="s">
        <v>89</v>
      </c>
      <c r="E486" t="s">
        <v>280</v>
      </c>
      <c r="F486" t="s">
        <v>131</v>
      </c>
      <c r="G486" t="s">
        <v>132</v>
      </c>
      <c r="H486" t="s">
        <v>58</v>
      </c>
      <c r="I486" t="s">
        <v>59</v>
      </c>
      <c r="J486" t="s">
        <v>60</v>
      </c>
      <c r="K486" t="s">
        <v>61</v>
      </c>
      <c r="L486" t="s">
        <v>1133</v>
      </c>
      <c r="M486" t="s">
        <v>63</v>
      </c>
      <c r="N486" t="s">
        <v>45</v>
      </c>
      <c r="O486" t="s">
        <v>64</v>
      </c>
      <c r="P486" t="s">
        <v>65</v>
      </c>
      <c r="Q486" t="s">
        <v>66</v>
      </c>
      <c r="R486" t="s">
        <v>67</v>
      </c>
      <c r="S486">
        <v>3</v>
      </c>
      <c r="T486" s="14">
        <v>44.7</v>
      </c>
      <c r="U486" s="7">
        <v>12</v>
      </c>
      <c r="V486" s="7">
        <v>22</v>
      </c>
      <c r="W486" s="14">
        <v>78.7</v>
      </c>
      <c r="X486" s="14">
        <v>149</v>
      </c>
      <c r="Y486" s="16">
        <v>10</v>
      </c>
      <c r="Z486" s="12">
        <v>402.3</v>
      </c>
      <c r="AA486" s="5">
        <v>166.2</v>
      </c>
      <c r="AB486" s="18">
        <v>41.31</v>
      </c>
      <c r="AC486" t="s">
        <v>111</v>
      </c>
      <c r="AD486" t="s">
        <v>158</v>
      </c>
      <c r="AE486" t="s">
        <v>96</v>
      </c>
      <c r="AF486">
        <v>4</v>
      </c>
      <c r="AG486" t="s">
        <v>53</v>
      </c>
    </row>
    <row r="487" spans="1:33">
      <c r="A487" t="s">
        <v>1134</v>
      </c>
      <c r="B487" s="10">
        <v>45999</v>
      </c>
      <c r="C487" s="3" t="s">
        <v>55</v>
      </c>
      <c r="D487" t="s">
        <v>206</v>
      </c>
      <c r="E487" t="s">
        <v>149</v>
      </c>
      <c r="F487" t="s">
        <v>37</v>
      </c>
      <c r="G487" t="s">
        <v>92</v>
      </c>
      <c r="H487" t="s">
        <v>115</v>
      </c>
      <c r="I487" t="s">
        <v>116</v>
      </c>
      <c r="J487" t="s">
        <v>117</v>
      </c>
      <c r="K487" t="s">
        <v>61</v>
      </c>
      <c r="L487" t="s">
        <v>1135</v>
      </c>
      <c r="M487" t="s">
        <v>63</v>
      </c>
      <c r="N487" t="s">
        <v>81</v>
      </c>
      <c r="O487" t="s">
        <v>94</v>
      </c>
      <c r="P487" t="s">
        <v>95</v>
      </c>
      <c r="Q487" t="s">
        <v>66</v>
      </c>
      <c r="R487" t="s">
        <v>84</v>
      </c>
      <c r="S487">
        <v>1</v>
      </c>
      <c r="T487" s="14">
        <v>78.84</v>
      </c>
      <c r="U487" s="7">
        <v>12</v>
      </c>
      <c r="V487" s="7">
        <v>22</v>
      </c>
      <c r="W487" s="14">
        <v>112.84</v>
      </c>
      <c r="X487" s="14">
        <v>262.8</v>
      </c>
      <c r="Y487" s="16">
        <v>0</v>
      </c>
      <c r="Z487" s="12">
        <v>262.8</v>
      </c>
      <c r="AA487" s="5">
        <v>149.96</v>
      </c>
      <c r="AB487" s="18">
        <v>57.06</v>
      </c>
      <c r="AC487" t="s">
        <v>50</v>
      </c>
      <c r="AD487" t="s">
        <v>51</v>
      </c>
      <c r="AE487" t="s">
        <v>96</v>
      </c>
      <c r="AF487">
        <v>5</v>
      </c>
      <c r="AG487" t="s">
        <v>53</v>
      </c>
    </row>
    <row r="488" spans="1:33">
      <c r="A488" t="s">
        <v>1136</v>
      </c>
      <c r="B488" s="10">
        <v>45918</v>
      </c>
      <c r="C488" s="3" t="s">
        <v>160</v>
      </c>
      <c r="D488" t="s">
        <v>56</v>
      </c>
      <c r="E488" t="s">
        <v>72</v>
      </c>
      <c r="F488" t="s">
        <v>73</v>
      </c>
      <c r="G488" t="s">
        <v>74</v>
      </c>
      <c r="H488" t="s">
        <v>142</v>
      </c>
      <c r="I488" t="s">
        <v>143</v>
      </c>
      <c r="J488" t="s">
        <v>144</v>
      </c>
      <c r="K488" t="s">
        <v>145</v>
      </c>
      <c r="L488" t="s">
        <v>1137</v>
      </c>
      <c r="M488" t="s">
        <v>63</v>
      </c>
      <c r="N488" t="s">
        <v>45</v>
      </c>
      <c r="O488" t="s">
        <v>275</v>
      </c>
      <c r="P488" t="s">
        <v>276</v>
      </c>
      <c r="Q488" t="s">
        <v>125</v>
      </c>
      <c r="R488" t="s">
        <v>67</v>
      </c>
      <c r="S488">
        <v>2</v>
      </c>
      <c r="T488" s="14">
        <v>68.7</v>
      </c>
      <c r="U488" s="7">
        <v>12</v>
      </c>
      <c r="V488" s="7">
        <v>22</v>
      </c>
      <c r="W488" s="14">
        <v>102.7</v>
      </c>
      <c r="X488" s="14">
        <v>229</v>
      </c>
      <c r="Y488" s="16">
        <v>10</v>
      </c>
      <c r="Z488" s="12">
        <v>412.2</v>
      </c>
      <c r="AA488" s="5">
        <v>206.8</v>
      </c>
      <c r="AB488" s="18">
        <v>50.17</v>
      </c>
      <c r="AC488" t="s">
        <v>104</v>
      </c>
      <c r="AD488" t="s">
        <v>51</v>
      </c>
      <c r="AE488" t="s">
        <v>52</v>
      </c>
      <c r="AF488">
        <v>5</v>
      </c>
      <c r="AG488" t="s">
        <v>53</v>
      </c>
    </row>
    <row r="489" spans="1:33">
      <c r="A489" t="s">
        <v>1138</v>
      </c>
      <c r="B489" s="10">
        <v>45677</v>
      </c>
      <c r="C489" s="3" t="s">
        <v>88</v>
      </c>
      <c r="D489" t="s">
        <v>206</v>
      </c>
      <c r="E489" t="s">
        <v>152</v>
      </c>
      <c r="F489" t="s">
        <v>91</v>
      </c>
      <c r="G489" t="s">
        <v>92</v>
      </c>
      <c r="H489" t="s">
        <v>133</v>
      </c>
      <c r="I489" t="s">
        <v>134</v>
      </c>
      <c r="J489" t="s">
        <v>135</v>
      </c>
      <c r="K489" t="s">
        <v>42</v>
      </c>
      <c r="L489" t="s">
        <v>1139</v>
      </c>
      <c r="M489" t="s">
        <v>63</v>
      </c>
      <c r="N489" t="s">
        <v>110</v>
      </c>
      <c r="O489" t="s">
        <v>176</v>
      </c>
      <c r="P489" t="s">
        <v>177</v>
      </c>
      <c r="Q489" t="s">
        <v>66</v>
      </c>
      <c r="R489" t="s">
        <v>49</v>
      </c>
      <c r="S489">
        <v>2</v>
      </c>
      <c r="T489" s="14">
        <v>70.98</v>
      </c>
      <c r="U489" s="7">
        <v>12</v>
      </c>
      <c r="V489" s="7">
        <v>22</v>
      </c>
      <c r="W489" s="14">
        <v>104.98</v>
      </c>
      <c r="X489" s="14">
        <v>236.6</v>
      </c>
      <c r="Y489" s="16">
        <v>0</v>
      </c>
      <c r="Z489" s="12">
        <v>473.2</v>
      </c>
      <c r="AA489" s="5">
        <v>263.24</v>
      </c>
      <c r="AB489" s="18">
        <v>55.63</v>
      </c>
      <c r="AC489" t="s">
        <v>85</v>
      </c>
      <c r="AD489" t="s">
        <v>158</v>
      </c>
      <c r="AE489" t="s">
        <v>68</v>
      </c>
      <c r="AF489">
        <v>5</v>
      </c>
      <c r="AG489" t="s">
        <v>53</v>
      </c>
    </row>
    <row r="490" spans="1:33">
      <c r="A490" t="s">
        <v>1140</v>
      </c>
      <c r="B490" s="10">
        <v>45908</v>
      </c>
      <c r="C490" s="3" t="s">
        <v>98</v>
      </c>
      <c r="D490" t="s">
        <v>206</v>
      </c>
      <c r="E490" t="s">
        <v>72</v>
      </c>
      <c r="F490" t="s">
        <v>73</v>
      </c>
      <c r="G490" t="s">
        <v>74</v>
      </c>
      <c r="H490" t="s">
        <v>58</v>
      </c>
      <c r="I490" t="s">
        <v>59</v>
      </c>
      <c r="J490" t="s">
        <v>60</v>
      </c>
      <c r="K490" t="s">
        <v>61</v>
      </c>
      <c r="L490" t="s">
        <v>1141</v>
      </c>
      <c r="M490" t="s">
        <v>44</v>
      </c>
      <c r="N490" t="s">
        <v>110</v>
      </c>
      <c r="O490" t="s">
        <v>64</v>
      </c>
      <c r="P490" t="s">
        <v>65</v>
      </c>
      <c r="Q490" t="s">
        <v>66</v>
      </c>
      <c r="R490" t="s">
        <v>67</v>
      </c>
      <c r="S490">
        <v>1</v>
      </c>
      <c r="T490" s="14">
        <v>44.7</v>
      </c>
      <c r="U490" s="7">
        <v>12</v>
      </c>
      <c r="V490" s="7">
        <v>22</v>
      </c>
      <c r="W490" s="14">
        <v>78.7</v>
      </c>
      <c r="X490" s="14">
        <v>149</v>
      </c>
      <c r="Y490" s="16">
        <v>0</v>
      </c>
      <c r="Z490" s="12">
        <v>149</v>
      </c>
      <c r="AA490" s="5">
        <v>70.3</v>
      </c>
      <c r="AB490" s="18">
        <v>47.18</v>
      </c>
      <c r="AC490" t="s">
        <v>50</v>
      </c>
      <c r="AD490" t="s">
        <v>86</v>
      </c>
      <c r="AE490" t="s">
        <v>68</v>
      </c>
      <c r="AF490">
        <v>5</v>
      </c>
      <c r="AG490" t="s">
        <v>53</v>
      </c>
    </row>
    <row r="491" spans="1:33">
      <c r="A491" t="s">
        <v>1142</v>
      </c>
      <c r="B491" s="10">
        <v>45832</v>
      </c>
      <c r="C491" s="3" t="s">
        <v>113</v>
      </c>
      <c r="D491" t="s">
        <v>156</v>
      </c>
      <c r="E491" t="s">
        <v>174</v>
      </c>
      <c r="F491" t="s">
        <v>131</v>
      </c>
      <c r="G491" t="s">
        <v>132</v>
      </c>
      <c r="H491" t="s">
        <v>75</v>
      </c>
      <c r="I491" t="s">
        <v>76</v>
      </c>
      <c r="J491" t="s">
        <v>77</v>
      </c>
      <c r="K491" t="s">
        <v>78</v>
      </c>
      <c r="L491" t="s">
        <v>1143</v>
      </c>
      <c r="M491" t="s">
        <v>44</v>
      </c>
      <c r="N491" t="s">
        <v>81</v>
      </c>
      <c r="O491" t="s">
        <v>82</v>
      </c>
      <c r="P491" t="s">
        <v>83</v>
      </c>
      <c r="Q491" t="s">
        <v>66</v>
      </c>
      <c r="R491" t="s">
        <v>49</v>
      </c>
      <c r="S491">
        <v>1</v>
      </c>
      <c r="T491" s="14">
        <v>100.38</v>
      </c>
      <c r="U491" s="7">
        <v>12</v>
      </c>
      <c r="V491" s="7">
        <v>22</v>
      </c>
      <c r="W491" s="14">
        <v>134.38</v>
      </c>
      <c r="X491" s="14">
        <v>334.6</v>
      </c>
      <c r="Y491" s="16">
        <v>10</v>
      </c>
      <c r="Z491" s="12">
        <v>301.14</v>
      </c>
      <c r="AA491" s="5">
        <v>166.76</v>
      </c>
      <c r="AB491" s="18">
        <v>55.38</v>
      </c>
      <c r="AC491" t="s">
        <v>85</v>
      </c>
      <c r="AD491" t="s">
        <v>158</v>
      </c>
      <c r="AE491" t="s">
        <v>126</v>
      </c>
      <c r="AF491">
        <v>5</v>
      </c>
      <c r="AG491" t="s">
        <v>53</v>
      </c>
    </row>
    <row r="492" spans="1:33">
      <c r="A492" t="s">
        <v>1144</v>
      </c>
      <c r="B492" s="10">
        <v>45878</v>
      </c>
      <c r="C492" s="3" t="s">
        <v>98</v>
      </c>
      <c r="D492" t="s">
        <v>71</v>
      </c>
      <c r="E492" t="s">
        <v>99</v>
      </c>
      <c r="F492" t="s">
        <v>73</v>
      </c>
      <c r="G492" t="s">
        <v>74</v>
      </c>
      <c r="H492" t="s">
        <v>39</v>
      </c>
      <c r="I492" t="s">
        <v>2143</v>
      </c>
      <c r="J492" t="s">
        <v>41</v>
      </c>
      <c r="K492" t="s">
        <v>42</v>
      </c>
      <c r="L492" t="s">
        <v>1145</v>
      </c>
      <c r="M492" t="s">
        <v>44</v>
      </c>
      <c r="N492" t="s">
        <v>81</v>
      </c>
      <c r="O492" t="s">
        <v>213</v>
      </c>
      <c r="P492" t="s">
        <v>214</v>
      </c>
      <c r="Q492" t="s">
        <v>215</v>
      </c>
      <c r="R492" t="s">
        <v>67</v>
      </c>
      <c r="S492">
        <v>1</v>
      </c>
      <c r="T492" s="14">
        <v>89.7</v>
      </c>
      <c r="U492" s="7">
        <v>12</v>
      </c>
      <c r="V492" s="7">
        <v>22</v>
      </c>
      <c r="W492" s="14">
        <v>123.7</v>
      </c>
      <c r="X492" s="14">
        <v>299</v>
      </c>
      <c r="Y492" s="16">
        <v>55</v>
      </c>
      <c r="Z492" s="12">
        <v>254.15</v>
      </c>
      <c r="AA492" s="5">
        <v>130.44999999999999</v>
      </c>
      <c r="AB492" s="18">
        <v>51.33</v>
      </c>
      <c r="AC492" t="s">
        <v>85</v>
      </c>
      <c r="AD492" t="s">
        <v>86</v>
      </c>
      <c r="AE492" t="s">
        <v>96</v>
      </c>
      <c r="AF492">
        <v>5</v>
      </c>
      <c r="AG492" t="s">
        <v>53</v>
      </c>
    </row>
    <row r="493" spans="1:33">
      <c r="A493" t="s">
        <v>1146</v>
      </c>
      <c r="B493" s="10">
        <v>45925</v>
      </c>
      <c r="C493" s="3" t="s">
        <v>194</v>
      </c>
      <c r="D493" t="s">
        <v>56</v>
      </c>
      <c r="E493" t="s">
        <v>72</v>
      </c>
      <c r="F493" t="s">
        <v>73</v>
      </c>
      <c r="G493" t="s">
        <v>74</v>
      </c>
      <c r="H493" t="s">
        <v>115</v>
      </c>
      <c r="I493" t="s">
        <v>116</v>
      </c>
      <c r="J493" t="s">
        <v>117</v>
      </c>
      <c r="K493" t="s">
        <v>61</v>
      </c>
      <c r="L493" t="s">
        <v>1147</v>
      </c>
      <c r="M493" t="s">
        <v>80</v>
      </c>
      <c r="N493" t="s">
        <v>81</v>
      </c>
      <c r="O493" t="s">
        <v>64</v>
      </c>
      <c r="P493" t="s">
        <v>65</v>
      </c>
      <c r="Q493" t="s">
        <v>66</v>
      </c>
      <c r="R493" t="s">
        <v>84</v>
      </c>
      <c r="S493">
        <v>3</v>
      </c>
      <c r="T493" s="14">
        <v>53.64</v>
      </c>
      <c r="U493" s="7">
        <v>12</v>
      </c>
      <c r="V493" s="7">
        <v>22</v>
      </c>
      <c r="W493" s="14">
        <v>87.64</v>
      </c>
      <c r="X493" s="14">
        <v>178.8</v>
      </c>
      <c r="Y493" s="16">
        <v>0</v>
      </c>
      <c r="Z493" s="12">
        <v>536.4</v>
      </c>
      <c r="AA493" s="5">
        <v>273.48</v>
      </c>
      <c r="AB493" s="18">
        <v>50.98</v>
      </c>
      <c r="AC493" t="s">
        <v>50</v>
      </c>
      <c r="AD493" t="s">
        <v>86</v>
      </c>
      <c r="AE493" t="s">
        <v>126</v>
      </c>
      <c r="AF493">
        <v>5</v>
      </c>
      <c r="AG493" t="s">
        <v>53</v>
      </c>
    </row>
    <row r="494" spans="1:33">
      <c r="A494" t="s">
        <v>1148</v>
      </c>
      <c r="B494" s="10">
        <v>45971</v>
      </c>
      <c r="C494" s="3" t="s">
        <v>70</v>
      </c>
      <c r="D494" t="s">
        <v>206</v>
      </c>
      <c r="E494" t="s">
        <v>57</v>
      </c>
      <c r="F494" t="s">
        <v>37</v>
      </c>
      <c r="G494" t="s">
        <v>38</v>
      </c>
      <c r="H494" t="s">
        <v>133</v>
      </c>
      <c r="I494" t="s">
        <v>134</v>
      </c>
      <c r="J494" t="s">
        <v>135</v>
      </c>
      <c r="K494" t="s">
        <v>42</v>
      </c>
      <c r="L494" t="s">
        <v>1149</v>
      </c>
      <c r="M494" t="s">
        <v>63</v>
      </c>
      <c r="N494" t="s">
        <v>81</v>
      </c>
      <c r="O494" t="s">
        <v>94</v>
      </c>
      <c r="P494" t="s">
        <v>95</v>
      </c>
      <c r="Q494" t="s">
        <v>66</v>
      </c>
      <c r="R494" t="s">
        <v>49</v>
      </c>
      <c r="S494">
        <v>2</v>
      </c>
      <c r="T494" s="14">
        <v>91.98</v>
      </c>
      <c r="U494" s="7">
        <v>12</v>
      </c>
      <c r="V494" s="7">
        <v>22</v>
      </c>
      <c r="W494" s="14">
        <v>125.98</v>
      </c>
      <c r="X494" s="14">
        <v>306.60000000000002</v>
      </c>
      <c r="Y494" s="16">
        <v>5</v>
      </c>
      <c r="Z494" s="12">
        <v>582.54</v>
      </c>
      <c r="AA494" s="5">
        <v>330.58</v>
      </c>
      <c r="AB494" s="18">
        <v>56.75</v>
      </c>
      <c r="AC494" t="s">
        <v>111</v>
      </c>
      <c r="AD494" t="s">
        <v>51</v>
      </c>
      <c r="AE494" t="s">
        <v>68</v>
      </c>
      <c r="AF494">
        <v>5</v>
      </c>
      <c r="AG494" t="s">
        <v>53</v>
      </c>
    </row>
    <row r="495" spans="1:33">
      <c r="A495" t="s">
        <v>1150</v>
      </c>
      <c r="B495" s="10">
        <v>45803</v>
      </c>
      <c r="C495" s="3" t="s">
        <v>194</v>
      </c>
      <c r="D495" t="s">
        <v>206</v>
      </c>
      <c r="E495" t="s">
        <v>130</v>
      </c>
      <c r="F495" t="s">
        <v>131</v>
      </c>
      <c r="G495" t="s">
        <v>132</v>
      </c>
      <c r="H495" t="s">
        <v>58</v>
      </c>
      <c r="I495" t="s">
        <v>59</v>
      </c>
      <c r="J495" t="s">
        <v>60</v>
      </c>
      <c r="K495" t="s">
        <v>61</v>
      </c>
      <c r="L495" t="s">
        <v>1151</v>
      </c>
      <c r="M495" t="s">
        <v>80</v>
      </c>
      <c r="N495" t="s">
        <v>45</v>
      </c>
      <c r="O495" t="s">
        <v>64</v>
      </c>
      <c r="P495" t="s">
        <v>65</v>
      </c>
      <c r="Q495" t="s">
        <v>66</v>
      </c>
      <c r="R495" t="s">
        <v>49</v>
      </c>
      <c r="S495">
        <v>2</v>
      </c>
      <c r="T495" s="14">
        <v>62.58</v>
      </c>
      <c r="U495" s="7">
        <v>12</v>
      </c>
      <c r="V495" s="7">
        <v>22</v>
      </c>
      <c r="W495" s="14">
        <v>96.58</v>
      </c>
      <c r="X495" s="14">
        <v>208.6</v>
      </c>
      <c r="Y495" s="16">
        <v>10</v>
      </c>
      <c r="Z495" s="12">
        <v>375.48</v>
      </c>
      <c r="AA495" s="5">
        <v>182.32</v>
      </c>
      <c r="AB495" s="18">
        <v>48.56</v>
      </c>
      <c r="AC495" t="s">
        <v>50</v>
      </c>
      <c r="AD495" t="s">
        <v>86</v>
      </c>
      <c r="AE495" t="s">
        <v>105</v>
      </c>
      <c r="AF495">
        <v>5</v>
      </c>
      <c r="AG495" t="s">
        <v>53</v>
      </c>
    </row>
    <row r="496" spans="1:33">
      <c r="A496" t="s">
        <v>1152</v>
      </c>
      <c r="B496" s="10">
        <v>45981</v>
      </c>
      <c r="C496" s="3" t="s">
        <v>113</v>
      </c>
      <c r="D496" t="s">
        <v>56</v>
      </c>
      <c r="E496" t="s">
        <v>57</v>
      </c>
      <c r="F496" t="s">
        <v>37</v>
      </c>
      <c r="G496" t="s">
        <v>38</v>
      </c>
      <c r="H496" t="s">
        <v>115</v>
      </c>
      <c r="I496" t="s">
        <v>116</v>
      </c>
      <c r="J496" t="s">
        <v>117</v>
      </c>
      <c r="K496" t="s">
        <v>61</v>
      </c>
      <c r="L496" t="s">
        <v>1153</v>
      </c>
      <c r="M496" t="s">
        <v>63</v>
      </c>
      <c r="N496" t="s">
        <v>81</v>
      </c>
      <c r="O496" t="s">
        <v>82</v>
      </c>
      <c r="P496" t="s">
        <v>83</v>
      </c>
      <c r="Q496" t="s">
        <v>66</v>
      </c>
      <c r="R496" t="s">
        <v>84</v>
      </c>
      <c r="S496">
        <v>3</v>
      </c>
      <c r="T496" s="14">
        <v>86.04</v>
      </c>
      <c r="U496" s="7">
        <v>12</v>
      </c>
      <c r="V496" s="7">
        <v>22</v>
      </c>
      <c r="W496" s="14">
        <v>120.04</v>
      </c>
      <c r="X496" s="14">
        <v>286.8</v>
      </c>
      <c r="Y496" s="16">
        <v>5</v>
      </c>
      <c r="Z496" s="12">
        <v>817.38</v>
      </c>
      <c r="AA496" s="5">
        <v>457.26</v>
      </c>
      <c r="AB496" s="18">
        <v>55.94</v>
      </c>
      <c r="AC496" t="s">
        <v>50</v>
      </c>
      <c r="AD496" t="s">
        <v>158</v>
      </c>
      <c r="AE496" t="s">
        <v>96</v>
      </c>
      <c r="AF496">
        <v>5</v>
      </c>
      <c r="AG496" t="s">
        <v>53</v>
      </c>
    </row>
    <row r="497" spans="1:33">
      <c r="A497" t="s">
        <v>1154</v>
      </c>
      <c r="B497" s="10">
        <v>45765</v>
      </c>
      <c r="C497" s="3" t="s">
        <v>55</v>
      </c>
      <c r="D497" t="s">
        <v>35</v>
      </c>
      <c r="E497" t="s">
        <v>280</v>
      </c>
      <c r="F497" t="s">
        <v>131</v>
      </c>
      <c r="G497" t="s">
        <v>132</v>
      </c>
      <c r="H497" t="s">
        <v>115</v>
      </c>
      <c r="I497" t="s">
        <v>116</v>
      </c>
      <c r="J497" t="s">
        <v>117</v>
      </c>
      <c r="K497" t="s">
        <v>61</v>
      </c>
      <c r="L497" t="s">
        <v>1155</v>
      </c>
      <c r="M497" t="s">
        <v>44</v>
      </c>
      <c r="N497" t="s">
        <v>45</v>
      </c>
      <c r="O497" t="s">
        <v>64</v>
      </c>
      <c r="P497" t="s">
        <v>65</v>
      </c>
      <c r="Q497" t="s">
        <v>66</v>
      </c>
      <c r="R497" t="s">
        <v>84</v>
      </c>
      <c r="S497">
        <v>2</v>
      </c>
      <c r="T497" s="14">
        <v>53.64</v>
      </c>
      <c r="U497" s="7">
        <v>12</v>
      </c>
      <c r="V497" s="7">
        <v>22</v>
      </c>
      <c r="W497" s="14">
        <v>87.64</v>
      </c>
      <c r="X497" s="14">
        <v>178.8</v>
      </c>
      <c r="Y497" s="16">
        <v>10</v>
      </c>
      <c r="Z497" s="12">
        <v>321.83999999999997</v>
      </c>
      <c r="AA497" s="5">
        <v>146.56</v>
      </c>
      <c r="AB497" s="18">
        <v>45.54</v>
      </c>
      <c r="AC497" t="s">
        <v>104</v>
      </c>
      <c r="AD497" t="s">
        <v>51</v>
      </c>
      <c r="AE497" t="s">
        <v>126</v>
      </c>
      <c r="AF497">
        <v>4</v>
      </c>
      <c r="AG497" t="s">
        <v>53</v>
      </c>
    </row>
    <row r="498" spans="1:33">
      <c r="A498" t="s">
        <v>1156</v>
      </c>
      <c r="B498" s="10">
        <v>45950</v>
      </c>
      <c r="C498" s="3" t="s">
        <v>339</v>
      </c>
      <c r="D498" t="s">
        <v>206</v>
      </c>
      <c r="E498" t="s">
        <v>36</v>
      </c>
      <c r="F498" t="s">
        <v>37</v>
      </c>
      <c r="G498" t="s">
        <v>38</v>
      </c>
      <c r="H498" t="s">
        <v>75</v>
      </c>
      <c r="I498" t="s">
        <v>76</v>
      </c>
      <c r="J498" t="s">
        <v>77</v>
      </c>
      <c r="K498" t="s">
        <v>78</v>
      </c>
      <c r="L498" t="s">
        <v>1157</v>
      </c>
      <c r="M498" t="s">
        <v>63</v>
      </c>
      <c r="N498" t="s">
        <v>81</v>
      </c>
      <c r="O498" t="s">
        <v>82</v>
      </c>
      <c r="P498" t="s">
        <v>83</v>
      </c>
      <c r="Q498" t="s">
        <v>66</v>
      </c>
      <c r="R498" t="s">
        <v>49</v>
      </c>
      <c r="S498">
        <v>3</v>
      </c>
      <c r="T498" s="14">
        <v>100.38</v>
      </c>
      <c r="U498" s="7">
        <v>12</v>
      </c>
      <c r="V498" s="7">
        <v>22</v>
      </c>
      <c r="W498" s="14">
        <v>134.38</v>
      </c>
      <c r="X498" s="14">
        <v>334.6</v>
      </c>
      <c r="Y498" s="16">
        <v>5</v>
      </c>
      <c r="Z498" s="12">
        <v>953.61</v>
      </c>
      <c r="AA498" s="5">
        <v>550.47</v>
      </c>
      <c r="AB498" s="18">
        <v>57.72</v>
      </c>
      <c r="AC498" t="s">
        <v>85</v>
      </c>
      <c r="AD498" t="s">
        <v>158</v>
      </c>
      <c r="AE498" t="s">
        <v>52</v>
      </c>
      <c r="AF498">
        <v>5</v>
      </c>
      <c r="AG498" t="s">
        <v>53</v>
      </c>
    </row>
    <row r="499" spans="1:33">
      <c r="A499" t="s">
        <v>1158</v>
      </c>
      <c r="B499" s="10">
        <v>45873</v>
      </c>
      <c r="C499" s="3" t="s">
        <v>339</v>
      </c>
      <c r="D499" t="s">
        <v>206</v>
      </c>
      <c r="E499" t="s">
        <v>99</v>
      </c>
      <c r="F499" t="s">
        <v>73</v>
      </c>
      <c r="G499" t="s">
        <v>74</v>
      </c>
      <c r="H499" t="s">
        <v>58</v>
      </c>
      <c r="I499" t="s">
        <v>59</v>
      </c>
      <c r="J499" t="s">
        <v>60</v>
      </c>
      <c r="K499" t="s">
        <v>61</v>
      </c>
      <c r="L499" t="s">
        <v>1159</v>
      </c>
      <c r="M499" t="s">
        <v>44</v>
      </c>
      <c r="N499" t="s">
        <v>81</v>
      </c>
      <c r="O499" t="s">
        <v>137</v>
      </c>
      <c r="P499" t="s">
        <v>138</v>
      </c>
      <c r="Q499" t="s">
        <v>139</v>
      </c>
      <c r="R499" t="s">
        <v>49</v>
      </c>
      <c r="S499">
        <v>3</v>
      </c>
      <c r="T499" s="14">
        <v>83.58</v>
      </c>
      <c r="U499" s="7">
        <v>12</v>
      </c>
      <c r="V499" s="7">
        <v>22</v>
      </c>
      <c r="W499" s="14">
        <v>117.58</v>
      </c>
      <c r="X499" s="14">
        <v>278.60000000000002</v>
      </c>
      <c r="Y499" s="16">
        <v>10</v>
      </c>
      <c r="Z499" s="12">
        <v>752.22</v>
      </c>
      <c r="AA499" s="5">
        <v>399.48</v>
      </c>
      <c r="AB499" s="18">
        <v>53.11</v>
      </c>
      <c r="AC499" t="s">
        <v>50</v>
      </c>
      <c r="AD499" t="s">
        <v>158</v>
      </c>
      <c r="AE499" t="s">
        <v>126</v>
      </c>
      <c r="AF499">
        <v>4</v>
      </c>
      <c r="AG499" t="s">
        <v>53</v>
      </c>
    </row>
    <row r="500" spans="1:33">
      <c r="A500" t="s">
        <v>1160</v>
      </c>
      <c r="B500" s="10">
        <v>45751</v>
      </c>
      <c r="C500" s="3" t="s">
        <v>113</v>
      </c>
      <c r="D500" t="s">
        <v>35</v>
      </c>
      <c r="E500" t="s">
        <v>280</v>
      </c>
      <c r="F500" t="s">
        <v>131</v>
      </c>
      <c r="G500" t="s">
        <v>132</v>
      </c>
      <c r="H500" t="s">
        <v>133</v>
      </c>
      <c r="I500" t="s">
        <v>134</v>
      </c>
      <c r="J500" t="s">
        <v>135</v>
      </c>
      <c r="K500" t="s">
        <v>42</v>
      </c>
      <c r="L500" t="s">
        <v>1161</v>
      </c>
      <c r="M500" t="s">
        <v>63</v>
      </c>
      <c r="N500" t="s">
        <v>45</v>
      </c>
      <c r="O500" t="s">
        <v>176</v>
      </c>
      <c r="P500" t="s">
        <v>177</v>
      </c>
      <c r="Q500" t="s">
        <v>66</v>
      </c>
      <c r="R500" t="s">
        <v>84</v>
      </c>
      <c r="S500">
        <v>1</v>
      </c>
      <c r="T500" s="14">
        <v>60.84</v>
      </c>
      <c r="U500" s="7">
        <v>12</v>
      </c>
      <c r="V500" s="7">
        <v>22</v>
      </c>
      <c r="W500" s="14">
        <v>94.84</v>
      </c>
      <c r="X500" s="14">
        <v>202.8</v>
      </c>
      <c r="Y500" s="16">
        <v>0</v>
      </c>
      <c r="Z500" s="12">
        <v>202.8</v>
      </c>
      <c r="AA500" s="5">
        <v>107.96</v>
      </c>
      <c r="AB500" s="18">
        <v>53.23</v>
      </c>
      <c r="AC500" t="s">
        <v>50</v>
      </c>
      <c r="AD500" t="s">
        <v>51</v>
      </c>
      <c r="AE500" t="s">
        <v>126</v>
      </c>
      <c r="AF500">
        <v>4</v>
      </c>
      <c r="AG500" t="s">
        <v>53</v>
      </c>
    </row>
    <row r="501" spans="1:33">
      <c r="A501" t="s">
        <v>1162</v>
      </c>
      <c r="B501" s="10">
        <v>45732</v>
      </c>
      <c r="C501" s="3" t="s">
        <v>199</v>
      </c>
      <c r="D501" t="s">
        <v>89</v>
      </c>
      <c r="E501" t="s">
        <v>108</v>
      </c>
      <c r="F501" t="s">
        <v>91</v>
      </c>
      <c r="G501" t="s">
        <v>38</v>
      </c>
      <c r="H501" t="s">
        <v>75</v>
      </c>
      <c r="I501" t="s">
        <v>76</v>
      </c>
      <c r="J501" t="s">
        <v>77</v>
      </c>
      <c r="K501" t="s">
        <v>78</v>
      </c>
      <c r="L501" t="s">
        <v>1163</v>
      </c>
      <c r="M501" t="s">
        <v>80</v>
      </c>
      <c r="N501" t="s">
        <v>45</v>
      </c>
      <c r="O501" t="s">
        <v>213</v>
      </c>
      <c r="P501" t="s">
        <v>214</v>
      </c>
      <c r="Q501" t="s">
        <v>215</v>
      </c>
      <c r="R501" t="s">
        <v>84</v>
      </c>
      <c r="S501">
        <v>4</v>
      </c>
      <c r="T501" s="14">
        <v>107.64</v>
      </c>
      <c r="U501" s="7">
        <v>12</v>
      </c>
      <c r="V501" s="7">
        <v>22</v>
      </c>
      <c r="W501" s="14">
        <v>141.63999999999999</v>
      </c>
      <c r="X501" s="14">
        <v>358.8</v>
      </c>
      <c r="Y501" s="16">
        <v>15</v>
      </c>
      <c r="Z501" s="12">
        <v>1219.92</v>
      </c>
      <c r="AA501" s="5">
        <v>653.36</v>
      </c>
      <c r="AB501" s="18">
        <v>53.56</v>
      </c>
      <c r="AC501" t="s">
        <v>50</v>
      </c>
      <c r="AD501" t="s">
        <v>51</v>
      </c>
      <c r="AE501" t="s">
        <v>126</v>
      </c>
      <c r="AF501">
        <v>4</v>
      </c>
      <c r="AG501" t="s">
        <v>53</v>
      </c>
    </row>
    <row r="502" spans="1:33">
      <c r="A502" t="s">
        <v>1164</v>
      </c>
      <c r="B502" s="10">
        <v>45685</v>
      </c>
      <c r="C502" s="3" t="s">
        <v>182</v>
      </c>
      <c r="D502" t="s">
        <v>156</v>
      </c>
      <c r="E502" t="s">
        <v>152</v>
      </c>
      <c r="F502" t="s">
        <v>91</v>
      </c>
      <c r="G502" t="s">
        <v>92</v>
      </c>
      <c r="H502" t="s">
        <v>39</v>
      </c>
      <c r="I502" t="s">
        <v>2143</v>
      </c>
      <c r="J502" t="s">
        <v>41</v>
      </c>
      <c r="K502" t="s">
        <v>42</v>
      </c>
      <c r="L502" t="s">
        <v>1165</v>
      </c>
      <c r="M502" t="s">
        <v>63</v>
      </c>
      <c r="N502" t="s">
        <v>110</v>
      </c>
      <c r="O502" t="s">
        <v>123</v>
      </c>
      <c r="P502" t="s">
        <v>124</v>
      </c>
      <c r="Q502" t="s">
        <v>125</v>
      </c>
      <c r="R502" t="s">
        <v>84</v>
      </c>
      <c r="S502">
        <v>2</v>
      </c>
      <c r="T502" s="14">
        <v>89.64</v>
      </c>
      <c r="U502" s="7">
        <v>12</v>
      </c>
      <c r="V502" s="7">
        <v>22</v>
      </c>
      <c r="W502" s="14">
        <v>123.64</v>
      </c>
      <c r="X502" s="14">
        <v>298.8</v>
      </c>
      <c r="Y502" s="16">
        <v>5</v>
      </c>
      <c r="Z502" s="12">
        <v>567.72</v>
      </c>
      <c r="AA502" s="5">
        <v>320.44</v>
      </c>
      <c r="AB502" s="18">
        <v>56.44</v>
      </c>
      <c r="AC502" t="s">
        <v>104</v>
      </c>
      <c r="AD502" t="s">
        <v>86</v>
      </c>
      <c r="AE502" t="s">
        <v>96</v>
      </c>
      <c r="AF502">
        <v>5</v>
      </c>
      <c r="AG502" t="s">
        <v>53</v>
      </c>
    </row>
    <row r="503" spans="1:33">
      <c r="A503" t="s">
        <v>1166</v>
      </c>
      <c r="B503" s="10">
        <v>46007</v>
      </c>
      <c r="C503" s="3" t="s">
        <v>310</v>
      </c>
      <c r="D503" t="s">
        <v>156</v>
      </c>
      <c r="E503" t="s">
        <v>149</v>
      </c>
      <c r="F503" t="s">
        <v>37</v>
      </c>
      <c r="G503" t="s">
        <v>92</v>
      </c>
      <c r="H503" t="s">
        <v>58</v>
      </c>
      <c r="I503" t="s">
        <v>59</v>
      </c>
      <c r="J503" t="s">
        <v>60</v>
      </c>
      <c r="K503" t="s">
        <v>61</v>
      </c>
      <c r="L503" t="s">
        <v>1167</v>
      </c>
      <c r="M503" t="s">
        <v>44</v>
      </c>
      <c r="N503" t="s">
        <v>45</v>
      </c>
      <c r="O503" t="s">
        <v>94</v>
      </c>
      <c r="P503" t="s">
        <v>95</v>
      </c>
      <c r="Q503" t="s">
        <v>66</v>
      </c>
      <c r="R503" t="s">
        <v>49</v>
      </c>
      <c r="S503">
        <v>2</v>
      </c>
      <c r="T503" s="14">
        <v>91.98</v>
      </c>
      <c r="U503" s="7">
        <v>12</v>
      </c>
      <c r="V503" s="7">
        <v>22</v>
      </c>
      <c r="W503" s="14">
        <v>125.98</v>
      </c>
      <c r="X503" s="14">
        <v>306.60000000000002</v>
      </c>
      <c r="Y503" s="16">
        <v>0</v>
      </c>
      <c r="Z503" s="12">
        <v>613.20000000000005</v>
      </c>
      <c r="AA503" s="5">
        <v>361.24</v>
      </c>
      <c r="AB503" s="18">
        <v>58.91</v>
      </c>
      <c r="AC503" t="s">
        <v>85</v>
      </c>
      <c r="AD503" t="s">
        <v>158</v>
      </c>
      <c r="AE503" t="s">
        <v>96</v>
      </c>
      <c r="AF503">
        <v>4</v>
      </c>
      <c r="AG503" t="s">
        <v>53</v>
      </c>
    </row>
    <row r="504" spans="1:33">
      <c r="A504" t="s">
        <v>1168</v>
      </c>
      <c r="B504" s="10">
        <v>45871</v>
      </c>
      <c r="C504" s="3" t="s">
        <v>171</v>
      </c>
      <c r="D504" t="s">
        <v>71</v>
      </c>
      <c r="E504" t="s">
        <v>99</v>
      </c>
      <c r="F504" t="s">
        <v>73</v>
      </c>
      <c r="G504" t="s">
        <v>74</v>
      </c>
      <c r="H504" t="s">
        <v>58</v>
      </c>
      <c r="I504" t="s">
        <v>59</v>
      </c>
      <c r="J504" t="s">
        <v>60</v>
      </c>
      <c r="K504" t="s">
        <v>61</v>
      </c>
      <c r="L504" t="s">
        <v>1169</v>
      </c>
      <c r="M504" t="s">
        <v>63</v>
      </c>
      <c r="N504" t="s">
        <v>45</v>
      </c>
      <c r="O504" t="s">
        <v>64</v>
      </c>
      <c r="P504" t="s">
        <v>65</v>
      </c>
      <c r="Q504" t="s">
        <v>66</v>
      </c>
      <c r="R504" t="s">
        <v>49</v>
      </c>
      <c r="S504">
        <v>2</v>
      </c>
      <c r="T504" s="14">
        <v>62.58</v>
      </c>
      <c r="U504" s="7">
        <v>12</v>
      </c>
      <c r="V504" s="7">
        <v>22</v>
      </c>
      <c r="W504" s="14">
        <v>96.58</v>
      </c>
      <c r="X504" s="14">
        <v>208.6</v>
      </c>
      <c r="Y504" s="16">
        <v>15</v>
      </c>
      <c r="Z504" s="12">
        <v>354.62</v>
      </c>
      <c r="AA504" s="5">
        <v>161.46</v>
      </c>
      <c r="AB504" s="18">
        <v>45.53</v>
      </c>
      <c r="AC504" t="s">
        <v>111</v>
      </c>
      <c r="AD504" t="s">
        <v>86</v>
      </c>
      <c r="AE504" t="s">
        <v>52</v>
      </c>
      <c r="AF504">
        <v>5</v>
      </c>
      <c r="AG504" t="s">
        <v>53</v>
      </c>
    </row>
    <row r="505" spans="1:33">
      <c r="A505" t="s">
        <v>1170</v>
      </c>
      <c r="B505" s="10">
        <v>45792</v>
      </c>
      <c r="C505" s="3" t="s">
        <v>185</v>
      </c>
      <c r="D505" t="s">
        <v>56</v>
      </c>
      <c r="E505" t="s">
        <v>130</v>
      </c>
      <c r="F505" t="s">
        <v>131</v>
      </c>
      <c r="G505" t="s">
        <v>132</v>
      </c>
      <c r="H505" t="s">
        <v>142</v>
      </c>
      <c r="I505" t="s">
        <v>143</v>
      </c>
      <c r="J505" t="s">
        <v>144</v>
      </c>
      <c r="K505" t="s">
        <v>145</v>
      </c>
      <c r="L505" t="s">
        <v>1171</v>
      </c>
      <c r="M505" t="s">
        <v>44</v>
      </c>
      <c r="N505" t="s">
        <v>81</v>
      </c>
      <c r="O505" t="s">
        <v>176</v>
      </c>
      <c r="P505" t="s">
        <v>177</v>
      </c>
      <c r="Q505" t="s">
        <v>66</v>
      </c>
      <c r="R505" t="s">
        <v>49</v>
      </c>
      <c r="S505">
        <v>3</v>
      </c>
      <c r="T505" s="14">
        <v>70.98</v>
      </c>
      <c r="U505" s="7">
        <v>12</v>
      </c>
      <c r="V505" s="7">
        <v>22</v>
      </c>
      <c r="W505" s="14">
        <v>104.98</v>
      </c>
      <c r="X505" s="14">
        <v>236.6</v>
      </c>
      <c r="Y505" s="16">
        <v>5</v>
      </c>
      <c r="Z505" s="12">
        <v>674.31</v>
      </c>
      <c r="AA505" s="5">
        <v>359.37</v>
      </c>
      <c r="AB505" s="18">
        <v>53.29</v>
      </c>
      <c r="AC505" t="s">
        <v>85</v>
      </c>
      <c r="AD505" t="s">
        <v>158</v>
      </c>
      <c r="AE505" t="s">
        <v>52</v>
      </c>
      <c r="AF505">
        <v>5</v>
      </c>
      <c r="AG505" t="s">
        <v>53</v>
      </c>
    </row>
    <row r="506" spans="1:33">
      <c r="A506" t="s">
        <v>1172</v>
      </c>
      <c r="B506" s="10">
        <v>45734</v>
      </c>
      <c r="C506" s="3" t="s">
        <v>155</v>
      </c>
      <c r="D506" t="s">
        <v>156</v>
      </c>
      <c r="E506" t="s">
        <v>108</v>
      </c>
      <c r="F506" t="s">
        <v>91</v>
      </c>
      <c r="G506" t="s">
        <v>38</v>
      </c>
      <c r="H506" t="s">
        <v>58</v>
      </c>
      <c r="I506" t="s">
        <v>59</v>
      </c>
      <c r="J506" t="s">
        <v>60</v>
      </c>
      <c r="K506" t="s">
        <v>61</v>
      </c>
      <c r="L506" t="s">
        <v>1173</v>
      </c>
      <c r="M506" t="s">
        <v>44</v>
      </c>
      <c r="N506" t="s">
        <v>81</v>
      </c>
      <c r="O506" t="s">
        <v>82</v>
      </c>
      <c r="P506" t="s">
        <v>83</v>
      </c>
      <c r="Q506" t="s">
        <v>66</v>
      </c>
      <c r="R506" t="s">
        <v>49</v>
      </c>
      <c r="S506">
        <v>2</v>
      </c>
      <c r="T506" s="14">
        <v>100.38</v>
      </c>
      <c r="U506" s="7">
        <v>12</v>
      </c>
      <c r="V506" s="7">
        <v>22</v>
      </c>
      <c r="W506" s="14">
        <v>134.38</v>
      </c>
      <c r="X506" s="14">
        <v>334.6</v>
      </c>
      <c r="Y506" s="16">
        <v>5</v>
      </c>
      <c r="Z506" s="12">
        <v>635.74</v>
      </c>
      <c r="AA506" s="5">
        <v>366.98</v>
      </c>
      <c r="AB506" s="18">
        <v>57.72</v>
      </c>
      <c r="AC506" t="s">
        <v>85</v>
      </c>
      <c r="AD506" t="s">
        <v>86</v>
      </c>
      <c r="AE506" t="s">
        <v>68</v>
      </c>
      <c r="AF506">
        <v>5</v>
      </c>
      <c r="AG506" t="s">
        <v>53</v>
      </c>
    </row>
    <row r="507" spans="1:33">
      <c r="A507" t="s">
        <v>1174</v>
      </c>
      <c r="B507" s="10">
        <v>45999</v>
      </c>
      <c r="C507" s="3" t="s">
        <v>185</v>
      </c>
      <c r="D507" t="s">
        <v>206</v>
      </c>
      <c r="E507" t="s">
        <v>149</v>
      </c>
      <c r="F507" t="s">
        <v>37</v>
      </c>
      <c r="G507" t="s">
        <v>92</v>
      </c>
      <c r="H507" t="s">
        <v>133</v>
      </c>
      <c r="I507" t="s">
        <v>134</v>
      </c>
      <c r="J507" t="s">
        <v>135</v>
      </c>
      <c r="K507" t="s">
        <v>42</v>
      </c>
      <c r="L507" t="s">
        <v>1175</v>
      </c>
      <c r="M507" t="s">
        <v>63</v>
      </c>
      <c r="N507" t="s">
        <v>45</v>
      </c>
      <c r="O507" t="s">
        <v>176</v>
      </c>
      <c r="P507" t="s">
        <v>177</v>
      </c>
      <c r="Q507" t="s">
        <v>66</v>
      </c>
      <c r="R507" t="s">
        <v>49</v>
      </c>
      <c r="S507">
        <v>1</v>
      </c>
      <c r="T507" s="14">
        <v>70.98</v>
      </c>
      <c r="U507" s="7">
        <v>12</v>
      </c>
      <c r="V507" s="7">
        <v>22</v>
      </c>
      <c r="W507" s="14">
        <v>104.98</v>
      </c>
      <c r="X507" s="14">
        <v>236.6</v>
      </c>
      <c r="Y507" s="16">
        <v>5</v>
      </c>
      <c r="Z507" s="12">
        <v>224.77</v>
      </c>
      <c r="AA507" s="5">
        <v>119.79</v>
      </c>
      <c r="AB507" s="18">
        <v>53.29</v>
      </c>
      <c r="AC507" t="s">
        <v>111</v>
      </c>
      <c r="AD507" t="s">
        <v>158</v>
      </c>
      <c r="AE507" t="s">
        <v>52</v>
      </c>
      <c r="AF507">
        <v>5</v>
      </c>
      <c r="AG507" t="s">
        <v>53</v>
      </c>
    </row>
    <row r="508" spans="1:33">
      <c r="A508" t="s">
        <v>1176</v>
      </c>
      <c r="B508" s="10">
        <v>45975</v>
      </c>
      <c r="C508" s="3" t="s">
        <v>182</v>
      </c>
      <c r="D508" t="s">
        <v>35</v>
      </c>
      <c r="E508" t="s">
        <v>57</v>
      </c>
      <c r="F508" t="s">
        <v>37</v>
      </c>
      <c r="G508" t="s">
        <v>38</v>
      </c>
      <c r="H508" t="s">
        <v>58</v>
      </c>
      <c r="I508" t="s">
        <v>59</v>
      </c>
      <c r="J508" t="s">
        <v>60</v>
      </c>
      <c r="K508" t="s">
        <v>61</v>
      </c>
      <c r="L508" t="s">
        <v>1177</v>
      </c>
      <c r="M508" t="s">
        <v>80</v>
      </c>
      <c r="N508" t="s">
        <v>110</v>
      </c>
      <c r="O508" t="s">
        <v>82</v>
      </c>
      <c r="P508" t="s">
        <v>83</v>
      </c>
      <c r="Q508" t="s">
        <v>66</v>
      </c>
      <c r="R508" t="s">
        <v>67</v>
      </c>
      <c r="S508">
        <v>1</v>
      </c>
      <c r="T508" s="14">
        <v>71.7</v>
      </c>
      <c r="U508" s="7">
        <v>12</v>
      </c>
      <c r="V508" s="7">
        <v>22</v>
      </c>
      <c r="W508" s="14">
        <v>105.7</v>
      </c>
      <c r="X508" s="14">
        <v>239</v>
      </c>
      <c r="Y508" s="16">
        <v>5</v>
      </c>
      <c r="Z508" s="12">
        <v>227.05</v>
      </c>
      <c r="AA508" s="5">
        <v>121.35</v>
      </c>
      <c r="AB508" s="18">
        <v>53.45</v>
      </c>
      <c r="AC508" t="s">
        <v>85</v>
      </c>
      <c r="AD508" t="s">
        <v>51</v>
      </c>
      <c r="AE508" t="s">
        <v>96</v>
      </c>
      <c r="AF508">
        <v>4</v>
      </c>
      <c r="AG508" t="s">
        <v>53</v>
      </c>
    </row>
    <row r="509" spans="1:33">
      <c r="A509" t="s">
        <v>1178</v>
      </c>
      <c r="B509" s="10">
        <v>45712</v>
      </c>
      <c r="C509" s="3" t="s">
        <v>55</v>
      </c>
      <c r="D509" t="s">
        <v>206</v>
      </c>
      <c r="E509" t="s">
        <v>90</v>
      </c>
      <c r="F509" t="s">
        <v>91</v>
      </c>
      <c r="G509" t="s">
        <v>92</v>
      </c>
      <c r="H509" t="s">
        <v>75</v>
      </c>
      <c r="I509" t="s">
        <v>76</v>
      </c>
      <c r="J509" t="s">
        <v>77</v>
      </c>
      <c r="K509" t="s">
        <v>78</v>
      </c>
      <c r="L509" t="s">
        <v>1179</v>
      </c>
      <c r="M509" t="s">
        <v>80</v>
      </c>
      <c r="N509" t="s">
        <v>45</v>
      </c>
      <c r="O509" t="s">
        <v>82</v>
      </c>
      <c r="P509" t="s">
        <v>83</v>
      </c>
      <c r="Q509" t="s">
        <v>66</v>
      </c>
      <c r="R509" t="s">
        <v>49</v>
      </c>
      <c r="S509">
        <v>3</v>
      </c>
      <c r="T509" s="14">
        <v>100.38</v>
      </c>
      <c r="U509" s="7">
        <v>12</v>
      </c>
      <c r="V509" s="7">
        <v>22</v>
      </c>
      <c r="W509" s="14">
        <v>134.38</v>
      </c>
      <c r="X509" s="14">
        <v>334.6</v>
      </c>
      <c r="Y509" s="16">
        <v>0</v>
      </c>
      <c r="Z509" s="12">
        <v>1003.8</v>
      </c>
      <c r="AA509" s="5">
        <v>600.66</v>
      </c>
      <c r="AB509" s="18">
        <v>59.84</v>
      </c>
      <c r="AC509" t="s">
        <v>111</v>
      </c>
      <c r="AD509" t="s">
        <v>51</v>
      </c>
      <c r="AE509" t="s">
        <v>52</v>
      </c>
      <c r="AF509">
        <v>5</v>
      </c>
      <c r="AG509" t="s">
        <v>53</v>
      </c>
    </row>
    <row r="510" spans="1:33">
      <c r="A510" t="s">
        <v>1180</v>
      </c>
      <c r="B510" s="10">
        <v>46006</v>
      </c>
      <c r="C510" s="3" t="s">
        <v>107</v>
      </c>
      <c r="D510" t="s">
        <v>206</v>
      </c>
      <c r="E510" t="s">
        <v>149</v>
      </c>
      <c r="F510" t="s">
        <v>37</v>
      </c>
      <c r="G510" t="s">
        <v>92</v>
      </c>
      <c r="H510" t="s">
        <v>133</v>
      </c>
      <c r="I510" t="s">
        <v>134</v>
      </c>
      <c r="J510" t="s">
        <v>135</v>
      </c>
      <c r="K510" t="s">
        <v>42</v>
      </c>
      <c r="L510" t="s">
        <v>1181</v>
      </c>
      <c r="M510" t="s">
        <v>63</v>
      </c>
      <c r="N510" t="s">
        <v>45</v>
      </c>
      <c r="O510" t="s">
        <v>176</v>
      </c>
      <c r="P510" t="s">
        <v>177</v>
      </c>
      <c r="Q510" t="s">
        <v>66</v>
      </c>
      <c r="R510" t="s">
        <v>84</v>
      </c>
      <c r="S510">
        <v>2</v>
      </c>
      <c r="T510" s="14">
        <v>60.84</v>
      </c>
      <c r="U510" s="7">
        <v>12</v>
      </c>
      <c r="V510" s="7">
        <v>22</v>
      </c>
      <c r="W510" s="14">
        <v>94.84</v>
      </c>
      <c r="X510" s="14">
        <v>202.8</v>
      </c>
      <c r="Y510" s="16">
        <v>0</v>
      </c>
      <c r="Z510" s="12">
        <v>405.6</v>
      </c>
      <c r="AA510" s="5">
        <v>215.92</v>
      </c>
      <c r="AB510" s="18">
        <v>53.23</v>
      </c>
      <c r="AC510" t="s">
        <v>50</v>
      </c>
      <c r="AD510" t="s">
        <v>86</v>
      </c>
      <c r="AE510" t="s">
        <v>126</v>
      </c>
      <c r="AF510">
        <v>4</v>
      </c>
      <c r="AG510" t="s">
        <v>53</v>
      </c>
    </row>
    <row r="511" spans="1:33">
      <c r="A511" t="s">
        <v>1182</v>
      </c>
      <c r="B511" s="10">
        <v>45812</v>
      </c>
      <c r="C511" s="3" t="s">
        <v>219</v>
      </c>
      <c r="D511" t="s">
        <v>129</v>
      </c>
      <c r="E511" t="s">
        <v>174</v>
      </c>
      <c r="F511" t="s">
        <v>131</v>
      </c>
      <c r="G511" t="s">
        <v>132</v>
      </c>
      <c r="H511" t="s">
        <v>133</v>
      </c>
      <c r="I511" t="s">
        <v>134</v>
      </c>
      <c r="J511" t="s">
        <v>135</v>
      </c>
      <c r="K511" t="s">
        <v>42</v>
      </c>
      <c r="L511" t="s">
        <v>1183</v>
      </c>
      <c r="M511" t="s">
        <v>80</v>
      </c>
      <c r="N511" t="s">
        <v>45</v>
      </c>
      <c r="O511" t="s">
        <v>82</v>
      </c>
      <c r="P511" t="s">
        <v>83</v>
      </c>
      <c r="Q511" t="s">
        <v>66</v>
      </c>
      <c r="R511" t="s">
        <v>84</v>
      </c>
      <c r="S511">
        <v>1</v>
      </c>
      <c r="T511" s="14">
        <v>86.04</v>
      </c>
      <c r="U511" s="7">
        <v>12</v>
      </c>
      <c r="V511" s="7">
        <v>22</v>
      </c>
      <c r="W511" s="14">
        <v>120.04</v>
      </c>
      <c r="X511" s="14">
        <v>286.8</v>
      </c>
      <c r="Y511" s="16">
        <v>10</v>
      </c>
      <c r="Z511" s="12">
        <v>258.12</v>
      </c>
      <c r="AA511" s="5">
        <v>138.08000000000001</v>
      </c>
      <c r="AB511" s="18">
        <v>53.49</v>
      </c>
      <c r="AC511" t="s">
        <v>85</v>
      </c>
      <c r="AD511" t="s">
        <v>51</v>
      </c>
      <c r="AE511" t="s">
        <v>126</v>
      </c>
      <c r="AF511">
        <v>5</v>
      </c>
      <c r="AG511" t="s">
        <v>53</v>
      </c>
    </row>
    <row r="512" spans="1:33">
      <c r="A512" t="s">
        <v>1184</v>
      </c>
      <c r="B512" s="10">
        <v>45797</v>
      </c>
      <c r="C512" s="3" t="s">
        <v>307</v>
      </c>
      <c r="D512" t="s">
        <v>156</v>
      </c>
      <c r="E512" t="s">
        <v>130</v>
      </c>
      <c r="F512" t="s">
        <v>131</v>
      </c>
      <c r="G512" t="s">
        <v>132</v>
      </c>
      <c r="H512" t="s">
        <v>115</v>
      </c>
      <c r="I512" t="s">
        <v>116</v>
      </c>
      <c r="J512" t="s">
        <v>117</v>
      </c>
      <c r="K512" t="s">
        <v>61</v>
      </c>
      <c r="L512" t="s">
        <v>1185</v>
      </c>
      <c r="M512" t="s">
        <v>63</v>
      </c>
      <c r="N512" t="s">
        <v>45</v>
      </c>
      <c r="O512" t="s">
        <v>275</v>
      </c>
      <c r="P512" t="s">
        <v>276</v>
      </c>
      <c r="Q512" t="s">
        <v>125</v>
      </c>
      <c r="R512" t="s">
        <v>49</v>
      </c>
      <c r="S512">
        <v>2</v>
      </c>
      <c r="T512" s="14">
        <v>96.18</v>
      </c>
      <c r="U512" s="7">
        <v>12</v>
      </c>
      <c r="V512" s="7">
        <v>22</v>
      </c>
      <c r="W512" s="14">
        <v>130.18</v>
      </c>
      <c r="X512" s="14">
        <v>320.60000000000002</v>
      </c>
      <c r="Y512" s="16">
        <v>0</v>
      </c>
      <c r="Z512" s="12">
        <v>641.20000000000005</v>
      </c>
      <c r="AA512" s="5">
        <v>380.84</v>
      </c>
      <c r="AB512" s="18">
        <v>59.39</v>
      </c>
      <c r="AC512" t="s">
        <v>111</v>
      </c>
      <c r="AD512" t="s">
        <v>51</v>
      </c>
      <c r="AE512" t="s">
        <v>105</v>
      </c>
      <c r="AF512">
        <v>3</v>
      </c>
      <c r="AG512" t="s">
        <v>53</v>
      </c>
    </row>
    <row r="513" spans="1:33">
      <c r="A513" t="s">
        <v>1186</v>
      </c>
      <c r="B513" s="10">
        <v>45803</v>
      </c>
      <c r="C513" s="3" t="s">
        <v>307</v>
      </c>
      <c r="D513" t="s">
        <v>206</v>
      </c>
      <c r="E513" t="s">
        <v>130</v>
      </c>
      <c r="F513" t="s">
        <v>131</v>
      </c>
      <c r="G513" t="s">
        <v>132</v>
      </c>
      <c r="H513" t="s">
        <v>58</v>
      </c>
      <c r="I513" t="s">
        <v>59</v>
      </c>
      <c r="J513" t="s">
        <v>60</v>
      </c>
      <c r="K513" t="s">
        <v>61</v>
      </c>
      <c r="L513" t="s">
        <v>1187</v>
      </c>
      <c r="M513" t="s">
        <v>44</v>
      </c>
      <c r="N513" t="s">
        <v>45</v>
      </c>
      <c r="O513" t="s">
        <v>162</v>
      </c>
      <c r="P513" t="s">
        <v>163</v>
      </c>
      <c r="Q513" t="s">
        <v>48</v>
      </c>
      <c r="R513" t="s">
        <v>67</v>
      </c>
      <c r="S513">
        <v>3</v>
      </c>
      <c r="T513" s="14">
        <v>74.7</v>
      </c>
      <c r="U513" s="7">
        <v>12</v>
      </c>
      <c r="V513" s="7">
        <v>22</v>
      </c>
      <c r="W513" s="14">
        <v>108.7</v>
      </c>
      <c r="X513" s="14">
        <v>249</v>
      </c>
      <c r="Y513" s="16">
        <v>5</v>
      </c>
      <c r="Z513" s="12">
        <v>709.65</v>
      </c>
      <c r="AA513" s="5">
        <v>383.55</v>
      </c>
      <c r="AB513" s="18">
        <v>54.05</v>
      </c>
      <c r="AC513" t="s">
        <v>85</v>
      </c>
      <c r="AD513" t="s">
        <v>51</v>
      </c>
      <c r="AE513" t="s">
        <v>52</v>
      </c>
      <c r="AF513">
        <v>5</v>
      </c>
      <c r="AG513" t="s">
        <v>53</v>
      </c>
    </row>
    <row r="514" spans="1:33">
      <c r="A514" t="s">
        <v>1188</v>
      </c>
      <c r="B514" s="10">
        <v>46011</v>
      </c>
      <c r="C514" s="3" t="s">
        <v>390</v>
      </c>
      <c r="D514" t="s">
        <v>71</v>
      </c>
      <c r="E514" t="s">
        <v>149</v>
      </c>
      <c r="F514" t="s">
        <v>37</v>
      </c>
      <c r="G514" t="s">
        <v>92</v>
      </c>
      <c r="H514" t="s">
        <v>142</v>
      </c>
      <c r="I514" t="s">
        <v>143</v>
      </c>
      <c r="J514" t="s">
        <v>144</v>
      </c>
      <c r="K514" t="s">
        <v>145</v>
      </c>
      <c r="L514" t="s">
        <v>1189</v>
      </c>
      <c r="M514" t="s">
        <v>63</v>
      </c>
      <c r="N514" t="s">
        <v>110</v>
      </c>
      <c r="O514" t="s">
        <v>162</v>
      </c>
      <c r="P514" t="s">
        <v>163</v>
      </c>
      <c r="Q514" t="s">
        <v>48</v>
      </c>
      <c r="R514" t="s">
        <v>49</v>
      </c>
      <c r="S514">
        <v>3</v>
      </c>
      <c r="T514" s="14">
        <v>104.58</v>
      </c>
      <c r="U514" s="7">
        <v>12</v>
      </c>
      <c r="V514" s="7">
        <v>22</v>
      </c>
      <c r="W514" s="14">
        <v>138.58000000000001</v>
      </c>
      <c r="X514" s="14">
        <v>348.6</v>
      </c>
      <c r="Y514" s="16">
        <v>10</v>
      </c>
      <c r="Z514" s="12">
        <v>941.22</v>
      </c>
      <c r="AA514" s="5">
        <v>525.48</v>
      </c>
      <c r="AB514" s="18">
        <v>55.83</v>
      </c>
      <c r="AC514" t="s">
        <v>50</v>
      </c>
      <c r="AD514" t="s">
        <v>86</v>
      </c>
      <c r="AE514" t="s">
        <v>105</v>
      </c>
      <c r="AF514">
        <v>5</v>
      </c>
      <c r="AG514" t="s">
        <v>53</v>
      </c>
    </row>
    <row r="515" spans="1:33">
      <c r="A515" t="s">
        <v>1190</v>
      </c>
      <c r="B515" s="10">
        <v>46011</v>
      </c>
      <c r="C515" s="3" t="s">
        <v>98</v>
      </c>
      <c r="D515" t="s">
        <v>71</v>
      </c>
      <c r="E515" t="s">
        <v>149</v>
      </c>
      <c r="F515" t="s">
        <v>37</v>
      </c>
      <c r="G515" t="s">
        <v>92</v>
      </c>
      <c r="H515" t="s">
        <v>58</v>
      </c>
      <c r="I515" t="s">
        <v>59</v>
      </c>
      <c r="J515" t="s">
        <v>60</v>
      </c>
      <c r="K515" t="s">
        <v>61</v>
      </c>
      <c r="L515" t="s">
        <v>1191</v>
      </c>
      <c r="M515" t="s">
        <v>80</v>
      </c>
      <c r="N515" t="s">
        <v>45</v>
      </c>
      <c r="O515" t="s">
        <v>64</v>
      </c>
      <c r="P515" t="s">
        <v>65</v>
      </c>
      <c r="Q515" t="s">
        <v>66</v>
      </c>
      <c r="R515" t="s">
        <v>84</v>
      </c>
      <c r="S515">
        <v>4</v>
      </c>
      <c r="T515" s="14">
        <v>53.64</v>
      </c>
      <c r="U515" s="7">
        <v>12</v>
      </c>
      <c r="V515" s="7">
        <v>22</v>
      </c>
      <c r="W515" s="14">
        <v>87.64</v>
      </c>
      <c r="X515" s="14">
        <v>178.8</v>
      </c>
      <c r="Y515" s="16">
        <v>10</v>
      </c>
      <c r="Z515" s="12">
        <v>643.67999999999995</v>
      </c>
      <c r="AA515" s="5">
        <v>293.12</v>
      </c>
      <c r="AB515" s="18">
        <v>45.54</v>
      </c>
      <c r="AC515" t="s">
        <v>85</v>
      </c>
      <c r="AD515" t="s">
        <v>158</v>
      </c>
      <c r="AE515" t="s">
        <v>96</v>
      </c>
      <c r="AF515">
        <v>5</v>
      </c>
      <c r="AG515" t="s">
        <v>53</v>
      </c>
    </row>
    <row r="516" spans="1:33">
      <c r="A516" t="s">
        <v>1192</v>
      </c>
      <c r="B516" s="10">
        <v>45809</v>
      </c>
      <c r="C516" s="3" t="s">
        <v>113</v>
      </c>
      <c r="D516" t="s">
        <v>89</v>
      </c>
      <c r="E516" t="s">
        <v>174</v>
      </c>
      <c r="F516" t="s">
        <v>131</v>
      </c>
      <c r="G516" t="s">
        <v>132</v>
      </c>
      <c r="H516" t="s">
        <v>75</v>
      </c>
      <c r="I516" t="s">
        <v>76</v>
      </c>
      <c r="J516" t="s">
        <v>77</v>
      </c>
      <c r="K516" t="s">
        <v>78</v>
      </c>
      <c r="L516" t="s">
        <v>1193</v>
      </c>
      <c r="M516" t="s">
        <v>44</v>
      </c>
      <c r="N516" t="s">
        <v>81</v>
      </c>
      <c r="O516" t="s">
        <v>189</v>
      </c>
      <c r="P516" t="s">
        <v>190</v>
      </c>
      <c r="Q516" t="s">
        <v>48</v>
      </c>
      <c r="R516" t="s">
        <v>67</v>
      </c>
      <c r="S516">
        <v>3</v>
      </c>
      <c r="T516" s="14">
        <v>47.7</v>
      </c>
      <c r="U516" s="7">
        <v>12</v>
      </c>
      <c r="V516" s="7">
        <v>22</v>
      </c>
      <c r="W516" s="14">
        <v>81.7</v>
      </c>
      <c r="X516" s="14">
        <v>159</v>
      </c>
      <c r="Y516" s="16">
        <v>15</v>
      </c>
      <c r="Z516" s="12">
        <v>405.45</v>
      </c>
      <c r="AA516" s="5">
        <v>160.35</v>
      </c>
      <c r="AB516" s="18">
        <v>39.549999999999997</v>
      </c>
      <c r="AC516" t="s">
        <v>50</v>
      </c>
      <c r="AD516" t="s">
        <v>158</v>
      </c>
      <c r="AE516" t="s">
        <v>68</v>
      </c>
      <c r="AF516">
        <v>4</v>
      </c>
      <c r="AG516" t="s">
        <v>53</v>
      </c>
    </row>
    <row r="517" spans="1:33">
      <c r="A517" t="s">
        <v>1194</v>
      </c>
      <c r="B517" s="10">
        <v>45765</v>
      </c>
      <c r="C517" s="3" t="s">
        <v>179</v>
      </c>
      <c r="D517" t="s">
        <v>35</v>
      </c>
      <c r="E517" t="s">
        <v>280</v>
      </c>
      <c r="F517" t="s">
        <v>131</v>
      </c>
      <c r="G517" t="s">
        <v>132</v>
      </c>
      <c r="H517" t="s">
        <v>133</v>
      </c>
      <c r="I517" t="s">
        <v>134</v>
      </c>
      <c r="J517" t="s">
        <v>135</v>
      </c>
      <c r="K517" t="s">
        <v>42</v>
      </c>
      <c r="L517" t="s">
        <v>1195</v>
      </c>
      <c r="M517" t="s">
        <v>80</v>
      </c>
      <c r="N517" t="s">
        <v>81</v>
      </c>
      <c r="O517" t="s">
        <v>119</v>
      </c>
      <c r="P517" t="s">
        <v>120</v>
      </c>
      <c r="Q517" t="s">
        <v>103</v>
      </c>
      <c r="R517" t="s">
        <v>84</v>
      </c>
      <c r="S517">
        <v>1</v>
      </c>
      <c r="T517" s="14">
        <v>46.44</v>
      </c>
      <c r="U517" s="7">
        <v>12</v>
      </c>
      <c r="V517" s="7">
        <v>22</v>
      </c>
      <c r="W517" s="14">
        <v>80.44</v>
      </c>
      <c r="X517" s="14">
        <v>154.80000000000001</v>
      </c>
      <c r="Y517" s="16">
        <v>0</v>
      </c>
      <c r="Z517" s="12">
        <v>154.80000000000001</v>
      </c>
      <c r="AA517" s="5">
        <v>74.36</v>
      </c>
      <c r="AB517" s="18">
        <v>48.04</v>
      </c>
      <c r="AC517" t="s">
        <v>50</v>
      </c>
      <c r="AD517" t="s">
        <v>86</v>
      </c>
      <c r="AE517" t="s">
        <v>96</v>
      </c>
      <c r="AF517">
        <v>5</v>
      </c>
      <c r="AG517" t="s">
        <v>53</v>
      </c>
    </row>
    <row r="518" spans="1:33">
      <c r="A518" t="s">
        <v>1196</v>
      </c>
      <c r="B518" s="10">
        <v>45869</v>
      </c>
      <c r="C518" s="3" t="s">
        <v>113</v>
      </c>
      <c r="D518" t="s">
        <v>56</v>
      </c>
      <c r="E518" t="s">
        <v>114</v>
      </c>
      <c r="F518" t="s">
        <v>73</v>
      </c>
      <c r="G518" t="s">
        <v>74</v>
      </c>
      <c r="H518" t="s">
        <v>115</v>
      </c>
      <c r="I518" t="s">
        <v>116</v>
      </c>
      <c r="J518" t="s">
        <v>117</v>
      </c>
      <c r="K518" t="s">
        <v>61</v>
      </c>
      <c r="L518" t="s">
        <v>1197</v>
      </c>
      <c r="M518" t="s">
        <v>80</v>
      </c>
      <c r="N518" t="s">
        <v>81</v>
      </c>
      <c r="O518" t="s">
        <v>101</v>
      </c>
      <c r="P518" t="s">
        <v>102</v>
      </c>
      <c r="Q518" t="s">
        <v>103</v>
      </c>
      <c r="R518" t="s">
        <v>84</v>
      </c>
      <c r="S518">
        <v>2</v>
      </c>
      <c r="T518" s="14">
        <v>53.64</v>
      </c>
      <c r="U518" s="7">
        <v>12</v>
      </c>
      <c r="V518" s="7">
        <v>22</v>
      </c>
      <c r="W518" s="14">
        <v>87.64</v>
      </c>
      <c r="X518" s="14">
        <v>178.8</v>
      </c>
      <c r="Y518" s="16">
        <v>0</v>
      </c>
      <c r="Z518" s="12">
        <v>357.6</v>
      </c>
      <c r="AA518" s="5">
        <v>182.32</v>
      </c>
      <c r="AB518" s="18">
        <v>50.98</v>
      </c>
      <c r="AC518" t="s">
        <v>50</v>
      </c>
      <c r="AD518" t="s">
        <v>158</v>
      </c>
      <c r="AE518" t="s">
        <v>52</v>
      </c>
      <c r="AF518">
        <v>4</v>
      </c>
      <c r="AG518" t="s">
        <v>53</v>
      </c>
    </row>
    <row r="519" spans="1:33">
      <c r="A519" t="s">
        <v>1198</v>
      </c>
      <c r="B519" s="10">
        <v>45968</v>
      </c>
      <c r="C519" s="3" t="s">
        <v>141</v>
      </c>
      <c r="D519" t="s">
        <v>35</v>
      </c>
      <c r="E519" t="s">
        <v>57</v>
      </c>
      <c r="F519" t="s">
        <v>37</v>
      </c>
      <c r="G519" t="s">
        <v>38</v>
      </c>
      <c r="H519" t="s">
        <v>142</v>
      </c>
      <c r="I519" t="s">
        <v>143</v>
      </c>
      <c r="J519" t="s">
        <v>144</v>
      </c>
      <c r="K519" t="s">
        <v>145</v>
      </c>
      <c r="L519" t="s">
        <v>1199</v>
      </c>
      <c r="M519" t="s">
        <v>80</v>
      </c>
      <c r="N519" t="s">
        <v>110</v>
      </c>
      <c r="O519" t="s">
        <v>82</v>
      </c>
      <c r="P519" t="s">
        <v>83</v>
      </c>
      <c r="Q519" t="s">
        <v>66</v>
      </c>
      <c r="R519" t="s">
        <v>49</v>
      </c>
      <c r="S519">
        <v>1</v>
      </c>
      <c r="T519" s="14">
        <v>100.38</v>
      </c>
      <c r="U519" s="7">
        <v>12</v>
      </c>
      <c r="V519" s="7">
        <v>22</v>
      </c>
      <c r="W519" s="14">
        <v>134.38</v>
      </c>
      <c r="X519" s="14">
        <v>334.6</v>
      </c>
      <c r="Y519" s="16">
        <v>0</v>
      </c>
      <c r="Z519" s="12">
        <v>334.6</v>
      </c>
      <c r="AA519" s="5">
        <v>200.22</v>
      </c>
      <c r="AB519" s="18">
        <v>59.84</v>
      </c>
      <c r="AC519" t="s">
        <v>50</v>
      </c>
      <c r="AD519" t="s">
        <v>51</v>
      </c>
      <c r="AE519" t="s">
        <v>126</v>
      </c>
      <c r="AF519">
        <v>5</v>
      </c>
      <c r="AG519" t="s">
        <v>53</v>
      </c>
    </row>
    <row r="520" spans="1:33">
      <c r="A520" t="s">
        <v>1200</v>
      </c>
      <c r="B520" s="10">
        <v>45804</v>
      </c>
      <c r="C520" s="3" t="s">
        <v>113</v>
      </c>
      <c r="D520" t="s">
        <v>156</v>
      </c>
      <c r="E520" t="s">
        <v>130</v>
      </c>
      <c r="F520" t="s">
        <v>131</v>
      </c>
      <c r="G520" t="s">
        <v>132</v>
      </c>
      <c r="H520" t="s">
        <v>115</v>
      </c>
      <c r="I520" t="s">
        <v>116</v>
      </c>
      <c r="J520" t="s">
        <v>117</v>
      </c>
      <c r="K520" t="s">
        <v>61</v>
      </c>
      <c r="L520" t="s">
        <v>1201</v>
      </c>
      <c r="M520" t="s">
        <v>44</v>
      </c>
      <c r="N520" t="s">
        <v>81</v>
      </c>
      <c r="O520" t="s">
        <v>119</v>
      </c>
      <c r="P520" t="s">
        <v>120</v>
      </c>
      <c r="Q520" t="s">
        <v>103</v>
      </c>
      <c r="R520" t="s">
        <v>49</v>
      </c>
      <c r="S520">
        <v>1</v>
      </c>
      <c r="T520" s="14">
        <v>54.18</v>
      </c>
      <c r="U520" s="7">
        <v>12</v>
      </c>
      <c r="V520" s="7">
        <v>22</v>
      </c>
      <c r="W520" s="14">
        <v>88.18</v>
      </c>
      <c r="X520" s="14">
        <v>180.6</v>
      </c>
      <c r="Y520" s="16">
        <v>0</v>
      </c>
      <c r="Z520" s="12">
        <v>180.6</v>
      </c>
      <c r="AA520" s="5">
        <v>92.42</v>
      </c>
      <c r="AB520" s="18">
        <v>51.17</v>
      </c>
      <c r="AC520" t="s">
        <v>50</v>
      </c>
      <c r="AD520" t="s">
        <v>86</v>
      </c>
      <c r="AE520" t="s">
        <v>126</v>
      </c>
      <c r="AF520">
        <v>4</v>
      </c>
      <c r="AG520" t="s">
        <v>53</v>
      </c>
    </row>
    <row r="521" spans="1:33">
      <c r="A521" t="s">
        <v>1202</v>
      </c>
      <c r="B521" s="10">
        <v>45679</v>
      </c>
      <c r="C521" s="3" t="s">
        <v>194</v>
      </c>
      <c r="D521" t="s">
        <v>129</v>
      </c>
      <c r="E521" t="s">
        <v>152</v>
      </c>
      <c r="F521" t="s">
        <v>91</v>
      </c>
      <c r="G521" t="s">
        <v>92</v>
      </c>
      <c r="H521" t="s">
        <v>133</v>
      </c>
      <c r="I521" t="s">
        <v>134</v>
      </c>
      <c r="J521" t="s">
        <v>135</v>
      </c>
      <c r="K521" t="s">
        <v>42</v>
      </c>
      <c r="L521" t="s">
        <v>1203</v>
      </c>
      <c r="M521" t="s">
        <v>44</v>
      </c>
      <c r="N521" t="s">
        <v>45</v>
      </c>
      <c r="O521" t="s">
        <v>64</v>
      </c>
      <c r="P521" t="s">
        <v>65</v>
      </c>
      <c r="Q521" t="s">
        <v>66</v>
      </c>
      <c r="R521" t="s">
        <v>84</v>
      </c>
      <c r="S521">
        <v>1</v>
      </c>
      <c r="T521" s="14">
        <v>53.64</v>
      </c>
      <c r="U521" s="7">
        <v>12</v>
      </c>
      <c r="V521" s="7">
        <v>22</v>
      </c>
      <c r="W521" s="14">
        <v>87.64</v>
      </c>
      <c r="X521" s="14">
        <v>178.8</v>
      </c>
      <c r="Y521" s="16">
        <v>0</v>
      </c>
      <c r="Z521" s="12">
        <v>178.8</v>
      </c>
      <c r="AA521" s="5">
        <v>91.16</v>
      </c>
      <c r="AB521" s="18">
        <v>50.98</v>
      </c>
      <c r="AC521" t="s">
        <v>85</v>
      </c>
      <c r="AD521" t="s">
        <v>158</v>
      </c>
      <c r="AE521" t="s">
        <v>52</v>
      </c>
      <c r="AF521">
        <v>5</v>
      </c>
      <c r="AG521" t="s">
        <v>53</v>
      </c>
    </row>
    <row r="522" spans="1:33">
      <c r="A522" t="s">
        <v>1204</v>
      </c>
      <c r="B522" s="10">
        <v>45816</v>
      </c>
      <c r="C522" s="3" t="s">
        <v>155</v>
      </c>
      <c r="D522" t="s">
        <v>89</v>
      </c>
      <c r="E522" t="s">
        <v>174</v>
      </c>
      <c r="F522" t="s">
        <v>131</v>
      </c>
      <c r="G522" t="s">
        <v>132</v>
      </c>
      <c r="H522" t="s">
        <v>115</v>
      </c>
      <c r="I522" t="s">
        <v>116</v>
      </c>
      <c r="J522" t="s">
        <v>117</v>
      </c>
      <c r="K522" t="s">
        <v>61</v>
      </c>
      <c r="L522" t="s">
        <v>1205</v>
      </c>
      <c r="M522" t="s">
        <v>44</v>
      </c>
      <c r="N522" t="s">
        <v>81</v>
      </c>
      <c r="O522" t="s">
        <v>119</v>
      </c>
      <c r="P522" t="s">
        <v>120</v>
      </c>
      <c r="Q522" t="s">
        <v>103</v>
      </c>
      <c r="R522" t="s">
        <v>84</v>
      </c>
      <c r="S522">
        <v>1</v>
      </c>
      <c r="T522" s="14">
        <v>46.44</v>
      </c>
      <c r="U522" s="7">
        <v>12</v>
      </c>
      <c r="V522" s="7">
        <v>22</v>
      </c>
      <c r="W522" s="14">
        <v>80.44</v>
      </c>
      <c r="X522" s="14">
        <v>154.80000000000001</v>
      </c>
      <c r="Y522" s="16">
        <v>15</v>
      </c>
      <c r="Z522" s="12">
        <v>131.58000000000001</v>
      </c>
      <c r="AA522" s="5">
        <v>51.14</v>
      </c>
      <c r="AB522" s="18">
        <v>38.869999999999997</v>
      </c>
      <c r="AC522" t="s">
        <v>85</v>
      </c>
      <c r="AD522" t="s">
        <v>86</v>
      </c>
      <c r="AE522" t="s">
        <v>68</v>
      </c>
      <c r="AF522">
        <v>5</v>
      </c>
      <c r="AG522" t="s">
        <v>53</v>
      </c>
    </row>
    <row r="523" spans="1:33">
      <c r="A523" t="s">
        <v>1206</v>
      </c>
      <c r="B523" s="10">
        <v>45841</v>
      </c>
      <c r="C523" s="3" t="s">
        <v>107</v>
      </c>
      <c r="D523" t="s">
        <v>56</v>
      </c>
      <c r="E523" t="s">
        <v>114</v>
      </c>
      <c r="F523" t="s">
        <v>73</v>
      </c>
      <c r="G523" t="s">
        <v>74</v>
      </c>
      <c r="H523" t="s">
        <v>58</v>
      </c>
      <c r="I523" t="s">
        <v>59</v>
      </c>
      <c r="J523" t="s">
        <v>60</v>
      </c>
      <c r="K523" t="s">
        <v>61</v>
      </c>
      <c r="L523" t="s">
        <v>1207</v>
      </c>
      <c r="M523" t="s">
        <v>63</v>
      </c>
      <c r="N523" t="s">
        <v>110</v>
      </c>
      <c r="O523" t="s">
        <v>64</v>
      </c>
      <c r="P523" t="s">
        <v>65</v>
      </c>
      <c r="Q523" t="s">
        <v>66</v>
      </c>
      <c r="R523" t="s">
        <v>84</v>
      </c>
      <c r="S523">
        <v>1</v>
      </c>
      <c r="T523" s="14">
        <v>53.64</v>
      </c>
      <c r="U523" s="7">
        <v>12</v>
      </c>
      <c r="V523" s="7">
        <v>22</v>
      </c>
      <c r="W523" s="14">
        <v>87.64</v>
      </c>
      <c r="X523" s="14">
        <v>178.8</v>
      </c>
      <c r="Y523" s="16">
        <v>10</v>
      </c>
      <c r="Z523" s="12">
        <v>160.91999999999999</v>
      </c>
      <c r="AA523" s="5">
        <v>73.28</v>
      </c>
      <c r="AB523" s="18">
        <v>45.54</v>
      </c>
      <c r="AC523" t="s">
        <v>104</v>
      </c>
      <c r="AD523" t="s">
        <v>51</v>
      </c>
      <c r="AE523" t="s">
        <v>96</v>
      </c>
      <c r="AF523">
        <v>5</v>
      </c>
      <c r="AG523" t="s">
        <v>53</v>
      </c>
    </row>
    <row r="524" spans="1:33">
      <c r="A524" t="s">
        <v>1208</v>
      </c>
      <c r="B524" s="10">
        <v>45749</v>
      </c>
      <c r="C524" s="3" t="s">
        <v>113</v>
      </c>
      <c r="D524" t="s">
        <v>129</v>
      </c>
      <c r="E524" t="s">
        <v>280</v>
      </c>
      <c r="F524" t="s">
        <v>131</v>
      </c>
      <c r="G524" t="s">
        <v>132</v>
      </c>
      <c r="H524" t="s">
        <v>39</v>
      </c>
      <c r="I524" t="s">
        <v>2143</v>
      </c>
      <c r="J524" t="s">
        <v>41</v>
      </c>
      <c r="K524" t="s">
        <v>42</v>
      </c>
      <c r="L524" t="s">
        <v>1209</v>
      </c>
      <c r="M524" t="s">
        <v>63</v>
      </c>
      <c r="N524" t="s">
        <v>81</v>
      </c>
      <c r="O524" t="s">
        <v>176</v>
      </c>
      <c r="P524" t="s">
        <v>177</v>
      </c>
      <c r="Q524" t="s">
        <v>66</v>
      </c>
      <c r="R524" t="s">
        <v>67</v>
      </c>
      <c r="S524">
        <v>1</v>
      </c>
      <c r="T524" s="14">
        <v>50.7</v>
      </c>
      <c r="U524" s="7">
        <v>12</v>
      </c>
      <c r="V524" s="7">
        <v>22</v>
      </c>
      <c r="W524" s="14">
        <v>84.7</v>
      </c>
      <c r="X524" s="14">
        <v>169</v>
      </c>
      <c r="Y524" s="16">
        <v>0</v>
      </c>
      <c r="Z524" s="12">
        <v>169</v>
      </c>
      <c r="AA524" s="5">
        <v>84.3</v>
      </c>
      <c r="AB524" s="18">
        <v>49.88</v>
      </c>
      <c r="AC524" t="s">
        <v>85</v>
      </c>
      <c r="AD524" t="s">
        <v>86</v>
      </c>
      <c r="AE524" t="s">
        <v>52</v>
      </c>
      <c r="AF524">
        <v>5</v>
      </c>
      <c r="AG524" t="s">
        <v>53</v>
      </c>
    </row>
    <row r="525" spans="1:33">
      <c r="A525" t="s">
        <v>1210</v>
      </c>
      <c r="B525" s="10">
        <v>45705</v>
      </c>
      <c r="C525" s="3" t="s">
        <v>307</v>
      </c>
      <c r="D525" t="s">
        <v>206</v>
      </c>
      <c r="E525" t="s">
        <v>90</v>
      </c>
      <c r="F525" t="s">
        <v>91</v>
      </c>
      <c r="G525" t="s">
        <v>92</v>
      </c>
      <c r="H525" t="s">
        <v>142</v>
      </c>
      <c r="I525" t="s">
        <v>143</v>
      </c>
      <c r="J525" t="s">
        <v>144</v>
      </c>
      <c r="K525" t="s">
        <v>145</v>
      </c>
      <c r="L525" t="s">
        <v>1211</v>
      </c>
      <c r="M525" t="s">
        <v>63</v>
      </c>
      <c r="N525" t="s">
        <v>81</v>
      </c>
      <c r="O525" t="s">
        <v>82</v>
      </c>
      <c r="P525" t="s">
        <v>83</v>
      </c>
      <c r="Q525" t="s">
        <v>66</v>
      </c>
      <c r="R525" t="s">
        <v>67</v>
      </c>
      <c r="S525">
        <v>1</v>
      </c>
      <c r="T525" s="14">
        <v>71.7</v>
      </c>
      <c r="U525" s="7">
        <v>12</v>
      </c>
      <c r="V525" s="7">
        <v>22</v>
      </c>
      <c r="W525" s="14">
        <v>105.7</v>
      </c>
      <c r="X525" s="14">
        <v>239</v>
      </c>
      <c r="Y525" s="16">
        <v>0</v>
      </c>
      <c r="Z525" s="12">
        <v>239</v>
      </c>
      <c r="AA525" s="5">
        <v>133.30000000000001</v>
      </c>
      <c r="AB525" s="18">
        <v>55.77</v>
      </c>
      <c r="AC525" t="s">
        <v>104</v>
      </c>
      <c r="AD525" t="s">
        <v>51</v>
      </c>
      <c r="AE525" t="s">
        <v>52</v>
      </c>
      <c r="AF525">
        <v>4</v>
      </c>
      <c r="AG525" t="s">
        <v>53</v>
      </c>
    </row>
    <row r="526" spans="1:33">
      <c r="A526" t="s">
        <v>1212</v>
      </c>
      <c r="B526" s="10">
        <v>45696</v>
      </c>
      <c r="C526" s="3" t="s">
        <v>55</v>
      </c>
      <c r="D526" t="s">
        <v>71</v>
      </c>
      <c r="E526" t="s">
        <v>90</v>
      </c>
      <c r="F526" t="s">
        <v>91</v>
      </c>
      <c r="G526" t="s">
        <v>92</v>
      </c>
      <c r="H526" t="s">
        <v>58</v>
      </c>
      <c r="I526" t="s">
        <v>59</v>
      </c>
      <c r="J526" t="s">
        <v>60</v>
      </c>
      <c r="K526" t="s">
        <v>61</v>
      </c>
      <c r="L526" t="s">
        <v>1213</v>
      </c>
      <c r="M526" t="s">
        <v>80</v>
      </c>
      <c r="N526" t="s">
        <v>45</v>
      </c>
      <c r="O526" t="s">
        <v>176</v>
      </c>
      <c r="P526" t="s">
        <v>177</v>
      </c>
      <c r="Q526" t="s">
        <v>66</v>
      </c>
      <c r="R526" t="s">
        <v>49</v>
      </c>
      <c r="S526">
        <v>2</v>
      </c>
      <c r="T526" s="14">
        <v>70.98</v>
      </c>
      <c r="U526" s="7">
        <v>12</v>
      </c>
      <c r="V526" s="7">
        <v>22</v>
      </c>
      <c r="W526" s="14">
        <v>104.98</v>
      </c>
      <c r="X526" s="14">
        <v>236.6</v>
      </c>
      <c r="Y526" s="16">
        <v>10</v>
      </c>
      <c r="Z526" s="12">
        <v>425.88</v>
      </c>
      <c r="AA526" s="5">
        <v>215.92</v>
      </c>
      <c r="AB526" s="18">
        <v>50.7</v>
      </c>
      <c r="AC526" t="s">
        <v>85</v>
      </c>
      <c r="AD526" t="s">
        <v>158</v>
      </c>
      <c r="AE526" t="s">
        <v>105</v>
      </c>
      <c r="AF526">
        <v>5</v>
      </c>
      <c r="AG526" t="s">
        <v>53</v>
      </c>
    </row>
    <row r="527" spans="1:33">
      <c r="A527" t="s">
        <v>1214</v>
      </c>
      <c r="B527" s="10">
        <v>45874</v>
      </c>
      <c r="C527" s="3" t="s">
        <v>179</v>
      </c>
      <c r="D527" t="s">
        <v>156</v>
      </c>
      <c r="E527" t="s">
        <v>99</v>
      </c>
      <c r="F527" t="s">
        <v>73</v>
      </c>
      <c r="G527" t="s">
        <v>74</v>
      </c>
      <c r="H527" t="s">
        <v>142</v>
      </c>
      <c r="I527" t="s">
        <v>143</v>
      </c>
      <c r="J527" t="s">
        <v>144</v>
      </c>
      <c r="K527" t="s">
        <v>145</v>
      </c>
      <c r="L527" t="s">
        <v>1215</v>
      </c>
      <c r="M527" t="s">
        <v>63</v>
      </c>
      <c r="N527" t="s">
        <v>110</v>
      </c>
      <c r="O527" t="s">
        <v>176</v>
      </c>
      <c r="P527" t="s">
        <v>177</v>
      </c>
      <c r="Q527" t="s">
        <v>66</v>
      </c>
      <c r="R527" t="s">
        <v>49</v>
      </c>
      <c r="S527">
        <v>1</v>
      </c>
      <c r="T527" s="14">
        <v>70.98</v>
      </c>
      <c r="U527" s="7">
        <v>12</v>
      </c>
      <c r="V527" s="7">
        <v>22</v>
      </c>
      <c r="W527" s="14">
        <v>104.98</v>
      </c>
      <c r="X527" s="14">
        <v>236.6</v>
      </c>
      <c r="Y527" s="16">
        <v>0</v>
      </c>
      <c r="Z527" s="12">
        <v>236.6</v>
      </c>
      <c r="AA527" s="5">
        <v>131.62</v>
      </c>
      <c r="AB527" s="18">
        <v>55.63</v>
      </c>
      <c r="AC527" t="s">
        <v>104</v>
      </c>
      <c r="AD527" t="s">
        <v>86</v>
      </c>
      <c r="AE527" t="s">
        <v>96</v>
      </c>
      <c r="AF527">
        <v>4</v>
      </c>
      <c r="AG527" t="s">
        <v>53</v>
      </c>
    </row>
    <row r="528" spans="1:33">
      <c r="A528" t="s">
        <v>1216</v>
      </c>
      <c r="B528" s="10">
        <v>45661</v>
      </c>
      <c r="C528" s="3" t="s">
        <v>113</v>
      </c>
      <c r="D528" t="s">
        <v>71</v>
      </c>
      <c r="E528" t="s">
        <v>152</v>
      </c>
      <c r="F528" t="s">
        <v>91</v>
      </c>
      <c r="G528" t="s">
        <v>92</v>
      </c>
      <c r="H528" t="s">
        <v>58</v>
      </c>
      <c r="I528" t="s">
        <v>59</v>
      </c>
      <c r="J528" t="s">
        <v>60</v>
      </c>
      <c r="K528" t="s">
        <v>61</v>
      </c>
      <c r="L528" t="s">
        <v>1217</v>
      </c>
      <c r="M528" t="s">
        <v>44</v>
      </c>
      <c r="N528" t="s">
        <v>110</v>
      </c>
      <c r="O528" t="s">
        <v>82</v>
      </c>
      <c r="P528" t="s">
        <v>83</v>
      </c>
      <c r="Q528" t="s">
        <v>66</v>
      </c>
      <c r="R528" t="s">
        <v>67</v>
      </c>
      <c r="S528">
        <v>2</v>
      </c>
      <c r="T528" s="14">
        <v>71.7</v>
      </c>
      <c r="U528" s="7">
        <v>12</v>
      </c>
      <c r="V528" s="7">
        <v>22</v>
      </c>
      <c r="W528" s="14">
        <v>105.7</v>
      </c>
      <c r="X528" s="14">
        <v>239</v>
      </c>
      <c r="Y528" s="16">
        <v>15</v>
      </c>
      <c r="Z528" s="12">
        <v>406.3</v>
      </c>
      <c r="AA528" s="5">
        <v>194.9</v>
      </c>
      <c r="AB528" s="18">
        <v>47.97</v>
      </c>
      <c r="AC528" t="s">
        <v>85</v>
      </c>
      <c r="AD528" t="s">
        <v>86</v>
      </c>
      <c r="AE528" t="s">
        <v>105</v>
      </c>
      <c r="AF528">
        <v>5</v>
      </c>
      <c r="AG528" t="s">
        <v>53</v>
      </c>
    </row>
    <row r="529" spans="1:33">
      <c r="A529" t="s">
        <v>1218</v>
      </c>
      <c r="B529" s="10">
        <v>45865</v>
      </c>
      <c r="C529" s="3" t="s">
        <v>55</v>
      </c>
      <c r="D529" t="s">
        <v>89</v>
      </c>
      <c r="E529" t="s">
        <v>114</v>
      </c>
      <c r="F529" t="s">
        <v>73</v>
      </c>
      <c r="G529" t="s">
        <v>74</v>
      </c>
      <c r="H529" t="s">
        <v>75</v>
      </c>
      <c r="I529" t="s">
        <v>76</v>
      </c>
      <c r="J529" t="s">
        <v>77</v>
      </c>
      <c r="K529" t="s">
        <v>78</v>
      </c>
      <c r="L529" t="s">
        <v>1219</v>
      </c>
      <c r="M529" t="s">
        <v>63</v>
      </c>
      <c r="N529" t="s">
        <v>110</v>
      </c>
      <c r="O529" t="s">
        <v>82</v>
      </c>
      <c r="P529" t="s">
        <v>83</v>
      </c>
      <c r="Q529" t="s">
        <v>66</v>
      </c>
      <c r="R529" t="s">
        <v>67</v>
      </c>
      <c r="S529">
        <v>3</v>
      </c>
      <c r="T529" s="14">
        <v>71.7</v>
      </c>
      <c r="U529" s="7">
        <v>12</v>
      </c>
      <c r="V529" s="7">
        <v>22</v>
      </c>
      <c r="W529" s="14">
        <v>105.7</v>
      </c>
      <c r="X529" s="14">
        <v>239</v>
      </c>
      <c r="Y529" s="16">
        <v>15</v>
      </c>
      <c r="Z529" s="12">
        <v>609.45000000000005</v>
      </c>
      <c r="AA529" s="5">
        <v>292.35000000000002</v>
      </c>
      <c r="AB529" s="18">
        <v>47.97</v>
      </c>
      <c r="AC529" t="s">
        <v>50</v>
      </c>
      <c r="AD529" t="s">
        <v>51</v>
      </c>
      <c r="AE529" t="s">
        <v>96</v>
      </c>
      <c r="AF529">
        <v>5</v>
      </c>
      <c r="AG529" t="s">
        <v>53</v>
      </c>
    </row>
    <row r="530" spans="1:33">
      <c r="A530" t="s">
        <v>1220</v>
      </c>
      <c r="B530" s="10">
        <v>45695</v>
      </c>
      <c r="C530" s="3" t="s">
        <v>390</v>
      </c>
      <c r="D530" t="s">
        <v>35</v>
      </c>
      <c r="E530" t="s">
        <v>90</v>
      </c>
      <c r="F530" t="s">
        <v>91</v>
      </c>
      <c r="G530" t="s">
        <v>92</v>
      </c>
      <c r="H530" t="s">
        <v>115</v>
      </c>
      <c r="I530" t="s">
        <v>116</v>
      </c>
      <c r="J530" t="s">
        <v>117</v>
      </c>
      <c r="K530" t="s">
        <v>61</v>
      </c>
      <c r="L530" t="s">
        <v>1221</v>
      </c>
      <c r="M530" t="s">
        <v>80</v>
      </c>
      <c r="N530" t="s">
        <v>45</v>
      </c>
      <c r="O530" t="s">
        <v>162</v>
      </c>
      <c r="P530" t="s">
        <v>163</v>
      </c>
      <c r="Q530" t="s">
        <v>48</v>
      </c>
      <c r="R530" t="s">
        <v>84</v>
      </c>
      <c r="S530">
        <v>2</v>
      </c>
      <c r="T530" s="14">
        <v>89.64</v>
      </c>
      <c r="U530" s="7">
        <v>12</v>
      </c>
      <c r="V530" s="7">
        <v>22</v>
      </c>
      <c r="W530" s="14">
        <v>123.64</v>
      </c>
      <c r="X530" s="14">
        <v>298.8</v>
      </c>
      <c r="Y530" s="16">
        <v>10</v>
      </c>
      <c r="Z530" s="12">
        <v>537.84</v>
      </c>
      <c r="AA530" s="5">
        <v>290.56</v>
      </c>
      <c r="AB530" s="18">
        <v>54.02</v>
      </c>
      <c r="AC530" t="s">
        <v>50</v>
      </c>
      <c r="AD530" t="s">
        <v>86</v>
      </c>
      <c r="AE530" t="s">
        <v>96</v>
      </c>
      <c r="AF530">
        <v>5</v>
      </c>
      <c r="AG530" t="s">
        <v>53</v>
      </c>
    </row>
    <row r="531" spans="1:33">
      <c r="A531" t="s">
        <v>1222</v>
      </c>
      <c r="B531" s="10">
        <v>45862</v>
      </c>
      <c r="C531" s="3" t="s">
        <v>155</v>
      </c>
      <c r="D531" t="s">
        <v>56</v>
      </c>
      <c r="E531" t="s">
        <v>114</v>
      </c>
      <c r="F531" t="s">
        <v>73</v>
      </c>
      <c r="G531" t="s">
        <v>74</v>
      </c>
      <c r="H531" t="s">
        <v>39</v>
      </c>
      <c r="I531" t="s">
        <v>2143</v>
      </c>
      <c r="J531" t="s">
        <v>41</v>
      </c>
      <c r="K531" t="s">
        <v>42</v>
      </c>
      <c r="L531" t="s">
        <v>1223</v>
      </c>
      <c r="M531" t="s">
        <v>44</v>
      </c>
      <c r="N531" t="s">
        <v>81</v>
      </c>
      <c r="O531" t="s">
        <v>101</v>
      </c>
      <c r="P531" t="s">
        <v>102</v>
      </c>
      <c r="Q531" t="s">
        <v>103</v>
      </c>
      <c r="R531" t="s">
        <v>84</v>
      </c>
      <c r="S531">
        <v>3</v>
      </c>
      <c r="T531" s="14">
        <v>53.64</v>
      </c>
      <c r="U531" s="7">
        <v>12</v>
      </c>
      <c r="V531" s="7">
        <v>22</v>
      </c>
      <c r="W531" s="14">
        <v>87.64</v>
      </c>
      <c r="X531" s="14">
        <v>178.8</v>
      </c>
      <c r="Y531" s="16">
        <v>5</v>
      </c>
      <c r="Z531" s="12">
        <v>509.58</v>
      </c>
      <c r="AA531" s="5">
        <v>246.66</v>
      </c>
      <c r="AB531" s="18">
        <v>48.4</v>
      </c>
      <c r="AC531" t="s">
        <v>111</v>
      </c>
      <c r="AD531" t="s">
        <v>86</v>
      </c>
      <c r="AE531" t="s">
        <v>105</v>
      </c>
      <c r="AF531">
        <v>5</v>
      </c>
      <c r="AG531" t="s">
        <v>53</v>
      </c>
    </row>
    <row r="532" spans="1:33">
      <c r="A532" t="s">
        <v>1224</v>
      </c>
      <c r="B532" s="10">
        <v>45946</v>
      </c>
      <c r="C532" s="3" t="s">
        <v>128</v>
      </c>
      <c r="D532" t="s">
        <v>56</v>
      </c>
      <c r="E532" t="s">
        <v>36</v>
      </c>
      <c r="F532" t="s">
        <v>37</v>
      </c>
      <c r="G532" t="s">
        <v>38</v>
      </c>
      <c r="H532" t="s">
        <v>142</v>
      </c>
      <c r="I532" t="s">
        <v>143</v>
      </c>
      <c r="J532" t="s">
        <v>144</v>
      </c>
      <c r="K532" t="s">
        <v>145</v>
      </c>
      <c r="L532" t="s">
        <v>1225</v>
      </c>
      <c r="M532" t="s">
        <v>80</v>
      </c>
      <c r="N532" t="s">
        <v>110</v>
      </c>
      <c r="O532" t="s">
        <v>64</v>
      </c>
      <c r="P532" t="s">
        <v>65</v>
      </c>
      <c r="Q532" t="s">
        <v>66</v>
      </c>
      <c r="R532" t="s">
        <v>67</v>
      </c>
      <c r="S532">
        <v>1</v>
      </c>
      <c r="T532" s="14">
        <v>44.7</v>
      </c>
      <c r="U532" s="7">
        <v>12</v>
      </c>
      <c r="V532" s="7">
        <v>22</v>
      </c>
      <c r="W532" s="14">
        <v>78.7</v>
      </c>
      <c r="X532" s="14">
        <v>149</v>
      </c>
      <c r="Y532" s="16">
        <v>10</v>
      </c>
      <c r="Z532" s="12">
        <v>134.1</v>
      </c>
      <c r="AA532" s="5">
        <v>55.4</v>
      </c>
      <c r="AB532" s="18">
        <v>41.31</v>
      </c>
      <c r="AC532" t="s">
        <v>111</v>
      </c>
      <c r="AD532" t="s">
        <v>51</v>
      </c>
      <c r="AE532" t="s">
        <v>52</v>
      </c>
      <c r="AF532">
        <v>3</v>
      </c>
      <c r="AG532" t="s">
        <v>53</v>
      </c>
    </row>
    <row r="533" spans="1:33">
      <c r="A533" t="s">
        <v>1226</v>
      </c>
      <c r="B533" s="10">
        <v>45817</v>
      </c>
      <c r="C533" s="3" t="s">
        <v>55</v>
      </c>
      <c r="D533" t="s">
        <v>206</v>
      </c>
      <c r="E533" t="s">
        <v>174</v>
      </c>
      <c r="F533" t="s">
        <v>131</v>
      </c>
      <c r="G533" t="s">
        <v>132</v>
      </c>
      <c r="H533" t="s">
        <v>39</v>
      </c>
      <c r="I533" t="s">
        <v>2143</v>
      </c>
      <c r="J533" t="s">
        <v>41</v>
      </c>
      <c r="K533" t="s">
        <v>42</v>
      </c>
      <c r="L533" t="s">
        <v>1227</v>
      </c>
      <c r="M533" t="s">
        <v>63</v>
      </c>
      <c r="N533" t="s">
        <v>81</v>
      </c>
      <c r="O533" t="s">
        <v>64</v>
      </c>
      <c r="P533" t="s">
        <v>65</v>
      </c>
      <c r="Q533" t="s">
        <v>66</v>
      </c>
      <c r="R533" t="s">
        <v>84</v>
      </c>
      <c r="S533">
        <v>2</v>
      </c>
      <c r="T533" s="14">
        <v>53.64</v>
      </c>
      <c r="U533" s="7">
        <v>12</v>
      </c>
      <c r="V533" s="7">
        <v>22</v>
      </c>
      <c r="W533" s="14">
        <v>87.64</v>
      </c>
      <c r="X533" s="14">
        <v>178.8</v>
      </c>
      <c r="Y533" s="16">
        <v>10</v>
      </c>
      <c r="Z533" s="12">
        <v>321.83999999999997</v>
      </c>
      <c r="AA533" s="5">
        <v>146.56</v>
      </c>
      <c r="AB533" s="18">
        <v>45.54</v>
      </c>
      <c r="AC533" t="s">
        <v>85</v>
      </c>
      <c r="AD533" t="s">
        <v>51</v>
      </c>
      <c r="AE533" t="s">
        <v>96</v>
      </c>
      <c r="AF533">
        <v>5</v>
      </c>
      <c r="AG533" t="s">
        <v>53</v>
      </c>
    </row>
    <row r="534" spans="1:33">
      <c r="A534" t="s">
        <v>1228</v>
      </c>
      <c r="B534" s="10">
        <v>45954</v>
      </c>
      <c r="C534" s="3" t="s">
        <v>199</v>
      </c>
      <c r="D534" t="s">
        <v>35</v>
      </c>
      <c r="E534" t="s">
        <v>36</v>
      </c>
      <c r="F534" t="s">
        <v>37</v>
      </c>
      <c r="G534" t="s">
        <v>38</v>
      </c>
      <c r="H534" t="s">
        <v>39</v>
      </c>
      <c r="I534" t="s">
        <v>2143</v>
      </c>
      <c r="J534" t="s">
        <v>41</v>
      </c>
      <c r="K534" t="s">
        <v>42</v>
      </c>
      <c r="L534" t="s">
        <v>1229</v>
      </c>
      <c r="M534" t="s">
        <v>63</v>
      </c>
      <c r="N534" t="s">
        <v>110</v>
      </c>
      <c r="O534" t="s">
        <v>123</v>
      </c>
      <c r="P534" t="s">
        <v>124</v>
      </c>
      <c r="Q534" t="s">
        <v>125</v>
      </c>
      <c r="R534" t="s">
        <v>67</v>
      </c>
      <c r="S534">
        <v>1</v>
      </c>
      <c r="T534" s="14">
        <v>74.7</v>
      </c>
      <c r="U534" s="7">
        <v>12</v>
      </c>
      <c r="V534" s="7">
        <v>22</v>
      </c>
      <c r="W534" s="14">
        <v>108.7</v>
      </c>
      <c r="X534" s="14">
        <v>249</v>
      </c>
      <c r="Y534" s="16">
        <v>0</v>
      </c>
      <c r="Z534" s="12">
        <v>249</v>
      </c>
      <c r="AA534" s="5">
        <v>140.30000000000001</v>
      </c>
      <c r="AB534" s="18">
        <v>56.35</v>
      </c>
      <c r="AC534" t="s">
        <v>50</v>
      </c>
      <c r="AD534" t="s">
        <v>86</v>
      </c>
      <c r="AE534" t="s">
        <v>105</v>
      </c>
      <c r="AF534">
        <v>5</v>
      </c>
      <c r="AG534" t="s">
        <v>53</v>
      </c>
    </row>
    <row r="535" spans="1:33">
      <c r="A535" t="s">
        <v>1230</v>
      </c>
      <c r="B535" s="10">
        <v>45748</v>
      </c>
      <c r="C535" s="3" t="s">
        <v>107</v>
      </c>
      <c r="D535" t="s">
        <v>156</v>
      </c>
      <c r="E535" t="s">
        <v>280</v>
      </c>
      <c r="F535" t="s">
        <v>131</v>
      </c>
      <c r="G535" t="s">
        <v>132</v>
      </c>
      <c r="H535" t="s">
        <v>115</v>
      </c>
      <c r="I535" t="s">
        <v>116</v>
      </c>
      <c r="J535" t="s">
        <v>117</v>
      </c>
      <c r="K535" t="s">
        <v>61</v>
      </c>
      <c r="L535" t="s">
        <v>1231</v>
      </c>
      <c r="M535" t="s">
        <v>44</v>
      </c>
      <c r="N535" t="s">
        <v>81</v>
      </c>
      <c r="O535" t="s">
        <v>46</v>
      </c>
      <c r="P535" t="s">
        <v>47</v>
      </c>
      <c r="Q535" t="s">
        <v>48</v>
      </c>
      <c r="R535" t="s">
        <v>49</v>
      </c>
      <c r="S535">
        <v>3</v>
      </c>
      <c r="T535" s="14">
        <v>108.78</v>
      </c>
      <c r="U535" s="7">
        <v>12</v>
      </c>
      <c r="V535" s="7">
        <v>22</v>
      </c>
      <c r="W535" s="14">
        <v>142.78</v>
      </c>
      <c r="X535" s="14">
        <v>362.6</v>
      </c>
      <c r="Y535" s="16">
        <v>10</v>
      </c>
      <c r="Z535" s="12">
        <v>979.02</v>
      </c>
      <c r="AA535" s="5">
        <v>550.67999999999995</v>
      </c>
      <c r="AB535" s="18">
        <v>56.25</v>
      </c>
      <c r="AC535" t="s">
        <v>111</v>
      </c>
      <c r="AD535" t="s">
        <v>158</v>
      </c>
      <c r="AE535" t="s">
        <v>126</v>
      </c>
      <c r="AF535">
        <v>5</v>
      </c>
      <c r="AG535" t="s">
        <v>53</v>
      </c>
    </row>
    <row r="536" spans="1:33">
      <c r="A536" t="s">
        <v>1232</v>
      </c>
      <c r="B536" s="10">
        <v>45889</v>
      </c>
      <c r="C536" s="3" t="s">
        <v>98</v>
      </c>
      <c r="D536" t="s">
        <v>129</v>
      </c>
      <c r="E536" t="s">
        <v>99</v>
      </c>
      <c r="F536" t="s">
        <v>73</v>
      </c>
      <c r="G536" t="s">
        <v>74</v>
      </c>
      <c r="H536" t="s">
        <v>58</v>
      </c>
      <c r="I536" t="s">
        <v>59</v>
      </c>
      <c r="J536" t="s">
        <v>60</v>
      </c>
      <c r="K536" t="s">
        <v>61</v>
      </c>
      <c r="L536" t="s">
        <v>1233</v>
      </c>
      <c r="M536" t="s">
        <v>63</v>
      </c>
      <c r="N536" t="s">
        <v>110</v>
      </c>
      <c r="O536" t="s">
        <v>119</v>
      </c>
      <c r="P536" t="s">
        <v>120</v>
      </c>
      <c r="Q536" t="s">
        <v>103</v>
      </c>
      <c r="R536" t="s">
        <v>67</v>
      </c>
      <c r="S536">
        <v>1</v>
      </c>
      <c r="T536" s="14">
        <v>38.700000000000003</v>
      </c>
      <c r="U536" s="7">
        <v>12</v>
      </c>
      <c r="V536" s="7">
        <v>22</v>
      </c>
      <c r="W536" s="14">
        <v>72.7</v>
      </c>
      <c r="X536" s="14">
        <v>129</v>
      </c>
      <c r="Y536" s="16">
        <v>0</v>
      </c>
      <c r="Z536" s="12">
        <v>129</v>
      </c>
      <c r="AA536" s="5">
        <v>56.3</v>
      </c>
      <c r="AB536" s="18">
        <v>43.64</v>
      </c>
      <c r="AC536" t="s">
        <v>104</v>
      </c>
      <c r="AD536" t="s">
        <v>86</v>
      </c>
      <c r="AE536" t="s">
        <v>68</v>
      </c>
      <c r="AF536">
        <v>5</v>
      </c>
      <c r="AG536" t="s">
        <v>53</v>
      </c>
    </row>
    <row r="537" spans="1:33">
      <c r="A537" t="s">
        <v>1234</v>
      </c>
      <c r="B537" s="10">
        <v>45758</v>
      </c>
      <c r="C537" s="3" t="s">
        <v>339</v>
      </c>
      <c r="D537" t="s">
        <v>35</v>
      </c>
      <c r="E537" t="s">
        <v>280</v>
      </c>
      <c r="F537" t="s">
        <v>131</v>
      </c>
      <c r="G537" t="s">
        <v>132</v>
      </c>
      <c r="H537" t="s">
        <v>133</v>
      </c>
      <c r="I537" t="s">
        <v>134</v>
      </c>
      <c r="J537" t="s">
        <v>135</v>
      </c>
      <c r="K537" t="s">
        <v>42</v>
      </c>
      <c r="L537" t="s">
        <v>1235</v>
      </c>
      <c r="M537" t="s">
        <v>63</v>
      </c>
      <c r="N537" t="s">
        <v>45</v>
      </c>
      <c r="O537" t="s">
        <v>189</v>
      </c>
      <c r="P537" t="s">
        <v>190</v>
      </c>
      <c r="Q537" t="s">
        <v>48</v>
      </c>
      <c r="R537" t="s">
        <v>49</v>
      </c>
      <c r="S537">
        <v>2</v>
      </c>
      <c r="T537" s="14">
        <v>66.78</v>
      </c>
      <c r="U537" s="7">
        <v>12</v>
      </c>
      <c r="V537" s="7">
        <v>22</v>
      </c>
      <c r="W537" s="14">
        <v>100.78</v>
      </c>
      <c r="X537" s="14">
        <v>222.6</v>
      </c>
      <c r="Y537" s="16">
        <v>10</v>
      </c>
      <c r="Z537" s="12">
        <v>400.68</v>
      </c>
      <c r="AA537" s="5">
        <v>199.12</v>
      </c>
      <c r="AB537" s="18">
        <v>49.7</v>
      </c>
      <c r="AC537" t="s">
        <v>2145</v>
      </c>
      <c r="AD537" t="s">
        <v>51</v>
      </c>
      <c r="AE537" t="s">
        <v>96</v>
      </c>
      <c r="AF537">
        <v>5</v>
      </c>
      <c r="AG537" t="s">
        <v>53</v>
      </c>
    </row>
    <row r="538" spans="1:33">
      <c r="A538" t="s">
        <v>1236</v>
      </c>
      <c r="B538" s="10">
        <v>45757</v>
      </c>
      <c r="C538" s="3" t="s">
        <v>98</v>
      </c>
      <c r="D538" t="s">
        <v>56</v>
      </c>
      <c r="E538" t="s">
        <v>280</v>
      </c>
      <c r="F538" t="s">
        <v>131</v>
      </c>
      <c r="G538" t="s">
        <v>132</v>
      </c>
      <c r="H538" t="s">
        <v>133</v>
      </c>
      <c r="I538" t="s">
        <v>134</v>
      </c>
      <c r="J538" t="s">
        <v>135</v>
      </c>
      <c r="K538" t="s">
        <v>42</v>
      </c>
      <c r="L538" t="s">
        <v>1237</v>
      </c>
      <c r="M538" t="s">
        <v>63</v>
      </c>
      <c r="N538" t="s">
        <v>81</v>
      </c>
      <c r="O538" t="s">
        <v>46</v>
      </c>
      <c r="P538" t="s">
        <v>47</v>
      </c>
      <c r="Q538" t="s">
        <v>48</v>
      </c>
      <c r="R538" t="s">
        <v>84</v>
      </c>
      <c r="S538">
        <v>2</v>
      </c>
      <c r="T538" s="14">
        <v>93.24</v>
      </c>
      <c r="U538" s="7">
        <v>12</v>
      </c>
      <c r="V538" s="7">
        <v>22</v>
      </c>
      <c r="W538" s="14">
        <v>127.24</v>
      </c>
      <c r="X538" s="14">
        <v>310.8</v>
      </c>
      <c r="Y538" s="16">
        <v>10</v>
      </c>
      <c r="Z538" s="12">
        <v>559.44000000000005</v>
      </c>
      <c r="AA538" s="5">
        <v>304.95999999999998</v>
      </c>
      <c r="AB538" s="18">
        <v>54.51</v>
      </c>
      <c r="AC538" t="s">
        <v>111</v>
      </c>
      <c r="AD538" t="s">
        <v>86</v>
      </c>
      <c r="AE538" t="s">
        <v>126</v>
      </c>
      <c r="AF538">
        <v>5</v>
      </c>
      <c r="AG538" t="s">
        <v>53</v>
      </c>
    </row>
    <row r="539" spans="1:33">
      <c r="A539" t="s">
        <v>1238</v>
      </c>
      <c r="B539" s="10">
        <v>45959</v>
      </c>
      <c r="C539" s="3" t="s">
        <v>339</v>
      </c>
      <c r="D539" t="s">
        <v>129</v>
      </c>
      <c r="E539" t="s">
        <v>36</v>
      </c>
      <c r="F539" t="s">
        <v>37</v>
      </c>
      <c r="G539" t="s">
        <v>38</v>
      </c>
      <c r="H539" t="s">
        <v>58</v>
      </c>
      <c r="I539" t="s">
        <v>59</v>
      </c>
      <c r="J539" t="s">
        <v>60</v>
      </c>
      <c r="K539" t="s">
        <v>61</v>
      </c>
      <c r="L539" t="s">
        <v>1239</v>
      </c>
      <c r="M539" t="s">
        <v>80</v>
      </c>
      <c r="N539" t="s">
        <v>45</v>
      </c>
      <c r="O539" t="s">
        <v>94</v>
      </c>
      <c r="P539" t="s">
        <v>95</v>
      </c>
      <c r="Q539" t="s">
        <v>66</v>
      </c>
      <c r="R539" t="s">
        <v>84</v>
      </c>
      <c r="S539">
        <v>3</v>
      </c>
      <c r="T539" s="14">
        <v>78.84</v>
      </c>
      <c r="U539" s="7">
        <v>12</v>
      </c>
      <c r="V539" s="7">
        <v>22</v>
      </c>
      <c r="W539" s="14">
        <v>112.84</v>
      </c>
      <c r="X539" s="14">
        <v>262.8</v>
      </c>
      <c r="Y539" s="16">
        <v>0</v>
      </c>
      <c r="Z539" s="12">
        <v>788.4</v>
      </c>
      <c r="AA539" s="5">
        <v>449.88</v>
      </c>
      <c r="AB539" s="18">
        <v>57.06</v>
      </c>
      <c r="AC539" t="s">
        <v>50</v>
      </c>
      <c r="AD539" t="s">
        <v>51</v>
      </c>
      <c r="AE539" t="s">
        <v>126</v>
      </c>
      <c r="AF539">
        <v>5</v>
      </c>
      <c r="AG539" t="s">
        <v>53</v>
      </c>
    </row>
    <row r="540" spans="1:33">
      <c r="A540" t="s">
        <v>1240</v>
      </c>
      <c r="B540" s="10">
        <v>45826</v>
      </c>
      <c r="C540" s="3" t="s">
        <v>113</v>
      </c>
      <c r="D540" t="s">
        <v>129</v>
      </c>
      <c r="E540" t="s">
        <v>174</v>
      </c>
      <c r="F540" t="s">
        <v>131</v>
      </c>
      <c r="G540" t="s">
        <v>132</v>
      </c>
      <c r="H540" t="s">
        <v>75</v>
      </c>
      <c r="I540" t="s">
        <v>76</v>
      </c>
      <c r="J540" t="s">
        <v>77</v>
      </c>
      <c r="K540" t="s">
        <v>78</v>
      </c>
      <c r="L540" t="s">
        <v>1241</v>
      </c>
      <c r="M540" t="s">
        <v>63</v>
      </c>
      <c r="N540" t="s">
        <v>110</v>
      </c>
      <c r="O540" t="s">
        <v>64</v>
      </c>
      <c r="P540" t="s">
        <v>65</v>
      </c>
      <c r="Q540" t="s">
        <v>66</v>
      </c>
      <c r="R540" t="s">
        <v>67</v>
      </c>
      <c r="S540">
        <v>3</v>
      </c>
      <c r="T540" s="14">
        <v>44.7</v>
      </c>
      <c r="U540" s="7">
        <v>12</v>
      </c>
      <c r="V540" s="7">
        <v>22</v>
      </c>
      <c r="W540" s="14">
        <v>78.7</v>
      </c>
      <c r="X540" s="14">
        <v>149</v>
      </c>
      <c r="Y540" s="16">
        <v>5</v>
      </c>
      <c r="Z540" s="12">
        <v>424.65</v>
      </c>
      <c r="AA540" s="5">
        <v>188.55</v>
      </c>
      <c r="AB540" s="18">
        <v>44.4</v>
      </c>
      <c r="AC540" t="s">
        <v>111</v>
      </c>
      <c r="AD540" t="s">
        <v>86</v>
      </c>
      <c r="AE540" t="s">
        <v>68</v>
      </c>
      <c r="AF540">
        <v>4</v>
      </c>
      <c r="AG540" t="s">
        <v>53</v>
      </c>
    </row>
    <row r="541" spans="1:33">
      <c r="A541" t="s">
        <v>1242</v>
      </c>
      <c r="B541" s="10">
        <v>45961</v>
      </c>
      <c r="C541" s="3" t="s">
        <v>128</v>
      </c>
      <c r="D541" t="s">
        <v>35</v>
      </c>
      <c r="E541" t="s">
        <v>36</v>
      </c>
      <c r="F541" t="s">
        <v>37</v>
      </c>
      <c r="G541" t="s">
        <v>38</v>
      </c>
      <c r="H541" t="s">
        <v>39</v>
      </c>
      <c r="I541" t="s">
        <v>2143</v>
      </c>
      <c r="J541" t="s">
        <v>41</v>
      </c>
      <c r="K541" t="s">
        <v>42</v>
      </c>
      <c r="L541" t="s">
        <v>1243</v>
      </c>
      <c r="M541" t="s">
        <v>63</v>
      </c>
      <c r="N541" t="s">
        <v>45</v>
      </c>
      <c r="O541" t="s">
        <v>64</v>
      </c>
      <c r="P541" t="s">
        <v>65</v>
      </c>
      <c r="Q541" t="s">
        <v>66</v>
      </c>
      <c r="R541" t="s">
        <v>67</v>
      </c>
      <c r="S541">
        <v>2</v>
      </c>
      <c r="T541" s="14">
        <v>44.7</v>
      </c>
      <c r="U541" s="7">
        <v>12</v>
      </c>
      <c r="V541" s="7">
        <v>22</v>
      </c>
      <c r="W541" s="14">
        <v>78.7</v>
      </c>
      <c r="X541" s="14">
        <v>149</v>
      </c>
      <c r="Y541" s="16">
        <v>0</v>
      </c>
      <c r="Z541" s="12">
        <v>298</v>
      </c>
      <c r="AA541" s="5">
        <v>140.6</v>
      </c>
      <c r="AB541" s="18">
        <v>47.18</v>
      </c>
      <c r="AC541" t="s">
        <v>111</v>
      </c>
      <c r="AD541" t="s">
        <v>51</v>
      </c>
      <c r="AE541" t="s">
        <v>52</v>
      </c>
      <c r="AF541">
        <v>5</v>
      </c>
      <c r="AG541" t="s">
        <v>53</v>
      </c>
    </row>
    <row r="542" spans="1:33">
      <c r="A542" t="s">
        <v>1244</v>
      </c>
      <c r="B542" s="10">
        <v>45678</v>
      </c>
      <c r="C542" s="3" t="s">
        <v>211</v>
      </c>
      <c r="D542" t="s">
        <v>156</v>
      </c>
      <c r="E542" t="s">
        <v>152</v>
      </c>
      <c r="F542" t="s">
        <v>91</v>
      </c>
      <c r="G542" t="s">
        <v>92</v>
      </c>
      <c r="H542" t="s">
        <v>115</v>
      </c>
      <c r="I542" t="s">
        <v>116</v>
      </c>
      <c r="J542" t="s">
        <v>117</v>
      </c>
      <c r="K542" t="s">
        <v>61</v>
      </c>
      <c r="L542" t="s">
        <v>1245</v>
      </c>
      <c r="M542" t="s">
        <v>63</v>
      </c>
      <c r="N542" t="s">
        <v>110</v>
      </c>
      <c r="O542" t="s">
        <v>137</v>
      </c>
      <c r="P542" t="s">
        <v>138</v>
      </c>
      <c r="Q542" t="s">
        <v>139</v>
      </c>
      <c r="R542" t="s">
        <v>49</v>
      </c>
      <c r="S542">
        <v>1</v>
      </c>
      <c r="T542" s="14">
        <v>83.58</v>
      </c>
      <c r="U542" s="7">
        <v>12</v>
      </c>
      <c r="V542" s="7">
        <v>22</v>
      </c>
      <c r="W542" s="14">
        <v>117.58</v>
      </c>
      <c r="X542" s="14">
        <v>278.60000000000002</v>
      </c>
      <c r="Y542" s="16">
        <v>5</v>
      </c>
      <c r="Z542" s="12">
        <v>264.67</v>
      </c>
      <c r="AA542" s="5">
        <v>147.09</v>
      </c>
      <c r="AB542" s="18">
        <v>55.57</v>
      </c>
      <c r="AC542" t="s">
        <v>104</v>
      </c>
      <c r="AD542" t="s">
        <v>51</v>
      </c>
      <c r="AE542" t="s">
        <v>52</v>
      </c>
      <c r="AF542">
        <v>5</v>
      </c>
      <c r="AG542" t="s">
        <v>53</v>
      </c>
    </row>
    <row r="543" spans="1:33">
      <c r="A543" t="s">
        <v>1246</v>
      </c>
      <c r="B543" s="10">
        <v>46015</v>
      </c>
      <c r="C543" s="3" t="s">
        <v>390</v>
      </c>
      <c r="D543" t="s">
        <v>129</v>
      </c>
      <c r="E543" t="s">
        <v>149</v>
      </c>
      <c r="F543" t="s">
        <v>37</v>
      </c>
      <c r="G543" t="s">
        <v>92</v>
      </c>
      <c r="H543" t="s">
        <v>75</v>
      </c>
      <c r="I543" t="s">
        <v>76</v>
      </c>
      <c r="J543" t="s">
        <v>77</v>
      </c>
      <c r="K543" t="s">
        <v>78</v>
      </c>
      <c r="L543" t="s">
        <v>1247</v>
      </c>
      <c r="M543" t="s">
        <v>44</v>
      </c>
      <c r="N543" t="s">
        <v>110</v>
      </c>
      <c r="O543" t="s">
        <v>94</v>
      </c>
      <c r="P543" t="s">
        <v>95</v>
      </c>
      <c r="Q543" t="s">
        <v>66</v>
      </c>
      <c r="R543" t="s">
        <v>84</v>
      </c>
      <c r="S543">
        <v>1</v>
      </c>
      <c r="T543" s="14">
        <v>78.84</v>
      </c>
      <c r="U543" s="7">
        <v>12</v>
      </c>
      <c r="V543" s="7">
        <v>22</v>
      </c>
      <c r="W543" s="14">
        <v>112.84</v>
      </c>
      <c r="X543" s="14">
        <v>262.8</v>
      </c>
      <c r="Y543" s="16">
        <v>10</v>
      </c>
      <c r="Z543" s="12">
        <v>236.52</v>
      </c>
      <c r="AA543" s="5">
        <v>123.68</v>
      </c>
      <c r="AB543" s="18">
        <v>52.29</v>
      </c>
      <c r="AC543" t="s">
        <v>85</v>
      </c>
      <c r="AD543" t="s">
        <v>51</v>
      </c>
      <c r="AE543" t="s">
        <v>96</v>
      </c>
      <c r="AF543">
        <v>4</v>
      </c>
      <c r="AG543" t="s">
        <v>53</v>
      </c>
    </row>
    <row r="544" spans="1:33">
      <c r="A544" t="s">
        <v>1248</v>
      </c>
      <c r="B544" s="10">
        <v>45933</v>
      </c>
      <c r="C544" s="3" t="s">
        <v>55</v>
      </c>
      <c r="D544" t="s">
        <v>35</v>
      </c>
      <c r="E544" t="s">
        <v>36</v>
      </c>
      <c r="F544" t="s">
        <v>37</v>
      </c>
      <c r="G544" t="s">
        <v>38</v>
      </c>
      <c r="H544" t="s">
        <v>133</v>
      </c>
      <c r="I544" t="s">
        <v>134</v>
      </c>
      <c r="J544" t="s">
        <v>135</v>
      </c>
      <c r="K544" t="s">
        <v>42</v>
      </c>
      <c r="L544" t="s">
        <v>1249</v>
      </c>
      <c r="M544" t="s">
        <v>63</v>
      </c>
      <c r="N544" t="s">
        <v>45</v>
      </c>
      <c r="O544" t="s">
        <v>176</v>
      </c>
      <c r="P544" t="s">
        <v>177</v>
      </c>
      <c r="Q544" t="s">
        <v>66</v>
      </c>
      <c r="R544" t="s">
        <v>84</v>
      </c>
      <c r="S544">
        <v>1</v>
      </c>
      <c r="T544" s="14">
        <v>60.84</v>
      </c>
      <c r="U544" s="7">
        <v>12</v>
      </c>
      <c r="V544" s="7">
        <v>22</v>
      </c>
      <c r="W544" s="14">
        <v>94.84</v>
      </c>
      <c r="X544" s="14">
        <v>202.8</v>
      </c>
      <c r="Y544" s="16">
        <v>0</v>
      </c>
      <c r="Z544" s="12">
        <v>202.8</v>
      </c>
      <c r="AA544" s="5">
        <v>107.96</v>
      </c>
      <c r="AB544" s="18">
        <v>53.23</v>
      </c>
      <c r="AC544" t="s">
        <v>104</v>
      </c>
      <c r="AD544" t="s">
        <v>51</v>
      </c>
      <c r="AE544" t="s">
        <v>68</v>
      </c>
      <c r="AF544">
        <v>5</v>
      </c>
      <c r="AG544" t="s">
        <v>53</v>
      </c>
    </row>
    <row r="545" spans="1:33">
      <c r="A545" t="s">
        <v>1250</v>
      </c>
      <c r="B545" s="10">
        <v>45732</v>
      </c>
      <c r="C545" s="3" t="s">
        <v>98</v>
      </c>
      <c r="D545" t="s">
        <v>89</v>
      </c>
      <c r="E545" t="s">
        <v>108</v>
      </c>
      <c r="F545" t="s">
        <v>91</v>
      </c>
      <c r="G545" t="s">
        <v>38</v>
      </c>
      <c r="H545" t="s">
        <v>75</v>
      </c>
      <c r="I545" t="s">
        <v>76</v>
      </c>
      <c r="J545" t="s">
        <v>77</v>
      </c>
      <c r="K545" t="s">
        <v>78</v>
      </c>
      <c r="L545" t="s">
        <v>1251</v>
      </c>
      <c r="M545" t="s">
        <v>44</v>
      </c>
      <c r="N545" t="s">
        <v>81</v>
      </c>
      <c r="O545" t="s">
        <v>452</v>
      </c>
      <c r="P545" t="s">
        <v>453</v>
      </c>
      <c r="Q545" t="s">
        <v>215</v>
      </c>
      <c r="R545" t="s">
        <v>49</v>
      </c>
      <c r="S545">
        <v>2</v>
      </c>
      <c r="T545" s="14">
        <v>138.18</v>
      </c>
      <c r="U545" s="7">
        <v>12</v>
      </c>
      <c r="V545" s="7">
        <v>22</v>
      </c>
      <c r="W545" s="14">
        <v>172.18</v>
      </c>
      <c r="X545" s="14">
        <v>460.6</v>
      </c>
      <c r="Y545" s="16">
        <v>15</v>
      </c>
      <c r="Z545" s="12">
        <v>783.02</v>
      </c>
      <c r="AA545" s="5">
        <v>438.66</v>
      </c>
      <c r="AB545" s="18">
        <v>56.02</v>
      </c>
      <c r="AC545" t="s">
        <v>111</v>
      </c>
      <c r="AD545" t="s">
        <v>158</v>
      </c>
      <c r="AE545" t="s">
        <v>105</v>
      </c>
      <c r="AF545">
        <v>5</v>
      </c>
      <c r="AG545" t="s">
        <v>53</v>
      </c>
    </row>
    <row r="546" spans="1:33">
      <c r="A546" t="s">
        <v>1252</v>
      </c>
      <c r="B546" s="10">
        <v>45901</v>
      </c>
      <c r="C546" s="3" t="s">
        <v>107</v>
      </c>
      <c r="D546" t="s">
        <v>206</v>
      </c>
      <c r="E546" t="s">
        <v>72</v>
      </c>
      <c r="F546" t="s">
        <v>73</v>
      </c>
      <c r="G546" t="s">
        <v>74</v>
      </c>
      <c r="H546" t="s">
        <v>39</v>
      </c>
      <c r="I546" t="s">
        <v>2143</v>
      </c>
      <c r="J546" t="s">
        <v>41</v>
      </c>
      <c r="K546" t="s">
        <v>42</v>
      </c>
      <c r="L546" t="s">
        <v>1253</v>
      </c>
      <c r="M546" t="s">
        <v>80</v>
      </c>
      <c r="N546" t="s">
        <v>110</v>
      </c>
      <c r="O546" t="s">
        <v>94</v>
      </c>
      <c r="P546" t="s">
        <v>95</v>
      </c>
      <c r="Q546" t="s">
        <v>66</v>
      </c>
      <c r="R546" t="s">
        <v>49</v>
      </c>
      <c r="S546">
        <v>3</v>
      </c>
      <c r="T546" s="14">
        <v>91.98</v>
      </c>
      <c r="U546" s="7">
        <v>12</v>
      </c>
      <c r="V546" s="7">
        <v>22</v>
      </c>
      <c r="W546" s="14">
        <v>125.98</v>
      </c>
      <c r="X546" s="14">
        <v>306.60000000000002</v>
      </c>
      <c r="Y546" s="16">
        <v>0</v>
      </c>
      <c r="Z546" s="12">
        <v>919.8</v>
      </c>
      <c r="AA546" s="5">
        <v>541.86</v>
      </c>
      <c r="AB546" s="18">
        <v>58.91</v>
      </c>
      <c r="AC546" t="s">
        <v>85</v>
      </c>
      <c r="AD546" t="s">
        <v>51</v>
      </c>
      <c r="AE546" t="s">
        <v>126</v>
      </c>
      <c r="AF546">
        <v>4</v>
      </c>
      <c r="AG546" t="s">
        <v>53</v>
      </c>
    </row>
    <row r="547" spans="1:33">
      <c r="A547" t="s">
        <v>1254</v>
      </c>
      <c r="B547" s="10">
        <v>45730</v>
      </c>
      <c r="C547" s="3" t="s">
        <v>339</v>
      </c>
      <c r="D547" t="s">
        <v>35</v>
      </c>
      <c r="E547" t="s">
        <v>108</v>
      </c>
      <c r="F547" t="s">
        <v>91</v>
      </c>
      <c r="G547" t="s">
        <v>38</v>
      </c>
      <c r="H547" t="s">
        <v>142</v>
      </c>
      <c r="I547" t="s">
        <v>143</v>
      </c>
      <c r="J547" t="s">
        <v>144</v>
      </c>
      <c r="K547" t="s">
        <v>145</v>
      </c>
      <c r="L547" t="s">
        <v>1255</v>
      </c>
      <c r="M547" t="s">
        <v>80</v>
      </c>
      <c r="N547" t="s">
        <v>45</v>
      </c>
      <c r="O547" t="s">
        <v>82</v>
      </c>
      <c r="P547" t="s">
        <v>83</v>
      </c>
      <c r="Q547" t="s">
        <v>66</v>
      </c>
      <c r="R547" t="s">
        <v>49</v>
      </c>
      <c r="S547">
        <v>1</v>
      </c>
      <c r="T547" s="14">
        <v>100.38</v>
      </c>
      <c r="U547" s="7">
        <v>12</v>
      </c>
      <c r="V547" s="7">
        <v>22</v>
      </c>
      <c r="W547" s="14">
        <v>134.38</v>
      </c>
      <c r="X547" s="14">
        <v>334.6</v>
      </c>
      <c r="Y547" s="16">
        <v>0</v>
      </c>
      <c r="Z547" s="12">
        <v>334.6</v>
      </c>
      <c r="AA547" s="5">
        <v>200.22</v>
      </c>
      <c r="AB547" s="18">
        <v>59.84</v>
      </c>
      <c r="AC547" t="s">
        <v>50</v>
      </c>
      <c r="AD547" t="s">
        <v>51</v>
      </c>
      <c r="AE547" t="s">
        <v>68</v>
      </c>
      <c r="AF547">
        <v>4</v>
      </c>
      <c r="AG547" t="s">
        <v>53</v>
      </c>
    </row>
    <row r="548" spans="1:33">
      <c r="A548" t="s">
        <v>1256</v>
      </c>
      <c r="B548" s="10">
        <v>45777</v>
      </c>
      <c r="C548" s="3" t="s">
        <v>107</v>
      </c>
      <c r="D548" t="s">
        <v>129</v>
      </c>
      <c r="E548" t="s">
        <v>280</v>
      </c>
      <c r="F548" t="s">
        <v>131</v>
      </c>
      <c r="G548" t="s">
        <v>132</v>
      </c>
      <c r="H548" t="s">
        <v>115</v>
      </c>
      <c r="I548" t="s">
        <v>116</v>
      </c>
      <c r="J548" t="s">
        <v>117</v>
      </c>
      <c r="K548" t="s">
        <v>61</v>
      </c>
      <c r="L548" t="s">
        <v>1257</v>
      </c>
      <c r="M548" t="s">
        <v>63</v>
      </c>
      <c r="N548" t="s">
        <v>110</v>
      </c>
      <c r="O548" t="s">
        <v>94</v>
      </c>
      <c r="P548" t="s">
        <v>95</v>
      </c>
      <c r="Q548" t="s">
        <v>66</v>
      </c>
      <c r="R548" t="s">
        <v>84</v>
      </c>
      <c r="S548">
        <v>1</v>
      </c>
      <c r="T548" s="14">
        <v>78.84</v>
      </c>
      <c r="U548" s="7">
        <v>12</v>
      </c>
      <c r="V548" s="7">
        <v>22</v>
      </c>
      <c r="W548" s="14">
        <v>112.84</v>
      </c>
      <c r="X548" s="14">
        <v>262.8</v>
      </c>
      <c r="Y548" s="16">
        <v>10</v>
      </c>
      <c r="Z548" s="12">
        <v>236.52</v>
      </c>
      <c r="AA548" s="5">
        <v>123.68</v>
      </c>
      <c r="AB548" s="18">
        <v>52.29</v>
      </c>
      <c r="AC548" t="s">
        <v>50</v>
      </c>
      <c r="AD548" t="s">
        <v>86</v>
      </c>
      <c r="AE548" t="s">
        <v>105</v>
      </c>
      <c r="AF548">
        <v>5</v>
      </c>
      <c r="AG548" t="s">
        <v>53</v>
      </c>
    </row>
    <row r="549" spans="1:33">
      <c r="A549" t="s">
        <v>1258</v>
      </c>
      <c r="B549" s="10">
        <v>45960</v>
      </c>
      <c r="C549" s="3" t="s">
        <v>107</v>
      </c>
      <c r="D549" t="s">
        <v>56</v>
      </c>
      <c r="E549" t="s">
        <v>36</v>
      </c>
      <c r="F549" t="s">
        <v>37</v>
      </c>
      <c r="G549" t="s">
        <v>38</v>
      </c>
      <c r="H549" t="s">
        <v>75</v>
      </c>
      <c r="I549" t="s">
        <v>76</v>
      </c>
      <c r="J549" t="s">
        <v>77</v>
      </c>
      <c r="K549" t="s">
        <v>78</v>
      </c>
      <c r="L549" t="s">
        <v>1259</v>
      </c>
      <c r="M549" t="s">
        <v>63</v>
      </c>
      <c r="N549" t="s">
        <v>110</v>
      </c>
      <c r="O549" t="s">
        <v>64</v>
      </c>
      <c r="P549" t="s">
        <v>65</v>
      </c>
      <c r="Q549" t="s">
        <v>66</v>
      </c>
      <c r="R549" t="s">
        <v>84</v>
      </c>
      <c r="S549">
        <v>2</v>
      </c>
      <c r="T549" s="14">
        <v>53.64</v>
      </c>
      <c r="U549" s="7">
        <v>12</v>
      </c>
      <c r="V549" s="7">
        <v>22</v>
      </c>
      <c r="W549" s="14">
        <v>87.64</v>
      </c>
      <c r="X549" s="14">
        <v>178.8</v>
      </c>
      <c r="Y549" s="16">
        <v>0</v>
      </c>
      <c r="Z549" s="12">
        <v>357.6</v>
      </c>
      <c r="AA549" s="5">
        <v>182.32</v>
      </c>
      <c r="AB549" s="18">
        <v>50.98</v>
      </c>
      <c r="AC549" t="s">
        <v>111</v>
      </c>
      <c r="AD549" t="s">
        <v>86</v>
      </c>
      <c r="AE549" t="s">
        <v>126</v>
      </c>
      <c r="AF549">
        <v>5</v>
      </c>
      <c r="AG549" t="s">
        <v>53</v>
      </c>
    </row>
    <row r="550" spans="1:33">
      <c r="A550" t="s">
        <v>1260</v>
      </c>
      <c r="B550" s="10">
        <v>45661</v>
      </c>
      <c r="C550" s="3" t="s">
        <v>219</v>
      </c>
      <c r="D550" t="s">
        <v>71</v>
      </c>
      <c r="E550" t="s">
        <v>152</v>
      </c>
      <c r="F550" t="s">
        <v>91</v>
      </c>
      <c r="G550" t="s">
        <v>92</v>
      </c>
      <c r="H550" t="s">
        <v>115</v>
      </c>
      <c r="I550" t="s">
        <v>116</v>
      </c>
      <c r="J550" t="s">
        <v>117</v>
      </c>
      <c r="K550" t="s">
        <v>61</v>
      </c>
      <c r="L550" t="s">
        <v>1261</v>
      </c>
      <c r="M550" t="s">
        <v>44</v>
      </c>
      <c r="N550" t="s">
        <v>45</v>
      </c>
      <c r="O550" t="s">
        <v>64</v>
      </c>
      <c r="P550" t="s">
        <v>65</v>
      </c>
      <c r="Q550" t="s">
        <v>66</v>
      </c>
      <c r="R550" t="s">
        <v>67</v>
      </c>
      <c r="S550">
        <v>2</v>
      </c>
      <c r="T550" s="14">
        <v>44.7</v>
      </c>
      <c r="U550" s="7">
        <v>12</v>
      </c>
      <c r="V550" s="7">
        <v>22</v>
      </c>
      <c r="W550" s="14">
        <v>78.7</v>
      </c>
      <c r="X550" s="14">
        <v>149</v>
      </c>
      <c r="Y550" s="16">
        <v>15</v>
      </c>
      <c r="Z550" s="12">
        <v>253.3</v>
      </c>
      <c r="AA550" s="5">
        <v>95.9</v>
      </c>
      <c r="AB550" s="18">
        <v>37.86</v>
      </c>
      <c r="AC550" t="s">
        <v>85</v>
      </c>
      <c r="AD550" t="s">
        <v>51</v>
      </c>
      <c r="AE550" t="s">
        <v>96</v>
      </c>
      <c r="AF550">
        <v>5</v>
      </c>
      <c r="AG550" t="s">
        <v>53</v>
      </c>
    </row>
    <row r="551" spans="1:33">
      <c r="A551" t="s">
        <v>1262</v>
      </c>
      <c r="B551" s="10">
        <v>45873</v>
      </c>
      <c r="C551" s="3" t="s">
        <v>107</v>
      </c>
      <c r="D551" t="s">
        <v>206</v>
      </c>
      <c r="E551" t="s">
        <v>99</v>
      </c>
      <c r="F551" t="s">
        <v>73</v>
      </c>
      <c r="G551" t="s">
        <v>74</v>
      </c>
      <c r="H551" t="s">
        <v>39</v>
      </c>
      <c r="I551" t="s">
        <v>2143</v>
      </c>
      <c r="J551" t="s">
        <v>41</v>
      </c>
      <c r="K551" t="s">
        <v>42</v>
      </c>
      <c r="L551" t="s">
        <v>1263</v>
      </c>
      <c r="M551" t="s">
        <v>80</v>
      </c>
      <c r="N551" t="s">
        <v>45</v>
      </c>
      <c r="O551" t="s">
        <v>94</v>
      </c>
      <c r="P551" t="s">
        <v>95</v>
      </c>
      <c r="Q551" t="s">
        <v>66</v>
      </c>
      <c r="R551" t="s">
        <v>84</v>
      </c>
      <c r="S551">
        <v>1</v>
      </c>
      <c r="T551" s="14">
        <v>78.84</v>
      </c>
      <c r="U551" s="7">
        <v>12</v>
      </c>
      <c r="V551" s="7">
        <v>22</v>
      </c>
      <c r="W551" s="14">
        <v>112.84</v>
      </c>
      <c r="X551" s="14">
        <v>262.8</v>
      </c>
      <c r="Y551" s="16">
        <v>0</v>
      </c>
      <c r="Z551" s="12">
        <v>262.8</v>
      </c>
      <c r="AA551" s="5">
        <v>149.96</v>
      </c>
      <c r="AB551" s="18">
        <v>57.06</v>
      </c>
      <c r="AC551" t="s">
        <v>50</v>
      </c>
      <c r="AD551" t="s">
        <v>51</v>
      </c>
      <c r="AE551" t="s">
        <v>105</v>
      </c>
      <c r="AF551">
        <v>5</v>
      </c>
      <c r="AG551" t="s">
        <v>53</v>
      </c>
    </row>
    <row r="552" spans="1:33">
      <c r="A552" t="s">
        <v>1264</v>
      </c>
      <c r="B552" s="10">
        <v>45717</v>
      </c>
      <c r="C552" s="3" t="s">
        <v>194</v>
      </c>
      <c r="D552" t="s">
        <v>71</v>
      </c>
      <c r="E552" t="s">
        <v>108</v>
      </c>
      <c r="F552" t="s">
        <v>91</v>
      </c>
      <c r="G552" t="s">
        <v>38</v>
      </c>
      <c r="H552" t="s">
        <v>142</v>
      </c>
      <c r="I552" t="s">
        <v>143</v>
      </c>
      <c r="J552" t="s">
        <v>144</v>
      </c>
      <c r="K552" t="s">
        <v>145</v>
      </c>
      <c r="L552" t="s">
        <v>1265</v>
      </c>
      <c r="M552" t="s">
        <v>44</v>
      </c>
      <c r="N552" t="s">
        <v>110</v>
      </c>
      <c r="O552" t="s">
        <v>64</v>
      </c>
      <c r="P552" t="s">
        <v>65</v>
      </c>
      <c r="Q552" t="s">
        <v>66</v>
      </c>
      <c r="R552" t="s">
        <v>84</v>
      </c>
      <c r="S552">
        <v>1</v>
      </c>
      <c r="T552" s="14">
        <v>53.64</v>
      </c>
      <c r="U552" s="7">
        <v>12</v>
      </c>
      <c r="V552" s="7">
        <v>22</v>
      </c>
      <c r="W552" s="14">
        <v>87.64</v>
      </c>
      <c r="X552" s="14">
        <v>178.8</v>
      </c>
      <c r="Y552" s="16">
        <v>10</v>
      </c>
      <c r="Z552" s="12">
        <v>160.91999999999999</v>
      </c>
      <c r="AA552" s="5">
        <v>73.28</v>
      </c>
      <c r="AB552" s="18">
        <v>45.54</v>
      </c>
      <c r="AC552" t="s">
        <v>85</v>
      </c>
      <c r="AD552" t="s">
        <v>86</v>
      </c>
      <c r="AE552" t="s">
        <v>68</v>
      </c>
      <c r="AF552">
        <v>4</v>
      </c>
      <c r="AG552" t="s">
        <v>53</v>
      </c>
    </row>
    <row r="553" spans="1:33">
      <c r="A553" t="s">
        <v>1266</v>
      </c>
      <c r="B553" s="10">
        <v>45857</v>
      </c>
      <c r="C553" s="3" t="s">
        <v>155</v>
      </c>
      <c r="D553" t="s">
        <v>71</v>
      </c>
      <c r="E553" t="s">
        <v>114</v>
      </c>
      <c r="F553" t="s">
        <v>73</v>
      </c>
      <c r="G553" t="s">
        <v>74</v>
      </c>
      <c r="H553" t="s">
        <v>115</v>
      </c>
      <c r="I553" t="s">
        <v>116</v>
      </c>
      <c r="J553" t="s">
        <v>117</v>
      </c>
      <c r="K553" t="s">
        <v>61</v>
      </c>
      <c r="L553" t="s">
        <v>1267</v>
      </c>
      <c r="M553" t="s">
        <v>80</v>
      </c>
      <c r="N553" t="s">
        <v>45</v>
      </c>
      <c r="O553" t="s">
        <v>101</v>
      </c>
      <c r="P553" t="s">
        <v>102</v>
      </c>
      <c r="Q553" t="s">
        <v>103</v>
      </c>
      <c r="R553" t="s">
        <v>49</v>
      </c>
      <c r="S553">
        <v>3</v>
      </c>
      <c r="T553" s="14">
        <v>62.58</v>
      </c>
      <c r="U553" s="7">
        <v>12</v>
      </c>
      <c r="V553" s="7">
        <v>22</v>
      </c>
      <c r="W553" s="14">
        <v>96.58</v>
      </c>
      <c r="X553" s="14">
        <v>208.6</v>
      </c>
      <c r="Y553" s="16">
        <v>10</v>
      </c>
      <c r="Z553" s="12">
        <v>563.22</v>
      </c>
      <c r="AA553" s="5">
        <v>273.48</v>
      </c>
      <c r="AB553" s="18">
        <v>48.56</v>
      </c>
      <c r="AC553" t="s">
        <v>111</v>
      </c>
      <c r="AD553" t="s">
        <v>86</v>
      </c>
      <c r="AE553" t="s">
        <v>105</v>
      </c>
      <c r="AF553">
        <v>5</v>
      </c>
      <c r="AG553" t="s">
        <v>53</v>
      </c>
    </row>
    <row r="554" spans="1:33">
      <c r="A554" t="s">
        <v>1268</v>
      </c>
      <c r="B554" s="10">
        <v>45792</v>
      </c>
      <c r="C554" s="3" t="s">
        <v>160</v>
      </c>
      <c r="D554" t="s">
        <v>56</v>
      </c>
      <c r="E554" t="s">
        <v>130</v>
      </c>
      <c r="F554" t="s">
        <v>131</v>
      </c>
      <c r="G554" t="s">
        <v>132</v>
      </c>
      <c r="H554" t="s">
        <v>142</v>
      </c>
      <c r="I554" t="s">
        <v>143</v>
      </c>
      <c r="J554" t="s">
        <v>144</v>
      </c>
      <c r="K554" t="s">
        <v>145</v>
      </c>
      <c r="L554" t="s">
        <v>1269</v>
      </c>
      <c r="M554" t="s">
        <v>63</v>
      </c>
      <c r="N554" t="s">
        <v>110</v>
      </c>
      <c r="O554" t="s">
        <v>189</v>
      </c>
      <c r="P554" t="s">
        <v>190</v>
      </c>
      <c r="Q554" t="s">
        <v>48</v>
      </c>
      <c r="R554" t="s">
        <v>49</v>
      </c>
      <c r="S554">
        <v>2</v>
      </c>
      <c r="T554" s="14">
        <v>66.78</v>
      </c>
      <c r="U554" s="7">
        <v>12</v>
      </c>
      <c r="V554" s="7">
        <v>22</v>
      </c>
      <c r="W554" s="14">
        <v>100.78</v>
      </c>
      <c r="X554" s="14">
        <v>222.6</v>
      </c>
      <c r="Y554" s="16">
        <v>10</v>
      </c>
      <c r="Z554" s="12">
        <v>400.68</v>
      </c>
      <c r="AA554" s="5">
        <v>199.12</v>
      </c>
      <c r="AB554" s="18">
        <v>49.7</v>
      </c>
      <c r="AC554" t="s">
        <v>50</v>
      </c>
      <c r="AD554" t="s">
        <v>158</v>
      </c>
      <c r="AE554" t="s">
        <v>126</v>
      </c>
      <c r="AF554">
        <v>5</v>
      </c>
      <c r="AG554" t="s">
        <v>53</v>
      </c>
    </row>
    <row r="555" spans="1:33">
      <c r="A555" t="s">
        <v>1270</v>
      </c>
      <c r="B555" s="10">
        <v>45932</v>
      </c>
      <c r="C555" s="3" t="s">
        <v>307</v>
      </c>
      <c r="D555" t="s">
        <v>56</v>
      </c>
      <c r="E555" t="s">
        <v>36</v>
      </c>
      <c r="F555" t="s">
        <v>37</v>
      </c>
      <c r="G555" t="s">
        <v>38</v>
      </c>
      <c r="H555" t="s">
        <v>133</v>
      </c>
      <c r="I555" t="s">
        <v>134</v>
      </c>
      <c r="J555" t="s">
        <v>135</v>
      </c>
      <c r="K555" t="s">
        <v>42</v>
      </c>
      <c r="L555" t="s">
        <v>1271</v>
      </c>
      <c r="M555" t="s">
        <v>44</v>
      </c>
      <c r="N555" t="s">
        <v>81</v>
      </c>
      <c r="O555" t="s">
        <v>46</v>
      </c>
      <c r="P555" t="s">
        <v>47</v>
      </c>
      <c r="Q555" t="s">
        <v>48</v>
      </c>
      <c r="R555" t="s">
        <v>49</v>
      </c>
      <c r="S555">
        <v>3</v>
      </c>
      <c r="T555" s="14">
        <v>108.78</v>
      </c>
      <c r="U555" s="7">
        <v>12</v>
      </c>
      <c r="V555" s="7">
        <v>22</v>
      </c>
      <c r="W555" s="14">
        <v>142.78</v>
      </c>
      <c r="X555" s="14">
        <v>362.6</v>
      </c>
      <c r="Y555" s="16">
        <v>5</v>
      </c>
      <c r="Z555" s="12">
        <v>1033.4100000000001</v>
      </c>
      <c r="AA555" s="5">
        <v>605.07000000000005</v>
      </c>
      <c r="AB555" s="18">
        <v>58.55</v>
      </c>
      <c r="AC555" t="s">
        <v>85</v>
      </c>
      <c r="AD555" t="s">
        <v>51</v>
      </c>
      <c r="AE555" t="s">
        <v>105</v>
      </c>
      <c r="AF555">
        <v>5</v>
      </c>
      <c r="AG555" t="s">
        <v>53</v>
      </c>
    </row>
    <row r="556" spans="1:33">
      <c r="A556" t="s">
        <v>1272</v>
      </c>
      <c r="B556" s="10">
        <v>45762</v>
      </c>
      <c r="C556" s="3" t="s">
        <v>179</v>
      </c>
      <c r="D556" t="s">
        <v>156</v>
      </c>
      <c r="E556" t="s">
        <v>280</v>
      </c>
      <c r="F556" t="s">
        <v>131</v>
      </c>
      <c r="G556" t="s">
        <v>132</v>
      </c>
      <c r="H556" t="s">
        <v>115</v>
      </c>
      <c r="I556" t="s">
        <v>116</v>
      </c>
      <c r="J556" t="s">
        <v>117</v>
      </c>
      <c r="K556" t="s">
        <v>61</v>
      </c>
      <c r="L556" t="s">
        <v>1273</v>
      </c>
      <c r="M556" t="s">
        <v>80</v>
      </c>
      <c r="N556" t="s">
        <v>110</v>
      </c>
      <c r="O556" t="s">
        <v>189</v>
      </c>
      <c r="P556" t="s">
        <v>190</v>
      </c>
      <c r="Q556" t="s">
        <v>48</v>
      </c>
      <c r="R556" t="s">
        <v>49</v>
      </c>
      <c r="S556">
        <v>2</v>
      </c>
      <c r="T556" s="14">
        <v>66.78</v>
      </c>
      <c r="U556" s="7">
        <v>12</v>
      </c>
      <c r="V556" s="7">
        <v>22</v>
      </c>
      <c r="W556" s="14">
        <v>100.78</v>
      </c>
      <c r="X556" s="14">
        <v>222.6</v>
      </c>
      <c r="Y556" s="16">
        <v>10</v>
      </c>
      <c r="Z556" s="12">
        <v>400.68</v>
      </c>
      <c r="AA556" s="5">
        <v>199.12</v>
      </c>
      <c r="AB556" s="18">
        <v>49.7</v>
      </c>
      <c r="AC556" t="s">
        <v>85</v>
      </c>
      <c r="AD556" t="s">
        <v>158</v>
      </c>
      <c r="AE556" t="s">
        <v>105</v>
      </c>
      <c r="AF556">
        <v>5</v>
      </c>
      <c r="AG556" t="s">
        <v>53</v>
      </c>
    </row>
    <row r="557" spans="1:33">
      <c r="A557" t="s">
        <v>1274</v>
      </c>
      <c r="B557" s="10">
        <v>46011</v>
      </c>
      <c r="C557" s="3" t="s">
        <v>148</v>
      </c>
      <c r="D557" t="s">
        <v>71</v>
      </c>
      <c r="E557" t="s">
        <v>149</v>
      </c>
      <c r="F557" t="s">
        <v>37</v>
      </c>
      <c r="G557" t="s">
        <v>92</v>
      </c>
      <c r="H557" t="s">
        <v>115</v>
      </c>
      <c r="I557" t="s">
        <v>116</v>
      </c>
      <c r="J557" t="s">
        <v>117</v>
      </c>
      <c r="K557" t="s">
        <v>61</v>
      </c>
      <c r="L557" t="s">
        <v>1275</v>
      </c>
      <c r="M557" t="s">
        <v>63</v>
      </c>
      <c r="N557" t="s">
        <v>45</v>
      </c>
      <c r="O557" t="s">
        <v>176</v>
      </c>
      <c r="P557" t="s">
        <v>177</v>
      </c>
      <c r="Q557" t="s">
        <v>66</v>
      </c>
      <c r="R557" t="s">
        <v>49</v>
      </c>
      <c r="S557">
        <v>1</v>
      </c>
      <c r="T557" s="14">
        <v>70.98</v>
      </c>
      <c r="U557" s="7">
        <v>12</v>
      </c>
      <c r="V557" s="7">
        <v>22</v>
      </c>
      <c r="W557" s="14">
        <v>104.98</v>
      </c>
      <c r="X557" s="14">
        <v>236.6</v>
      </c>
      <c r="Y557" s="16">
        <v>15</v>
      </c>
      <c r="Z557" s="12">
        <v>201.11</v>
      </c>
      <c r="AA557" s="5">
        <v>96.13</v>
      </c>
      <c r="AB557" s="18">
        <v>47.8</v>
      </c>
      <c r="AC557" t="s">
        <v>85</v>
      </c>
      <c r="AD557" t="s">
        <v>86</v>
      </c>
      <c r="AE557" t="s">
        <v>52</v>
      </c>
      <c r="AF557">
        <v>5</v>
      </c>
      <c r="AG557" t="s">
        <v>53</v>
      </c>
    </row>
    <row r="558" spans="1:33">
      <c r="A558" t="s">
        <v>1276</v>
      </c>
      <c r="B558" s="10">
        <v>45824</v>
      </c>
      <c r="C558" s="3" t="s">
        <v>339</v>
      </c>
      <c r="D558" t="s">
        <v>206</v>
      </c>
      <c r="E558" t="s">
        <v>174</v>
      </c>
      <c r="F558" t="s">
        <v>131</v>
      </c>
      <c r="G558" t="s">
        <v>132</v>
      </c>
      <c r="H558" t="s">
        <v>75</v>
      </c>
      <c r="I558" t="s">
        <v>76</v>
      </c>
      <c r="J558" t="s">
        <v>77</v>
      </c>
      <c r="K558" t="s">
        <v>78</v>
      </c>
      <c r="L558" t="s">
        <v>1277</v>
      </c>
      <c r="M558" t="s">
        <v>80</v>
      </c>
      <c r="N558" t="s">
        <v>81</v>
      </c>
      <c r="O558" t="s">
        <v>82</v>
      </c>
      <c r="P558" t="s">
        <v>83</v>
      </c>
      <c r="Q558" t="s">
        <v>66</v>
      </c>
      <c r="R558" t="s">
        <v>49</v>
      </c>
      <c r="S558">
        <v>1</v>
      </c>
      <c r="T558" s="14">
        <v>100.38</v>
      </c>
      <c r="U558" s="7">
        <v>12</v>
      </c>
      <c r="V558" s="7">
        <v>22</v>
      </c>
      <c r="W558" s="14">
        <v>134.38</v>
      </c>
      <c r="X558" s="14">
        <v>334.6</v>
      </c>
      <c r="Y558" s="16">
        <v>10</v>
      </c>
      <c r="Z558" s="12">
        <v>301.14</v>
      </c>
      <c r="AA558" s="5">
        <v>166.76</v>
      </c>
      <c r="AB558" s="18">
        <v>55.38</v>
      </c>
      <c r="AC558" t="s">
        <v>50</v>
      </c>
      <c r="AD558" t="s">
        <v>51</v>
      </c>
      <c r="AE558" t="s">
        <v>68</v>
      </c>
      <c r="AF558">
        <v>4</v>
      </c>
      <c r="AG558" t="s">
        <v>53</v>
      </c>
    </row>
    <row r="559" spans="1:33">
      <c r="A559" t="s">
        <v>1278</v>
      </c>
      <c r="B559" s="10">
        <v>45712</v>
      </c>
      <c r="C559" s="3" t="s">
        <v>128</v>
      </c>
      <c r="D559" t="s">
        <v>206</v>
      </c>
      <c r="E559" t="s">
        <v>90</v>
      </c>
      <c r="F559" t="s">
        <v>91</v>
      </c>
      <c r="G559" t="s">
        <v>92</v>
      </c>
      <c r="H559" t="s">
        <v>39</v>
      </c>
      <c r="I559" t="s">
        <v>2143</v>
      </c>
      <c r="J559" t="s">
        <v>41</v>
      </c>
      <c r="K559" t="s">
        <v>42</v>
      </c>
      <c r="L559" t="s">
        <v>1279</v>
      </c>
      <c r="M559" t="s">
        <v>63</v>
      </c>
      <c r="N559" t="s">
        <v>110</v>
      </c>
      <c r="O559" t="s">
        <v>64</v>
      </c>
      <c r="P559" t="s">
        <v>65</v>
      </c>
      <c r="Q559" t="s">
        <v>66</v>
      </c>
      <c r="R559" t="s">
        <v>67</v>
      </c>
      <c r="S559">
        <v>1</v>
      </c>
      <c r="T559" s="14">
        <v>44.7</v>
      </c>
      <c r="U559" s="7">
        <v>12</v>
      </c>
      <c r="V559" s="7">
        <v>22</v>
      </c>
      <c r="W559" s="14">
        <v>78.7</v>
      </c>
      <c r="X559" s="14">
        <v>149</v>
      </c>
      <c r="Y559" s="16">
        <v>5</v>
      </c>
      <c r="Z559" s="12">
        <v>141.55000000000001</v>
      </c>
      <c r="AA559" s="5">
        <v>62.85</v>
      </c>
      <c r="AB559" s="18">
        <v>44.4</v>
      </c>
      <c r="AC559" t="s">
        <v>85</v>
      </c>
      <c r="AD559" t="s">
        <v>51</v>
      </c>
      <c r="AE559" t="s">
        <v>52</v>
      </c>
      <c r="AF559">
        <v>5</v>
      </c>
      <c r="AG559" t="s">
        <v>53</v>
      </c>
    </row>
    <row r="560" spans="1:33">
      <c r="A560" t="s">
        <v>1280</v>
      </c>
      <c r="B560" s="10">
        <v>45724</v>
      </c>
      <c r="C560" s="3" t="s">
        <v>390</v>
      </c>
      <c r="D560" t="s">
        <v>71</v>
      </c>
      <c r="E560" t="s">
        <v>108</v>
      </c>
      <c r="F560" t="s">
        <v>91</v>
      </c>
      <c r="G560" t="s">
        <v>38</v>
      </c>
      <c r="H560" t="s">
        <v>142</v>
      </c>
      <c r="I560" t="s">
        <v>143</v>
      </c>
      <c r="J560" t="s">
        <v>144</v>
      </c>
      <c r="K560" t="s">
        <v>145</v>
      </c>
      <c r="L560" t="s">
        <v>1281</v>
      </c>
      <c r="M560" t="s">
        <v>63</v>
      </c>
      <c r="N560" t="s">
        <v>45</v>
      </c>
      <c r="O560" t="s">
        <v>162</v>
      </c>
      <c r="P560" t="s">
        <v>163</v>
      </c>
      <c r="Q560" t="s">
        <v>48</v>
      </c>
      <c r="R560" t="s">
        <v>49</v>
      </c>
      <c r="S560">
        <v>3</v>
      </c>
      <c r="T560" s="14">
        <v>104.58</v>
      </c>
      <c r="U560" s="7">
        <v>12</v>
      </c>
      <c r="V560" s="7">
        <v>22</v>
      </c>
      <c r="W560" s="14">
        <v>138.58000000000001</v>
      </c>
      <c r="X560" s="14">
        <v>348.6</v>
      </c>
      <c r="Y560" s="16">
        <v>15</v>
      </c>
      <c r="Z560" s="12">
        <v>888.93</v>
      </c>
      <c r="AA560" s="5">
        <v>473.19</v>
      </c>
      <c r="AB560" s="18">
        <v>53.23</v>
      </c>
      <c r="AC560" t="s">
        <v>50</v>
      </c>
      <c r="AD560" t="s">
        <v>158</v>
      </c>
      <c r="AE560" t="s">
        <v>105</v>
      </c>
      <c r="AF560">
        <v>4</v>
      </c>
      <c r="AG560" t="s">
        <v>53</v>
      </c>
    </row>
    <row r="561" spans="1:33">
      <c r="A561" t="s">
        <v>1282</v>
      </c>
      <c r="B561" s="10">
        <v>45950</v>
      </c>
      <c r="C561" s="3" t="s">
        <v>128</v>
      </c>
      <c r="D561" t="s">
        <v>206</v>
      </c>
      <c r="E561" t="s">
        <v>36</v>
      </c>
      <c r="F561" t="s">
        <v>37</v>
      </c>
      <c r="G561" t="s">
        <v>38</v>
      </c>
      <c r="H561" t="s">
        <v>115</v>
      </c>
      <c r="I561" t="s">
        <v>116</v>
      </c>
      <c r="J561" t="s">
        <v>117</v>
      </c>
      <c r="K561" t="s">
        <v>61</v>
      </c>
      <c r="L561" t="s">
        <v>1283</v>
      </c>
      <c r="M561" t="s">
        <v>63</v>
      </c>
      <c r="N561" t="s">
        <v>45</v>
      </c>
      <c r="O561" t="s">
        <v>137</v>
      </c>
      <c r="P561" t="s">
        <v>138</v>
      </c>
      <c r="Q561" t="s">
        <v>139</v>
      </c>
      <c r="R561" t="s">
        <v>84</v>
      </c>
      <c r="S561">
        <v>3</v>
      </c>
      <c r="T561" s="14">
        <v>71.64</v>
      </c>
      <c r="U561" s="7">
        <v>12</v>
      </c>
      <c r="V561" s="7">
        <v>22</v>
      </c>
      <c r="W561" s="14">
        <v>105.64</v>
      </c>
      <c r="X561" s="14">
        <v>238.8</v>
      </c>
      <c r="Y561" s="16">
        <v>5</v>
      </c>
      <c r="Z561" s="12">
        <v>680.58</v>
      </c>
      <c r="AA561" s="5">
        <v>363.66</v>
      </c>
      <c r="AB561" s="18">
        <v>53.43</v>
      </c>
      <c r="AC561" t="s">
        <v>50</v>
      </c>
      <c r="AD561" t="s">
        <v>86</v>
      </c>
      <c r="AE561" t="s">
        <v>105</v>
      </c>
      <c r="AF561">
        <v>4</v>
      </c>
      <c r="AG561" t="s">
        <v>53</v>
      </c>
    </row>
    <row r="562" spans="1:33">
      <c r="A562" t="s">
        <v>1284</v>
      </c>
      <c r="B562" s="10">
        <v>45806</v>
      </c>
      <c r="C562" s="3" t="s">
        <v>34</v>
      </c>
      <c r="D562" t="s">
        <v>56</v>
      </c>
      <c r="E562" t="s">
        <v>130</v>
      </c>
      <c r="F562" t="s">
        <v>131</v>
      </c>
      <c r="G562" t="s">
        <v>132</v>
      </c>
      <c r="H562" t="s">
        <v>39</v>
      </c>
      <c r="I562" t="s">
        <v>2143</v>
      </c>
      <c r="J562" t="s">
        <v>41</v>
      </c>
      <c r="K562" t="s">
        <v>42</v>
      </c>
      <c r="L562" t="s">
        <v>1285</v>
      </c>
      <c r="M562" t="s">
        <v>80</v>
      </c>
      <c r="N562" t="s">
        <v>81</v>
      </c>
      <c r="O562" t="s">
        <v>189</v>
      </c>
      <c r="P562" t="s">
        <v>190</v>
      </c>
      <c r="Q562" t="s">
        <v>48</v>
      </c>
      <c r="R562" t="s">
        <v>84</v>
      </c>
      <c r="S562">
        <v>1</v>
      </c>
      <c r="T562" s="14">
        <v>57.24</v>
      </c>
      <c r="U562" s="7">
        <v>12</v>
      </c>
      <c r="V562" s="7">
        <v>22</v>
      </c>
      <c r="W562" s="14">
        <v>91.240000000000009</v>
      </c>
      <c r="X562" s="14">
        <v>190.8</v>
      </c>
      <c r="Y562" s="16">
        <v>5</v>
      </c>
      <c r="Z562" s="12">
        <v>181.26</v>
      </c>
      <c r="AA562" s="5">
        <v>90.02</v>
      </c>
      <c r="AB562" s="18">
        <v>49.66</v>
      </c>
      <c r="AC562" t="s">
        <v>85</v>
      </c>
      <c r="AD562" t="s">
        <v>86</v>
      </c>
      <c r="AE562" t="s">
        <v>126</v>
      </c>
      <c r="AF562">
        <v>5</v>
      </c>
      <c r="AG562" t="s">
        <v>53</v>
      </c>
    </row>
    <row r="563" spans="1:33">
      <c r="A563" t="s">
        <v>1286</v>
      </c>
      <c r="B563" s="10">
        <v>45788</v>
      </c>
      <c r="C563" s="3" t="s">
        <v>34</v>
      </c>
      <c r="D563" t="s">
        <v>89</v>
      </c>
      <c r="E563" t="s">
        <v>130</v>
      </c>
      <c r="F563" t="s">
        <v>131</v>
      </c>
      <c r="G563" t="s">
        <v>132</v>
      </c>
      <c r="H563" t="s">
        <v>58</v>
      </c>
      <c r="I563" t="s">
        <v>59</v>
      </c>
      <c r="J563" t="s">
        <v>60</v>
      </c>
      <c r="K563" t="s">
        <v>61</v>
      </c>
      <c r="L563" t="s">
        <v>1287</v>
      </c>
      <c r="M563" t="s">
        <v>80</v>
      </c>
      <c r="N563" t="s">
        <v>45</v>
      </c>
      <c r="O563" t="s">
        <v>46</v>
      </c>
      <c r="P563" t="s">
        <v>47</v>
      </c>
      <c r="Q563" t="s">
        <v>48</v>
      </c>
      <c r="R563" t="s">
        <v>49</v>
      </c>
      <c r="S563">
        <v>4</v>
      </c>
      <c r="T563" s="14">
        <v>108.78</v>
      </c>
      <c r="U563" s="7">
        <v>12</v>
      </c>
      <c r="V563" s="7">
        <v>22</v>
      </c>
      <c r="W563" s="14">
        <v>142.78</v>
      </c>
      <c r="X563" s="14">
        <v>362.6</v>
      </c>
      <c r="Y563" s="16">
        <v>15</v>
      </c>
      <c r="Z563" s="12">
        <v>1232.8399999999999</v>
      </c>
      <c r="AA563" s="5">
        <v>661.72</v>
      </c>
      <c r="AB563" s="18">
        <v>53.67</v>
      </c>
      <c r="AC563" t="s">
        <v>85</v>
      </c>
      <c r="AD563" t="s">
        <v>158</v>
      </c>
      <c r="AE563" t="s">
        <v>126</v>
      </c>
      <c r="AF563">
        <v>4</v>
      </c>
      <c r="AG563" t="s">
        <v>53</v>
      </c>
    </row>
    <row r="564" spans="1:33">
      <c r="A564" t="s">
        <v>1288</v>
      </c>
      <c r="B564" s="10">
        <v>45833</v>
      </c>
      <c r="C564" s="3" t="s">
        <v>185</v>
      </c>
      <c r="D564" t="s">
        <v>129</v>
      </c>
      <c r="E564" t="s">
        <v>174</v>
      </c>
      <c r="F564" t="s">
        <v>131</v>
      </c>
      <c r="G564" t="s">
        <v>132</v>
      </c>
      <c r="H564" t="s">
        <v>115</v>
      </c>
      <c r="I564" t="s">
        <v>116</v>
      </c>
      <c r="J564" t="s">
        <v>117</v>
      </c>
      <c r="K564" t="s">
        <v>61</v>
      </c>
      <c r="L564" t="s">
        <v>1289</v>
      </c>
      <c r="M564" t="s">
        <v>80</v>
      </c>
      <c r="N564" t="s">
        <v>45</v>
      </c>
      <c r="O564" t="s">
        <v>176</v>
      </c>
      <c r="P564" t="s">
        <v>177</v>
      </c>
      <c r="Q564" t="s">
        <v>66</v>
      </c>
      <c r="R564" t="s">
        <v>49</v>
      </c>
      <c r="S564">
        <v>2</v>
      </c>
      <c r="T564" s="14">
        <v>70.98</v>
      </c>
      <c r="U564" s="7">
        <v>12</v>
      </c>
      <c r="V564" s="7">
        <v>22</v>
      </c>
      <c r="W564" s="14">
        <v>104.98</v>
      </c>
      <c r="X564" s="14">
        <v>236.6</v>
      </c>
      <c r="Y564" s="16">
        <v>0</v>
      </c>
      <c r="Z564" s="12">
        <v>473.2</v>
      </c>
      <c r="AA564" s="5">
        <v>263.24</v>
      </c>
      <c r="AB564" s="18">
        <v>55.63</v>
      </c>
      <c r="AC564" t="s">
        <v>111</v>
      </c>
      <c r="AD564" t="s">
        <v>86</v>
      </c>
      <c r="AE564" t="s">
        <v>105</v>
      </c>
      <c r="AF564">
        <v>4</v>
      </c>
      <c r="AG564" t="s">
        <v>53</v>
      </c>
    </row>
    <row r="565" spans="1:33">
      <c r="A565" t="s">
        <v>1290</v>
      </c>
      <c r="B565" s="10">
        <v>45690</v>
      </c>
      <c r="C565" s="3" t="s">
        <v>179</v>
      </c>
      <c r="D565" t="s">
        <v>89</v>
      </c>
      <c r="E565" t="s">
        <v>90</v>
      </c>
      <c r="F565" t="s">
        <v>91</v>
      </c>
      <c r="G565" t="s">
        <v>92</v>
      </c>
      <c r="H565" t="s">
        <v>58</v>
      </c>
      <c r="I565" t="s">
        <v>59</v>
      </c>
      <c r="J565" t="s">
        <v>60</v>
      </c>
      <c r="K565" t="s">
        <v>61</v>
      </c>
      <c r="L565" t="s">
        <v>1291</v>
      </c>
      <c r="M565" t="s">
        <v>63</v>
      </c>
      <c r="N565" t="s">
        <v>81</v>
      </c>
      <c r="O565" t="s">
        <v>213</v>
      </c>
      <c r="P565" t="s">
        <v>214</v>
      </c>
      <c r="Q565" t="s">
        <v>215</v>
      </c>
      <c r="R565" t="s">
        <v>67</v>
      </c>
      <c r="S565">
        <v>3</v>
      </c>
      <c r="T565" s="14">
        <v>89.7</v>
      </c>
      <c r="U565" s="7">
        <v>12</v>
      </c>
      <c r="V565" s="7">
        <v>22</v>
      </c>
      <c r="W565" s="14">
        <v>123.7</v>
      </c>
      <c r="X565" s="14">
        <v>299</v>
      </c>
      <c r="Y565" s="16">
        <v>15</v>
      </c>
      <c r="Z565" s="12">
        <v>762.45</v>
      </c>
      <c r="AA565" s="5">
        <v>391.35</v>
      </c>
      <c r="AB565" s="18">
        <v>51.33</v>
      </c>
      <c r="AC565" t="s">
        <v>50</v>
      </c>
      <c r="AD565" t="s">
        <v>86</v>
      </c>
      <c r="AE565" t="s">
        <v>52</v>
      </c>
      <c r="AF565">
        <v>5</v>
      </c>
      <c r="AG565" t="s">
        <v>53</v>
      </c>
    </row>
    <row r="566" spans="1:33">
      <c r="A566" t="s">
        <v>1292</v>
      </c>
      <c r="B566" s="10">
        <v>45689</v>
      </c>
      <c r="C566" s="3" t="s">
        <v>339</v>
      </c>
      <c r="D566" t="s">
        <v>71</v>
      </c>
      <c r="E566" t="s">
        <v>90</v>
      </c>
      <c r="F566" t="s">
        <v>91</v>
      </c>
      <c r="G566" t="s">
        <v>92</v>
      </c>
      <c r="H566" t="s">
        <v>142</v>
      </c>
      <c r="I566" t="s">
        <v>143</v>
      </c>
      <c r="J566" t="s">
        <v>144</v>
      </c>
      <c r="K566" t="s">
        <v>145</v>
      </c>
      <c r="L566" t="s">
        <v>1293</v>
      </c>
      <c r="M566" t="s">
        <v>44</v>
      </c>
      <c r="N566" t="s">
        <v>110</v>
      </c>
      <c r="O566" t="s">
        <v>213</v>
      </c>
      <c r="P566" t="s">
        <v>214</v>
      </c>
      <c r="Q566" t="s">
        <v>215</v>
      </c>
      <c r="R566" t="s">
        <v>49</v>
      </c>
      <c r="S566">
        <v>3</v>
      </c>
      <c r="T566" s="14">
        <v>125.58</v>
      </c>
      <c r="U566" s="7">
        <v>12</v>
      </c>
      <c r="V566" s="7">
        <v>22</v>
      </c>
      <c r="W566" s="14">
        <v>159.58000000000001</v>
      </c>
      <c r="X566" s="14">
        <v>418.6</v>
      </c>
      <c r="Y566" s="16">
        <v>10</v>
      </c>
      <c r="Z566" s="12">
        <v>1130.22</v>
      </c>
      <c r="AA566" s="5">
        <v>651.48</v>
      </c>
      <c r="AB566" s="18">
        <v>57.64</v>
      </c>
      <c r="AC566" t="s">
        <v>104</v>
      </c>
      <c r="AD566" t="s">
        <v>158</v>
      </c>
      <c r="AE566" t="s">
        <v>52</v>
      </c>
      <c r="AF566">
        <v>5</v>
      </c>
      <c r="AG566" t="s">
        <v>53</v>
      </c>
    </row>
    <row r="567" spans="1:33">
      <c r="A567" t="s">
        <v>1294</v>
      </c>
      <c r="B567" s="10">
        <v>45694</v>
      </c>
      <c r="C567" s="3" t="s">
        <v>171</v>
      </c>
      <c r="D567" t="s">
        <v>56</v>
      </c>
      <c r="E567" t="s">
        <v>90</v>
      </c>
      <c r="F567" t="s">
        <v>91</v>
      </c>
      <c r="G567" t="s">
        <v>92</v>
      </c>
      <c r="H567" t="s">
        <v>75</v>
      </c>
      <c r="I567" t="s">
        <v>76</v>
      </c>
      <c r="J567" t="s">
        <v>77</v>
      </c>
      <c r="K567" t="s">
        <v>78</v>
      </c>
      <c r="L567" t="s">
        <v>1295</v>
      </c>
      <c r="M567" t="s">
        <v>44</v>
      </c>
      <c r="N567" t="s">
        <v>110</v>
      </c>
      <c r="O567" t="s">
        <v>82</v>
      </c>
      <c r="P567" t="s">
        <v>83</v>
      </c>
      <c r="Q567" t="s">
        <v>66</v>
      </c>
      <c r="R567" t="s">
        <v>49</v>
      </c>
      <c r="S567">
        <v>2</v>
      </c>
      <c r="T567" s="14">
        <v>100.38</v>
      </c>
      <c r="U567" s="7">
        <v>12</v>
      </c>
      <c r="V567" s="7">
        <v>22</v>
      </c>
      <c r="W567" s="14">
        <v>134.38</v>
      </c>
      <c r="X567" s="14">
        <v>334.6</v>
      </c>
      <c r="Y567" s="16">
        <v>0</v>
      </c>
      <c r="Z567" s="12">
        <v>669.2</v>
      </c>
      <c r="AA567" s="5">
        <v>400.44</v>
      </c>
      <c r="AB567" s="18">
        <v>59.84</v>
      </c>
      <c r="AC567" t="s">
        <v>104</v>
      </c>
      <c r="AD567" t="s">
        <v>86</v>
      </c>
      <c r="AE567" t="s">
        <v>96</v>
      </c>
      <c r="AF567">
        <v>5</v>
      </c>
      <c r="AG567" t="s">
        <v>53</v>
      </c>
    </row>
    <row r="568" spans="1:33">
      <c r="A568" t="s">
        <v>1296</v>
      </c>
      <c r="B568" s="10">
        <v>45929</v>
      </c>
      <c r="C568" s="3" t="s">
        <v>199</v>
      </c>
      <c r="D568" t="s">
        <v>206</v>
      </c>
      <c r="E568" t="s">
        <v>72</v>
      </c>
      <c r="F568" t="s">
        <v>73</v>
      </c>
      <c r="G568" t="s">
        <v>74</v>
      </c>
      <c r="H568" t="s">
        <v>142</v>
      </c>
      <c r="I568" t="s">
        <v>143</v>
      </c>
      <c r="J568" t="s">
        <v>144</v>
      </c>
      <c r="K568" t="s">
        <v>145</v>
      </c>
      <c r="L568" t="s">
        <v>1297</v>
      </c>
      <c r="M568" t="s">
        <v>44</v>
      </c>
      <c r="N568" t="s">
        <v>110</v>
      </c>
      <c r="O568" t="s">
        <v>275</v>
      </c>
      <c r="P568" t="s">
        <v>276</v>
      </c>
      <c r="Q568" t="s">
        <v>125</v>
      </c>
      <c r="R568" t="s">
        <v>49</v>
      </c>
      <c r="S568">
        <v>2</v>
      </c>
      <c r="T568" s="14">
        <v>96.18</v>
      </c>
      <c r="U568" s="7">
        <v>12</v>
      </c>
      <c r="V568" s="7">
        <v>22</v>
      </c>
      <c r="W568" s="14">
        <v>130.18</v>
      </c>
      <c r="X568" s="14">
        <v>320.60000000000002</v>
      </c>
      <c r="Y568" s="16">
        <v>0</v>
      </c>
      <c r="Z568" s="12">
        <v>641.20000000000005</v>
      </c>
      <c r="AA568" s="5">
        <v>380.84</v>
      </c>
      <c r="AB568" s="18">
        <v>59.39</v>
      </c>
      <c r="AC568" t="s">
        <v>104</v>
      </c>
      <c r="AD568" t="s">
        <v>158</v>
      </c>
      <c r="AE568" t="s">
        <v>68</v>
      </c>
      <c r="AF568">
        <v>5</v>
      </c>
      <c r="AG568" t="s">
        <v>53</v>
      </c>
    </row>
    <row r="569" spans="1:33">
      <c r="A569" t="s">
        <v>1298</v>
      </c>
      <c r="B569" s="10">
        <v>45862</v>
      </c>
      <c r="C569" s="3" t="s">
        <v>70</v>
      </c>
      <c r="D569" t="s">
        <v>56</v>
      </c>
      <c r="E569" t="s">
        <v>114</v>
      </c>
      <c r="F569" t="s">
        <v>73</v>
      </c>
      <c r="G569" t="s">
        <v>74</v>
      </c>
      <c r="H569" t="s">
        <v>115</v>
      </c>
      <c r="I569" t="s">
        <v>116</v>
      </c>
      <c r="J569" t="s">
        <v>117</v>
      </c>
      <c r="K569" t="s">
        <v>61</v>
      </c>
      <c r="L569" t="s">
        <v>1299</v>
      </c>
      <c r="M569" t="s">
        <v>80</v>
      </c>
      <c r="N569" t="s">
        <v>110</v>
      </c>
      <c r="O569" t="s">
        <v>94</v>
      </c>
      <c r="P569" t="s">
        <v>95</v>
      </c>
      <c r="Q569" t="s">
        <v>66</v>
      </c>
      <c r="R569" t="s">
        <v>49</v>
      </c>
      <c r="S569">
        <v>1</v>
      </c>
      <c r="T569" s="14">
        <v>91.98</v>
      </c>
      <c r="U569" s="7">
        <v>12</v>
      </c>
      <c r="V569" s="7">
        <v>22</v>
      </c>
      <c r="W569" s="14">
        <v>125.98</v>
      </c>
      <c r="X569" s="14">
        <v>306.60000000000002</v>
      </c>
      <c r="Y569" s="16">
        <v>0</v>
      </c>
      <c r="Z569" s="12">
        <v>306.60000000000002</v>
      </c>
      <c r="AA569" s="5">
        <v>180.62</v>
      </c>
      <c r="AB569" s="18">
        <v>58.91</v>
      </c>
      <c r="AC569" t="s">
        <v>104</v>
      </c>
      <c r="AD569" t="s">
        <v>158</v>
      </c>
      <c r="AE569" t="s">
        <v>52</v>
      </c>
      <c r="AF569">
        <v>4</v>
      </c>
      <c r="AG569" t="s">
        <v>53</v>
      </c>
    </row>
    <row r="570" spans="1:33">
      <c r="A570" t="s">
        <v>1300</v>
      </c>
      <c r="B570" s="10">
        <v>45771</v>
      </c>
      <c r="C570" s="3" t="s">
        <v>185</v>
      </c>
      <c r="D570" t="s">
        <v>56</v>
      </c>
      <c r="E570" t="s">
        <v>280</v>
      </c>
      <c r="F570" t="s">
        <v>131</v>
      </c>
      <c r="G570" t="s">
        <v>132</v>
      </c>
      <c r="H570" t="s">
        <v>115</v>
      </c>
      <c r="I570" t="s">
        <v>116</v>
      </c>
      <c r="J570" t="s">
        <v>117</v>
      </c>
      <c r="K570" t="s">
        <v>61</v>
      </c>
      <c r="L570" t="s">
        <v>1301</v>
      </c>
      <c r="M570" t="s">
        <v>44</v>
      </c>
      <c r="N570" t="s">
        <v>110</v>
      </c>
      <c r="O570" t="s">
        <v>189</v>
      </c>
      <c r="P570" t="s">
        <v>190</v>
      </c>
      <c r="Q570" t="s">
        <v>48</v>
      </c>
      <c r="R570" t="s">
        <v>67</v>
      </c>
      <c r="S570">
        <v>3</v>
      </c>
      <c r="T570" s="14">
        <v>47.7</v>
      </c>
      <c r="U570" s="7">
        <v>12</v>
      </c>
      <c r="V570" s="7">
        <v>22</v>
      </c>
      <c r="W570" s="14">
        <v>81.7</v>
      </c>
      <c r="X570" s="14">
        <v>159</v>
      </c>
      <c r="Y570" s="16">
        <v>0</v>
      </c>
      <c r="Z570" s="12">
        <v>477</v>
      </c>
      <c r="AA570" s="5">
        <v>231.9</v>
      </c>
      <c r="AB570" s="18">
        <v>48.62</v>
      </c>
      <c r="AC570" t="s">
        <v>85</v>
      </c>
      <c r="AD570" t="s">
        <v>86</v>
      </c>
      <c r="AE570" t="s">
        <v>96</v>
      </c>
      <c r="AF570">
        <v>5</v>
      </c>
      <c r="AG570" t="s">
        <v>53</v>
      </c>
    </row>
    <row r="571" spans="1:33">
      <c r="A571" t="s">
        <v>1302</v>
      </c>
      <c r="B571" s="10">
        <v>45762</v>
      </c>
      <c r="C571" s="3" t="s">
        <v>185</v>
      </c>
      <c r="D571" t="s">
        <v>156</v>
      </c>
      <c r="E571" t="s">
        <v>280</v>
      </c>
      <c r="F571" t="s">
        <v>131</v>
      </c>
      <c r="G571" t="s">
        <v>132</v>
      </c>
      <c r="H571" t="s">
        <v>115</v>
      </c>
      <c r="I571" t="s">
        <v>116</v>
      </c>
      <c r="J571" t="s">
        <v>117</v>
      </c>
      <c r="K571" t="s">
        <v>61</v>
      </c>
      <c r="L571" t="s">
        <v>1303</v>
      </c>
      <c r="M571" t="s">
        <v>63</v>
      </c>
      <c r="N571" t="s">
        <v>45</v>
      </c>
      <c r="O571" t="s">
        <v>64</v>
      </c>
      <c r="P571" t="s">
        <v>65</v>
      </c>
      <c r="Q571" t="s">
        <v>66</v>
      </c>
      <c r="R571" t="s">
        <v>84</v>
      </c>
      <c r="S571">
        <v>2</v>
      </c>
      <c r="T571" s="14">
        <v>53.64</v>
      </c>
      <c r="U571" s="7">
        <v>12</v>
      </c>
      <c r="V571" s="7">
        <v>22</v>
      </c>
      <c r="W571" s="14">
        <v>87.64</v>
      </c>
      <c r="X571" s="14">
        <v>178.8</v>
      </c>
      <c r="Y571" s="16">
        <v>0</v>
      </c>
      <c r="Z571" s="12">
        <v>357.6</v>
      </c>
      <c r="AA571" s="5">
        <v>182.32</v>
      </c>
      <c r="AB571" s="18">
        <v>50.98</v>
      </c>
      <c r="AC571" t="s">
        <v>104</v>
      </c>
      <c r="AD571" t="s">
        <v>86</v>
      </c>
      <c r="AE571" t="s">
        <v>52</v>
      </c>
      <c r="AF571">
        <v>5</v>
      </c>
      <c r="AG571" t="s">
        <v>53</v>
      </c>
    </row>
    <row r="572" spans="1:33">
      <c r="A572" t="s">
        <v>1304</v>
      </c>
      <c r="B572" s="10">
        <v>45758</v>
      </c>
      <c r="C572" s="3" t="s">
        <v>219</v>
      </c>
      <c r="D572" t="s">
        <v>35</v>
      </c>
      <c r="E572" t="s">
        <v>280</v>
      </c>
      <c r="F572" t="s">
        <v>131</v>
      </c>
      <c r="G572" t="s">
        <v>132</v>
      </c>
      <c r="H572" t="s">
        <v>58</v>
      </c>
      <c r="I572" t="s">
        <v>59</v>
      </c>
      <c r="J572" t="s">
        <v>60</v>
      </c>
      <c r="K572" t="s">
        <v>61</v>
      </c>
      <c r="L572" t="s">
        <v>1305</v>
      </c>
      <c r="M572" t="s">
        <v>63</v>
      </c>
      <c r="N572" t="s">
        <v>81</v>
      </c>
      <c r="O572" t="s">
        <v>137</v>
      </c>
      <c r="P572" t="s">
        <v>138</v>
      </c>
      <c r="Q572" t="s">
        <v>139</v>
      </c>
      <c r="R572" t="s">
        <v>84</v>
      </c>
      <c r="S572">
        <v>3</v>
      </c>
      <c r="T572" s="14">
        <v>71.64</v>
      </c>
      <c r="U572" s="7">
        <v>12</v>
      </c>
      <c r="V572" s="7">
        <v>22</v>
      </c>
      <c r="W572" s="14">
        <v>105.64</v>
      </c>
      <c r="X572" s="14">
        <v>238.8</v>
      </c>
      <c r="Y572" s="16">
        <v>5</v>
      </c>
      <c r="Z572" s="12">
        <v>680.58</v>
      </c>
      <c r="AA572" s="5">
        <v>363.66</v>
      </c>
      <c r="AB572" s="18">
        <v>53.43</v>
      </c>
      <c r="AC572" t="s">
        <v>50</v>
      </c>
      <c r="AD572" t="s">
        <v>86</v>
      </c>
      <c r="AE572" t="s">
        <v>126</v>
      </c>
      <c r="AF572">
        <v>5</v>
      </c>
      <c r="AG572" t="s">
        <v>53</v>
      </c>
    </row>
    <row r="573" spans="1:33">
      <c r="A573" t="s">
        <v>1306</v>
      </c>
      <c r="B573" s="10">
        <v>45814</v>
      </c>
      <c r="C573" s="3" t="s">
        <v>128</v>
      </c>
      <c r="D573" t="s">
        <v>35</v>
      </c>
      <c r="E573" t="s">
        <v>174</v>
      </c>
      <c r="F573" t="s">
        <v>131</v>
      </c>
      <c r="G573" t="s">
        <v>132</v>
      </c>
      <c r="H573" t="s">
        <v>75</v>
      </c>
      <c r="I573" t="s">
        <v>76</v>
      </c>
      <c r="J573" t="s">
        <v>77</v>
      </c>
      <c r="K573" t="s">
        <v>78</v>
      </c>
      <c r="L573" t="s">
        <v>1307</v>
      </c>
      <c r="M573" t="s">
        <v>80</v>
      </c>
      <c r="N573" t="s">
        <v>81</v>
      </c>
      <c r="O573" t="s">
        <v>162</v>
      </c>
      <c r="P573" t="s">
        <v>163</v>
      </c>
      <c r="Q573" t="s">
        <v>48</v>
      </c>
      <c r="R573" t="s">
        <v>49</v>
      </c>
      <c r="S573">
        <v>2</v>
      </c>
      <c r="T573" s="14">
        <v>104.58</v>
      </c>
      <c r="U573" s="7">
        <v>12</v>
      </c>
      <c r="V573" s="7">
        <v>22</v>
      </c>
      <c r="W573" s="14">
        <v>138.58000000000001</v>
      </c>
      <c r="X573" s="14">
        <v>348.6</v>
      </c>
      <c r="Y573" s="16">
        <v>10</v>
      </c>
      <c r="Z573" s="12">
        <v>627.48</v>
      </c>
      <c r="AA573" s="5">
        <v>350.32</v>
      </c>
      <c r="AB573" s="18">
        <v>55.83</v>
      </c>
      <c r="AC573" t="s">
        <v>85</v>
      </c>
      <c r="AD573" t="s">
        <v>86</v>
      </c>
      <c r="AE573" t="s">
        <v>68</v>
      </c>
      <c r="AF573" t="s">
        <v>2124</v>
      </c>
      <c r="AG573" t="s">
        <v>53</v>
      </c>
    </row>
    <row r="574" spans="1:33">
      <c r="A574" t="s">
        <v>1308</v>
      </c>
      <c r="B574" s="10">
        <v>45768</v>
      </c>
      <c r="C574" s="3" t="s">
        <v>171</v>
      </c>
      <c r="D574" t="s">
        <v>206</v>
      </c>
      <c r="E574" t="s">
        <v>280</v>
      </c>
      <c r="F574" t="s">
        <v>131</v>
      </c>
      <c r="G574" t="s">
        <v>132</v>
      </c>
      <c r="H574" t="s">
        <v>133</v>
      </c>
      <c r="I574" t="s">
        <v>134</v>
      </c>
      <c r="J574" t="s">
        <v>135</v>
      </c>
      <c r="K574" t="s">
        <v>42</v>
      </c>
      <c r="L574" t="s">
        <v>1309</v>
      </c>
      <c r="M574" t="s">
        <v>63</v>
      </c>
      <c r="N574" t="s">
        <v>81</v>
      </c>
      <c r="O574" t="s">
        <v>64</v>
      </c>
      <c r="P574" t="s">
        <v>65</v>
      </c>
      <c r="Q574" t="s">
        <v>66</v>
      </c>
      <c r="R574" t="s">
        <v>67</v>
      </c>
      <c r="S574">
        <v>3</v>
      </c>
      <c r="T574" s="14">
        <v>44.7</v>
      </c>
      <c r="U574" s="7">
        <v>12</v>
      </c>
      <c r="V574" s="7">
        <v>22</v>
      </c>
      <c r="W574" s="14">
        <v>78.7</v>
      </c>
      <c r="X574" s="14">
        <v>149</v>
      </c>
      <c r="Y574" s="16">
        <v>10</v>
      </c>
      <c r="Z574" s="12">
        <v>402.3</v>
      </c>
      <c r="AA574" s="5">
        <v>166.2</v>
      </c>
      <c r="AB574" s="18">
        <v>41.31</v>
      </c>
      <c r="AC574" t="s">
        <v>50</v>
      </c>
      <c r="AD574" t="s">
        <v>86</v>
      </c>
      <c r="AE574" t="s">
        <v>126</v>
      </c>
      <c r="AF574">
        <v>5</v>
      </c>
      <c r="AG574" t="s">
        <v>53</v>
      </c>
    </row>
    <row r="575" spans="1:33">
      <c r="A575" t="s">
        <v>1310</v>
      </c>
      <c r="B575" s="10">
        <v>45733</v>
      </c>
      <c r="C575" s="3" t="s">
        <v>339</v>
      </c>
      <c r="D575" t="s">
        <v>206</v>
      </c>
      <c r="E575" t="s">
        <v>108</v>
      </c>
      <c r="F575" t="s">
        <v>91</v>
      </c>
      <c r="G575" t="s">
        <v>38</v>
      </c>
      <c r="H575" t="s">
        <v>115</v>
      </c>
      <c r="I575" t="s">
        <v>116</v>
      </c>
      <c r="J575" t="s">
        <v>117</v>
      </c>
      <c r="K575" t="s">
        <v>61</v>
      </c>
      <c r="L575" t="s">
        <v>1311</v>
      </c>
      <c r="M575" t="s">
        <v>63</v>
      </c>
      <c r="N575" t="s">
        <v>81</v>
      </c>
      <c r="O575" t="s">
        <v>82</v>
      </c>
      <c r="P575" t="s">
        <v>83</v>
      </c>
      <c r="Q575" t="s">
        <v>66</v>
      </c>
      <c r="R575" t="s">
        <v>84</v>
      </c>
      <c r="S575">
        <v>2</v>
      </c>
      <c r="T575" s="14">
        <v>86.04</v>
      </c>
      <c r="U575" s="7">
        <v>12</v>
      </c>
      <c r="V575" s="7">
        <v>22</v>
      </c>
      <c r="W575" s="14">
        <v>120.04</v>
      </c>
      <c r="X575" s="14">
        <v>286.8</v>
      </c>
      <c r="Y575" s="16">
        <v>5</v>
      </c>
      <c r="Z575" s="12">
        <v>544.91999999999996</v>
      </c>
      <c r="AA575" s="5">
        <v>304.83999999999997</v>
      </c>
      <c r="AB575" s="18">
        <v>55.94</v>
      </c>
      <c r="AC575" t="s">
        <v>111</v>
      </c>
      <c r="AD575" t="s">
        <v>51</v>
      </c>
      <c r="AE575" t="s">
        <v>68</v>
      </c>
      <c r="AF575">
        <v>5</v>
      </c>
      <c r="AG575" t="s">
        <v>53</v>
      </c>
    </row>
    <row r="576" spans="1:33">
      <c r="A576" t="s">
        <v>1312</v>
      </c>
      <c r="B576" s="10">
        <v>45667</v>
      </c>
      <c r="C576" s="3" t="s">
        <v>141</v>
      </c>
      <c r="D576" t="s">
        <v>35</v>
      </c>
      <c r="E576" t="s">
        <v>152</v>
      </c>
      <c r="F576" t="s">
        <v>91</v>
      </c>
      <c r="G576" t="s">
        <v>92</v>
      </c>
      <c r="H576" t="s">
        <v>133</v>
      </c>
      <c r="I576" t="s">
        <v>134</v>
      </c>
      <c r="J576" t="s">
        <v>135</v>
      </c>
      <c r="K576" t="s">
        <v>42</v>
      </c>
      <c r="L576" t="s">
        <v>1313</v>
      </c>
      <c r="M576" t="s">
        <v>80</v>
      </c>
      <c r="N576" t="s">
        <v>45</v>
      </c>
      <c r="O576" t="s">
        <v>82</v>
      </c>
      <c r="P576" t="s">
        <v>83</v>
      </c>
      <c r="Q576" t="s">
        <v>66</v>
      </c>
      <c r="R576" t="s">
        <v>84</v>
      </c>
      <c r="S576">
        <v>3</v>
      </c>
      <c r="T576" s="14">
        <v>86.04</v>
      </c>
      <c r="U576" s="7">
        <v>12</v>
      </c>
      <c r="V576" s="7">
        <v>22</v>
      </c>
      <c r="W576" s="14">
        <v>120.04</v>
      </c>
      <c r="X576" s="14">
        <v>286.8</v>
      </c>
      <c r="Y576" s="16">
        <v>0</v>
      </c>
      <c r="Z576" s="12">
        <v>860.4</v>
      </c>
      <c r="AA576" s="5">
        <v>500.28</v>
      </c>
      <c r="AB576" s="18">
        <v>58.15</v>
      </c>
      <c r="AC576" t="s">
        <v>104</v>
      </c>
      <c r="AD576" t="s">
        <v>86</v>
      </c>
      <c r="AE576" t="s">
        <v>68</v>
      </c>
      <c r="AF576">
        <v>5</v>
      </c>
      <c r="AG576" t="s">
        <v>53</v>
      </c>
    </row>
    <row r="577" spans="1:33">
      <c r="A577" t="s">
        <v>1314</v>
      </c>
      <c r="B577" s="10">
        <v>45729</v>
      </c>
      <c r="C577" s="3" t="s">
        <v>107</v>
      </c>
      <c r="D577" t="s">
        <v>56</v>
      </c>
      <c r="E577" t="s">
        <v>108</v>
      </c>
      <c r="F577" t="s">
        <v>91</v>
      </c>
      <c r="G577" t="s">
        <v>38</v>
      </c>
      <c r="H577" t="s">
        <v>115</v>
      </c>
      <c r="I577" t="s">
        <v>116</v>
      </c>
      <c r="J577" t="s">
        <v>117</v>
      </c>
      <c r="K577" t="s">
        <v>61</v>
      </c>
      <c r="L577" t="s">
        <v>1315</v>
      </c>
      <c r="M577" t="s">
        <v>80</v>
      </c>
      <c r="N577" t="s">
        <v>81</v>
      </c>
      <c r="O577" t="s">
        <v>82</v>
      </c>
      <c r="P577" t="s">
        <v>83</v>
      </c>
      <c r="Q577" t="s">
        <v>66</v>
      </c>
      <c r="R577" t="s">
        <v>67</v>
      </c>
      <c r="S577">
        <v>3</v>
      </c>
      <c r="T577" s="14">
        <v>71.7</v>
      </c>
      <c r="U577" s="7">
        <v>12</v>
      </c>
      <c r="V577" s="7">
        <v>22</v>
      </c>
      <c r="W577" s="14">
        <v>105.7</v>
      </c>
      <c r="X577" s="14">
        <v>239</v>
      </c>
      <c r="Y577" s="16">
        <v>0</v>
      </c>
      <c r="Z577" s="12">
        <v>717</v>
      </c>
      <c r="AA577" s="5">
        <v>399.9</v>
      </c>
      <c r="AB577" s="18">
        <v>55.77</v>
      </c>
      <c r="AC577" t="s">
        <v>111</v>
      </c>
      <c r="AD577" t="s">
        <v>51</v>
      </c>
      <c r="AE577" t="s">
        <v>52</v>
      </c>
      <c r="AF577">
        <v>4</v>
      </c>
      <c r="AG577" t="s">
        <v>53</v>
      </c>
    </row>
    <row r="578" spans="1:33">
      <c r="A578" t="s">
        <v>1316</v>
      </c>
      <c r="B578" s="10">
        <v>45870</v>
      </c>
      <c r="C578" s="3" t="s">
        <v>88</v>
      </c>
      <c r="D578" t="s">
        <v>35</v>
      </c>
      <c r="E578" t="s">
        <v>99</v>
      </c>
      <c r="F578" t="s">
        <v>73</v>
      </c>
      <c r="G578" t="s">
        <v>74</v>
      </c>
      <c r="H578" t="s">
        <v>115</v>
      </c>
      <c r="I578" t="s">
        <v>116</v>
      </c>
      <c r="J578" t="s">
        <v>117</v>
      </c>
      <c r="K578" t="s">
        <v>61</v>
      </c>
      <c r="L578" t="s">
        <v>1317</v>
      </c>
      <c r="M578" t="s">
        <v>63</v>
      </c>
      <c r="N578" t="s">
        <v>45</v>
      </c>
      <c r="O578" t="s">
        <v>101</v>
      </c>
      <c r="P578" t="s">
        <v>102</v>
      </c>
      <c r="Q578" t="s">
        <v>103</v>
      </c>
      <c r="R578" t="s">
        <v>49</v>
      </c>
      <c r="S578">
        <v>3</v>
      </c>
      <c r="T578" s="14">
        <v>62.58</v>
      </c>
      <c r="U578" s="7">
        <v>12</v>
      </c>
      <c r="V578" s="7">
        <v>22</v>
      </c>
      <c r="W578" s="14">
        <v>96.58</v>
      </c>
      <c r="X578" s="14">
        <v>208.6</v>
      </c>
      <c r="Y578" s="16">
        <v>5</v>
      </c>
      <c r="Z578" s="12">
        <v>594.51</v>
      </c>
      <c r="AA578" s="5">
        <v>304.77</v>
      </c>
      <c r="AB578" s="18">
        <v>51.26</v>
      </c>
      <c r="AC578" t="s">
        <v>85</v>
      </c>
      <c r="AD578" t="s">
        <v>86</v>
      </c>
      <c r="AE578" t="s">
        <v>126</v>
      </c>
      <c r="AF578">
        <v>5</v>
      </c>
      <c r="AG578" t="s">
        <v>53</v>
      </c>
    </row>
    <row r="579" spans="1:33">
      <c r="A579" t="s">
        <v>1318</v>
      </c>
      <c r="B579" s="10">
        <v>45801</v>
      </c>
      <c r="C579" s="3" t="s">
        <v>390</v>
      </c>
      <c r="D579" t="s">
        <v>71</v>
      </c>
      <c r="E579" t="s">
        <v>130</v>
      </c>
      <c r="F579" t="s">
        <v>131</v>
      </c>
      <c r="G579" t="s">
        <v>132</v>
      </c>
      <c r="H579" t="s">
        <v>115</v>
      </c>
      <c r="I579" t="s">
        <v>116</v>
      </c>
      <c r="J579" t="s">
        <v>117</v>
      </c>
      <c r="K579" t="s">
        <v>61</v>
      </c>
      <c r="L579" t="s">
        <v>1319</v>
      </c>
      <c r="M579" t="s">
        <v>80</v>
      </c>
      <c r="N579" t="s">
        <v>81</v>
      </c>
      <c r="O579" t="s">
        <v>162</v>
      </c>
      <c r="P579" t="s">
        <v>163</v>
      </c>
      <c r="Q579" t="s">
        <v>48</v>
      </c>
      <c r="R579" t="s">
        <v>49</v>
      </c>
      <c r="S579">
        <v>2</v>
      </c>
      <c r="T579" s="14">
        <v>104.58</v>
      </c>
      <c r="U579" s="7">
        <v>12</v>
      </c>
      <c r="V579" s="7">
        <v>22</v>
      </c>
      <c r="W579" s="14">
        <v>138.58000000000001</v>
      </c>
      <c r="X579" s="14">
        <v>348.6</v>
      </c>
      <c r="Y579" s="16">
        <v>10</v>
      </c>
      <c r="Z579" s="12">
        <v>627.48</v>
      </c>
      <c r="AA579" s="5">
        <v>350.32</v>
      </c>
      <c r="AB579" s="18">
        <v>55.83</v>
      </c>
      <c r="AC579" t="s">
        <v>104</v>
      </c>
      <c r="AD579" t="s">
        <v>158</v>
      </c>
      <c r="AE579" t="s">
        <v>52</v>
      </c>
      <c r="AF579">
        <v>4</v>
      </c>
      <c r="AG579" t="s">
        <v>53</v>
      </c>
    </row>
    <row r="580" spans="1:33">
      <c r="A580" t="s">
        <v>1320</v>
      </c>
      <c r="B580" s="10">
        <v>45701</v>
      </c>
      <c r="C580" s="3" t="s">
        <v>390</v>
      </c>
      <c r="D580" t="s">
        <v>56</v>
      </c>
      <c r="E580" t="s">
        <v>90</v>
      </c>
      <c r="F580" t="s">
        <v>91</v>
      </c>
      <c r="G580" t="s">
        <v>92</v>
      </c>
      <c r="H580" t="s">
        <v>142</v>
      </c>
      <c r="I580" t="s">
        <v>143</v>
      </c>
      <c r="J580" t="s">
        <v>144</v>
      </c>
      <c r="K580" t="s">
        <v>145</v>
      </c>
      <c r="L580" t="s">
        <v>1321</v>
      </c>
      <c r="M580" t="s">
        <v>44</v>
      </c>
      <c r="N580" t="s">
        <v>81</v>
      </c>
      <c r="O580" t="s">
        <v>94</v>
      </c>
      <c r="P580" t="s">
        <v>95</v>
      </c>
      <c r="Q580" t="s">
        <v>66</v>
      </c>
      <c r="R580" t="s">
        <v>84</v>
      </c>
      <c r="S580">
        <v>2</v>
      </c>
      <c r="T580" s="14">
        <v>78.84</v>
      </c>
      <c r="U580" s="7">
        <v>12</v>
      </c>
      <c r="V580" s="7">
        <v>22</v>
      </c>
      <c r="W580" s="14">
        <v>112.84</v>
      </c>
      <c r="X580" s="14">
        <v>262.8</v>
      </c>
      <c r="Y580" s="16">
        <v>10</v>
      </c>
      <c r="Z580" s="12">
        <v>473.04</v>
      </c>
      <c r="AA580" s="5">
        <v>247.36</v>
      </c>
      <c r="AB580" s="18">
        <v>52.29</v>
      </c>
      <c r="AC580" t="s">
        <v>85</v>
      </c>
      <c r="AD580" t="s">
        <v>86</v>
      </c>
      <c r="AE580" t="s">
        <v>52</v>
      </c>
      <c r="AF580">
        <v>3</v>
      </c>
      <c r="AG580" t="s">
        <v>53</v>
      </c>
    </row>
    <row r="581" spans="1:33">
      <c r="A581" t="s">
        <v>1322</v>
      </c>
      <c r="B581" s="10">
        <v>45769</v>
      </c>
      <c r="C581" s="3" t="s">
        <v>339</v>
      </c>
      <c r="D581" t="s">
        <v>156</v>
      </c>
      <c r="E581" t="s">
        <v>280</v>
      </c>
      <c r="F581" t="s">
        <v>131</v>
      </c>
      <c r="G581" t="s">
        <v>132</v>
      </c>
      <c r="H581" t="s">
        <v>115</v>
      </c>
      <c r="I581" t="s">
        <v>116</v>
      </c>
      <c r="J581" t="s">
        <v>117</v>
      </c>
      <c r="K581" t="s">
        <v>61</v>
      </c>
      <c r="L581" t="s">
        <v>1323</v>
      </c>
      <c r="M581" t="s">
        <v>44</v>
      </c>
      <c r="N581" t="s">
        <v>81</v>
      </c>
      <c r="O581" t="s">
        <v>176</v>
      </c>
      <c r="P581" t="s">
        <v>177</v>
      </c>
      <c r="Q581" t="s">
        <v>66</v>
      </c>
      <c r="R581" t="s">
        <v>67</v>
      </c>
      <c r="S581">
        <v>1</v>
      </c>
      <c r="T581" s="14">
        <v>50.7</v>
      </c>
      <c r="U581" s="7">
        <v>12</v>
      </c>
      <c r="V581" s="7">
        <v>22</v>
      </c>
      <c r="W581" s="14">
        <v>84.7</v>
      </c>
      <c r="X581" s="14">
        <v>169</v>
      </c>
      <c r="Y581" s="16">
        <v>5</v>
      </c>
      <c r="Z581" s="12">
        <v>160.55000000000001</v>
      </c>
      <c r="AA581" s="5">
        <v>75.849999999999994</v>
      </c>
      <c r="AB581" s="18">
        <v>47.24</v>
      </c>
      <c r="AC581" t="s">
        <v>111</v>
      </c>
      <c r="AD581" t="s">
        <v>86</v>
      </c>
      <c r="AE581" t="s">
        <v>96</v>
      </c>
      <c r="AF581">
        <v>5</v>
      </c>
      <c r="AG581" t="s">
        <v>53</v>
      </c>
    </row>
    <row r="582" spans="1:33">
      <c r="A582" t="s">
        <v>1324</v>
      </c>
      <c r="B582" s="10">
        <v>45723</v>
      </c>
      <c r="C582" s="3" t="s">
        <v>141</v>
      </c>
      <c r="D582" t="s">
        <v>35</v>
      </c>
      <c r="E582" t="s">
        <v>108</v>
      </c>
      <c r="F582" t="s">
        <v>91</v>
      </c>
      <c r="G582" t="s">
        <v>38</v>
      </c>
      <c r="H582" t="s">
        <v>133</v>
      </c>
      <c r="I582" t="s">
        <v>134</v>
      </c>
      <c r="J582" t="s">
        <v>135</v>
      </c>
      <c r="K582" t="s">
        <v>42</v>
      </c>
      <c r="L582" t="s">
        <v>1325</v>
      </c>
      <c r="M582" t="s">
        <v>80</v>
      </c>
      <c r="N582" t="s">
        <v>110</v>
      </c>
      <c r="O582" t="s">
        <v>168</v>
      </c>
      <c r="P582" t="s">
        <v>169</v>
      </c>
      <c r="Q582" t="s">
        <v>139</v>
      </c>
      <c r="R582" t="s">
        <v>84</v>
      </c>
      <c r="S582">
        <v>3</v>
      </c>
      <c r="T582" s="14">
        <v>57.24</v>
      </c>
      <c r="U582" s="7">
        <v>12</v>
      </c>
      <c r="V582" s="7">
        <v>22</v>
      </c>
      <c r="W582" s="14">
        <v>91.240000000000009</v>
      </c>
      <c r="X582" s="14">
        <v>190.8</v>
      </c>
      <c r="Y582" s="16">
        <v>5</v>
      </c>
      <c r="Z582" s="12">
        <v>543.78</v>
      </c>
      <c r="AA582" s="5">
        <v>270.06</v>
      </c>
      <c r="AB582" s="18">
        <v>49.66</v>
      </c>
      <c r="AC582" t="s">
        <v>85</v>
      </c>
      <c r="AD582" t="s">
        <v>51</v>
      </c>
      <c r="AE582" t="s">
        <v>105</v>
      </c>
      <c r="AF582" t="s">
        <v>2124</v>
      </c>
      <c r="AG582" t="s">
        <v>53</v>
      </c>
    </row>
    <row r="583" spans="1:33">
      <c r="A583" t="s">
        <v>1326</v>
      </c>
      <c r="B583" s="10">
        <v>45886</v>
      </c>
      <c r="C583" s="3" t="s">
        <v>219</v>
      </c>
      <c r="D583" t="s">
        <v>89</v>
      </c>
      <c r="E583" t="s">
        <v>99</v>
      </c>
      <c r="F583" t="s">
        <v>73</v>
      </c>
      <c r="G583" t="s">
        <v>74</v>
      </c>
      <c r="H583" t="s">
        <v>39</v>
      </c>
      <c r="I583" t="s">
        <v>2143</v>
      </c>
      <c r="J583" t="s">
        <v>41</v>
      </c>
      <c r="K583" t="s">
        <v>42</v>
      </c>
      <c r="L583" t="s">
        <v>1327</v>
      </c>
      <c r="M583" t="s">
        <v>44</v>
      </c>
      <c r="N583" t="s">
        <v>45</v>
      </c>
      <c r="O583" t="s">
        <v>176</v>
      </c>
      <c r="P583" t="s">
        <v>177</v>
      </c>
      <c r="Q583" t="s">
        <v>66</v>
      </c>
      <c r="R583" t="s">
        <v>49</v>
      </c>
      <c r="S583">
        <v>3</v>
      </c>
      <c r="T583" s="14">
        <v>70.98</v>
      </c>
      <c r="U583" s="7">
        <v>12</v>
      </c>
      <c r="V583" s="7">
        <v>22</v>
      </c>
      <c r="W583" s="14">
        <v>104.98</v>
      </c>
      <c r="X583" s="14">
        <v>236.6</v>
      </c>
      <c r="Y583" s="16">
        <v>10</v>
      </c>
      <c r="Z583" s="12">
        <v>638.82000000000005</v>
      </c>
      <c r="AA583" s="5">
        <v>323.88</v>
      </c>
      <c r="AB583" s="18">
        <v>50.7</v>
      </c>
      <c r="AC583" t="s">
        <v>85</v>
      </c>
      <c r="AD583" t="s">
        <v>51</v>
      </c>
      <c r="AE583" t="s">
        <v>52</v>
      </c>
      <c r="AF583">
        <v>5</v>
      </c>
      <c r="AG583" t="s">
        <v>53</v>
      </c>
    </row>
    <row r="584" spans="1:33">
      <c r="A584" t="s">
        <v>1328</v>
      </c>
      <c r="B584" s="10">
        <v>45738</v>
      </c>
      <c r="C584" s="3" t="s">
        <v>107</v>
      </c>
      <c r="D584" t="s">
        <v>71</v>
      </c>
      <c r="E584" t="s">
        <v>108</v>
      </c>
      <c r="F584" t="s">
        <v>91</v>
      </c>
      <c r="G584" t="s">
        <v>38</v>
      </c>
      <c r="H584" t="s">
        <v>115</v>
      </c>
      <c r="I584" t="s">
        <v>116</v>
      </c>
      <c r="J584" t="s">
        <v>117</v>
      </c>
      <c r="K584" t="s">
        <v>61</v>
      </c>
      <c r="L584" t="s">
        <v>1329</v>
      </c>
      <c r="M584" t="s">
        <v>80</v>
      </c>
      <c r="N584" t="s">
        <v>110</v>
      </c>
      <c r="O584" t="s">
        <v>64</v>
      </c>
      <c r="P584" t="s">
        <v>65</v>
      </c>
      <c r="Q584" t="s">
        <v>66</v>
      </c>
      <c r="R584" t="s">
        <v>67</v>
      </c>
      <c r="S584">
        <v>4</v>
      </c>
      <c r="T584" s="14">
        <v>44.7</v>
      </c>
      <c r="U584" s="7">
        <v>12</v>
      </c>
      <c r="V584" s="7">
        <v>22</v>
      </c>
      <c r="W584" s="14">
        <v>78.7</v>
      </c>
      <c r="X584" s="14">
        <v>149</v>
      </c>
      <c r="Y584" s="16">
        <v>10</v>
      </c>
      <c r="Z584" s="12">
        <v>536.4</v>
      </c>
      <c r="AA584" s="5">
        <v>221.6</v>
      </c>
      <c r="AB584" s="18">
        <v>41.31</v>
      </c>
      <c r="AC584" t="s">
        <v>50</v>
      </c>
      <c r="AD584" t="s">
        <v>158</v>
      </c>
      <c r="AE584" t="s">
        <v>126</v>
      </c>
      <c r="AF584">
        <v>3</v>
      </c>
      <c r="AG584" t="s">
        <v>53</v>
      </c>
    </row>
    <row r="585" spans="1:33">
      <c r="A585" t="s">
        <v>1330</v>
      </c>
      <c r="B585" s="10">
        <v>45694</v>
      </c>
      <c r="C585" s="3" t="s">
        <v>70</v>
      </c>
      <c r="D585" t="s">
        <v>56</v>
      </c>
      <c r="E585" t="s">
        <v>90</v>
      </c>
      <c r="F585" t="s">
        <v>91</v>
      </c>
      <c r="G585" t="s">
        <v>92</v>
      </c>
      <c r="H585" t="s">
        <v>75</v>
      </c>
      <c r="I585" t="s">
        <v>76</v>
      </c>
      <c r="J585" t="s">
        <v>77</v>
      </c>
      <c r="K585" t="s">
        <v>78</v>
      </c>
      <c r="L585" t="s">
        <v>1331</v>
      </c>
      <c r="M585" t="s">
        <v>63</v>
      </c>
      <c r="N585" t="s">
        <v>110</v>
      </c>
      <c r="O585" t="s">
        <v>82</v>
      </c>
      <c r="P585" t="s">
        <v>83</v>
      </c>
      <c r="Q585" t="s">
        <v>66</v>
      </c>
      <c r="R585" t="s">
        <v>67</v>
      </c>
      <c r="S585">
        <v>2</v>
      </c>
      <c r="T585" s="14">
        <v>71.7</v>
      </c>
      <c r="U585" s="7">
        <v>12</v>
      </c>
      <c r="V585" s="7">
        <v>22</v>
      </c>
      <c r="W585" s="14">
        <v>105.7</v>
      </c>
      <c r="X585" s="14">
        <v>239</v>
      </c>
      <c r="Y585" s="16">
        <v>5</v>
      </c>
      <c r="Z585" s="12">
        <v>454.1</v>
      </c>
      <c r="AA585" s="5">
        <v>242.7</v>
      </c>
      <c r="AB585" s="18">
        <v>53.45</v>
      </c>
      <c r="AC585" t="s">
        <v>50</v>
      </c>
      <c r="AD585" t="s">
        <v>51</v>
      </c>
      <c r="AE585" t="s">
        <v>126</v>
      </c>
      <c r="AF585">
        <v>5</v>
      </c>
      <c r="AG585" t="s">
        <v>53</v>
      </c>
    </row>
    <row r="586" spans="1:33">
      <c r="A586" t="s">
        <v>1332</v>
      </c>
      <c r="B586" s="10">
        <v>45698</v>
      </c>
      <c r="C586" s="3" t="s">
        <v>70</v>
      </c>
      <c r="D586" t="s">
        <v>206</v>
      </c>
      <c r="E586" t="s">
        <v>90</v>
      </c>
      <c r="F586" t="s">
        <v>91</v>
      </c>
      <c r="G586" t="s">
        <v>92</v>
      </c>
      <c r="H586" t="s">
        <v>39</v>
      </c>
      <c r="I586" t="s">
        <v>2143</v>
      </c>
      <c r="J586" t="s">
        <v>41</v>
      </c>
      <c r="K586" t="s">
        <v>42</v>
      </c>
      <c r="L586" t="s">
        <v>1333</v>
      </c>
      <c r="M586" t="s">
        <v>44</v>
      </c>
      <c r="N586" t="s">
        <v>110</v>
      </c>
      <c r="O586" t="s">
        <v>94</v>
      </c>
      <c r="P586" t="s">
        <v>95</v>
      </c>
      <c r="Q586" t="s">
        <v>66</v>
      </c>
      <c r="R586" t="s">
        <v>67</v>
      </c>
      <c r="S586">
        <v>2</v>
      </c>
      <c r="T586" s="14">
        <v>65.7</v>
      </c>
      <c r="U586" s="7">
        <v>12</v>
      </c>
      <c r="V586" s="7">
        <v>22</v>
      </c>
      <c r="W586" s="14">
        <v>99.7</v>
      </c>
      <c r="X586" s="14">
        <v>219</v>
      </c>
      <c r="Y586" s="16">
        <v>0</v>
      </c>
      <c r="Z586" s="12">
        <v>438</v>
      </c>
      <c r="AA586" s="5">
        <v>238.6</v>
      </c>
      <c r="AB586" s="18">
        <v>54.47</v>
      </c>
      <c r="AC586" t="s">
        <v>85</v>
      </c>
      <c r="AD586" t="s">
        <v>51</v>
      </c>
      <c r="AE586" t="s">
        <v>96</v>
      </c>
      <c r="AF586">
        <v>5</v>
      </c>
      <c r="AG586" t="s">
        <v>53</v>
      </c>
    </row>
    <row r="587" spans="1:33">
      <c r="A587" t="s">
        <v>1334</v>
      </c>
      <c r="B587" s="10">
        <v>45800</v>
      </c>
      <c r="C587" s="3" t="s">
        <v>307</v>
      </c>
      <c r="D587" t="s">
        <v>35</v>
      </c>
      <c r="E587" t="s">
        <v>130</v>
      </c>
      <c r="F587" t="s">
        <v>131</v>
      </c>
      <c r="G587" t="s">
        <v>132</v>
      </c>
      <c r="H587" t="s">
        <v>115</v>
      </c>
      <c r="I587" t="s">
        <v>116</v>
      </c>
      <c r="J587" t="s">
        <v>117</v>
      </c>
      <c r="K587" t="s">
        <v>61</v>
      </c>
      <c r="L587" t="s">
        <v>1335</v>
      </c>
      <c r="M587" t="s">
        <v>44</v>
      </c>
      <c r="N587" t="s">
        <v>81</v>
      </c>
      <c r="O587" t="s">
        <v>46</v>
      </c>
      <c r="P587" t="s">
        <v>47</v>
      </c>
      <c r="Q587" t="s">
        <v>48</v>
      </c>
      <c r="R587" t="s">
        <v>84</v>
      </c>
      <c r="S587">
        <v>2</v>
      </c>
      <c r="T587" s="14">
        <v>93.24</v>
      </c>
      <c r="U587" s="7">
        <v>12</v>
      </c>
      <c r="V587" s="7">
        <v>22</v>
      </c>
      <c r="W587" s="14">
        <v>127.24</v>
      </c>
      <c r="X587" s="14">
        <v>310.8</v>
      </c>
      <c r="Y587" s="16">
        <v>0</v>
      </c>
      <c r="Z587" s="12">
        <v>621.6</v>
      </c>
      <c r="AA587" s="5">
        <v>367.12</v>
      </c>
      <c r="AB587" s="18">
        <v>59.06</v>
      </c>
      <c r="AC587" t="s">
        <v>50</v>
      </c>
      <c r="AD587" t="s">
        <v>51</v>
      </c>
      <c r="AE587" t="s">
        <v>52</v>
      </c>
      <c r="AF587">
        <v>5</v>
      </c>
      <c r="AG587" t="s">
        <v>53</v>
      </c>
    </row>
    <row r="588" spans="1:33">
      <c r="A588" t="s">
        <v>1336</v>
      </c>
      <c r="B588" s="10">
        <v>45688</v>
      </c>
      <c r="C588" s="3" t="s">
        <v>211</v>
      </c>
      <c r="D588" t="s">
        <v>35</v>
      </c>
      <c r="E588" t="s">
        <v>152</v>
      </c>
      <c r="F588" t="s">
        <v>91</v>
      </c>
      <c r="G588" t="s">
        <v>92</v>
      </c>
      <c r="H588" t="s">
        <v>39</v>
      </c>
      <c r="I588" t="s">
        <v>2143</v>
      </c>
      <c r="J588" t="s">
        <v>41</v>
      </c>
      <c r="K588" t="s">
        <v>42</v>
      </c>
      <c r="L588" t="s">
        <v>1337</v>
      </c>
      <c r="M588" t="s">
        <v>63</v>
      </c>
      <c r="N588" t="s">
        <v>110</v>
      </c>
      <c r="O588" t="s">
        <v>64</v>
      </c>
      <c r="P588" t="s">
        <v>65</v>
      </c>
      <c r="Q588" t="s">
        <v>66</v>
      </c>
      <c r="R588" t="s">
        <v>84</v>
      </c>
      <c r="S588">
        <v>1</v>
      </c>
      <c r="T588" s="14">
        <v>53.64</v>
      </c>
      <c r="U588" s="7">
        <v>12</v>
      </c>
      <c r="V588" s="7">
        <v>22</v>
      </c>
      <c r="W588" s="14">
        <v>87.64</v>
      </c>
      <c r="X588" s="14">
        <v>178.8</v>
      </c>
      <c r="Y588" s="16">
        <v>10</v>
      </c>
      <c r="Z588" s="12">
        <v>160.91999999999999</v>
      </c>
      <c r="AA588" s="5">
        <v>73.28</v>
      </c>
      <c r="AB588" s="18">
        <v>45.54</v>
      </c>
      <c r="AC588" t="s">
        <v>85</v>
      </c>
      <c r="AD588" t="s">
        <v>86</v>
      </c>
      <c r="AE588" t="s">
        <v>52</v>
      </c>
      <c r="AF588">
        <v>3</v>
      </c>
      <c r="AG588" t="s">
        <v>53</v>
      </c>
    </row>
    <row r="589" spans="1:33">
      <c r="A589" t="s">
        <v>1338</v>
      </c>
      <c r="B589" s="10">
        <v>45996</v>
      </c>
      <c r="C589" s="3" t="s">
        <v>34</v>
      </c>
      <c r="D589" t="s">
        <v>35</v>
      </c>
      <c r="E589" t="s">
        <v>149</v>
      </c>
      <c r="F589" t="s">
        <v>37</v>
      </c>
      <c r="G589" t="s">
        <v>92</v>
      </c>
      <c r="H589" t="s">
        <v>115</v>
      </c>
      <c r="I589" t="s">
        <v>116</v>
      </c>
      <c r="J589" t="s">
        <v>117</v>
      </c>
      <c r="K589" t="s">
        <v>61</v>
      </c>
      <c r="L589" t="s">
        <v>1339</v>
      </c>
      <c r="M589" t="s">
        <v>63</v>
      </c>
      <c r="N589" t="s">
        <v>110</v>
      </c>
      <c r="O589" t="s">
        <v>94</v>
      </c>
      <c r="P589" t="s">
        <v>95</v>
      </c>
      <c r="Q589" t="s">
        <v>66</v>
      </c>
      <c r="R589" t="s">
        <v>67</v>
      </c>
      <c r="S589">
        <v>3</v>
      </c>
      <c r="T589" s="14">
        <v>65.7</v>
      </c>
      <c r="U589" s="7">
        <v>12</v>
      </c>
      <c r="V589" s="7">
        <v>22</v>
      </c>
      <c r="W589" s="14">
        <v>99.7</v>
      </c>
      <c r="X589" s="14">
        <v>219</v>
      </c>
      <c r="Y589" s="16">
        <v>0</v>
      </c>
      <c r="Z589" s="12">
        <v>657</v>
      </c>
      <c r="AA589" s="5">
        <v>357.9</v>
      </c>
      <c r="AB589" s="18">
        <v>54.47</v>
      </c>
      <c r="AC589" t="s">
        <v>104</v>
      </c>
      <c r="AD589" t="s">
        <v>51</v>
      </c>
      <c r="AE589" t="s">
        <v>126</v>
      </c>
      <c r="AF589">
        <v>4</v>
      </c>
      <c r="AG589" t="s">
        <v>53</v>
      </c>
    </row>
    <row r="590" spans="1:33">
      <c r="A590" t="s">
        <v>1340</v>
      </c>
      <c r="B590" s="10">
        <v>45963</v>
      </c>
      <c r="C590" s="3" t="s">
        <v>179</v>
      </c>
      <c r="D590" t="s">
        <v>89</v>
      </c>
      <c r="E590" t="s">
        <v>57</v>
      </c>
      <c r="F590" t="s">
        <v>37</v>
      </c>
      <c r="G590" t="s">
        <v>38</v>
      </c>
      <c r="H590" t="s">
        <v>133</v>
      </c>
      <c r="I590" t="s">
        <v>134</v>
      </c>
      <c r="J590" t="s">
        <v>135</v>
      </c>
      <c r="K590" t="s">
        <v>42</v>
      </c>
      <c r="L590" t="s">
        <v>1341</v>
      </c>
      <c r="M590" t="s">
        <v>44</v>
      </c>
      <c r="N590" t="s">
        <v>81</v>
      </c>
      <c r="O590" t="s">
        <v>119</v>
      </c>
      <c r="P590" t="s">
        <v>120</v>
      </c>
      <c r="Q590" t="s">
        <v>103</v>
      </c>
      <c r="R590" t="s">
        <v>67</v>
      </c>
      <c r="S590">
        <v>2</v>
      </c>
      <c r="T590" s="14">
        <v>38.700000000000003</v>
      </c>
      <c r="U590" s="7">
        <v>12</v>
      </c>
      <c r="V590" s="7">
        <v>22</v>
      </c>
      <c r="W590" s="14">
        <v>72.7</v>
      </c>
      <c r="X590" s="14">
        <v>129</v>
      </c>
      <c r="Y590" s="16">
        <v>10</v>
      </c>
      <c r="Z590" s="12">
        <v>232.2</v>
      </c>
      <c r="AA590" s="5">
        <v>86.8</v>
      </c>
      <c r="AB590" s="18">
        <v>37.380000000000003</v>
      </c>
      <c r="AC590" t="s">
        <v>50</v>
      </c>
      <c r="AD590" t="s">
        <v>86</v>
      </c>
      <c r="AE590" t="s">
        <v>52</v>
      </c>
      <c r="AF590">
        <v>5</v>
      </c>
      <c r="AG590" t="s">
        <v>53</v>
      </c>
    </row>
    <row r="591" spans="1:33">
      <c r="A591" t="s">
        <v>1342</v>
      </c>
      <c r="B591" s="10">
        <v>45682</v>
      </c>
      <c r="C591" s="3" t="s">
        <v>141</v>
      </c>
      <c r="D591" t="s">
        <v>71</v>
      </c>
      <c r="E591" t="s">
        <v>152</v>
      </c>
      <c r="F591" t="s">
        <v>91</v>
      </c>
      <c r="G591" t="s">
        <v>92</v>
      </c>
      <c r="H591" t="s">
        <v>133</v>
      </c>
      <c r="I591" t="s">
        <v>134</v>
      </c>
      <c r="J591" t="s">
        <v>135</v>
      </c>
      <c r="K591" t="s">
        <v>42</v>
      </c>
      <c r="L591" t="s">
        <v>1343</v>
      </c>
      <c r="M591" t="s">
        <v>44</v>
      </c>
      <c r="N591" t="s">
        <v>81</v>
      </c>
      <c r="O591" t="s">
        <v>64</v>
      </c>
      <c r="P591" t="s">
        <v>65</v>
      </c>
      <c r="Q591" t="s">
        <v>66</v>
      </c>
      <c r="R591" t="s">
        <v>84</v>
      </c>
      <c r="S591">
        <v>3</v>
      </c>
      <c r="T591" s="14">
        <v>53.64</v>
      </c>
      <c r="U591" s="7">
        <v>12</v>
      </c>
      <c r="V591" s="7">
        <v>22</v>
      </c>
      <c r="W591" s="14">
        <v>87.64</v>
      </c>
      <c r="X591" s="14">
        <v>178.8</v>
      </c>
      <c r="Y591" s="16">
        <v>15</v>
      </c>
      <c r="Z591" s="12">
        <v>455.94</v>
      </c>
      <c r="AA591" s="5">
        <v>193.02</v>
      </c>
      <c r="AB591" s="18">
        <v>42.33</v>
      </c>
      <c r="AC591" t="s">
        <v>50</v>
      </c>
      <c r="AD591" t="s">
        <v>51</v>
      </c>
      <c r="AE591" t="s">
        <v>126</v>
      </c>
      <c r="AF591">
        <v>5</v>
      </c>
      <c r="AG591" t="s">
        <v>53</v>
      </c>
    </row>
    <row r="592" spans="1:33">
      <c r="A592" t="s">
        <v>1344</v>
      </c>
      <c r="B592" s="10">
        <v>45702</v>
      </c>
      <c r="C592" s="3" t="s">
        <v>194</v>
      </c>
      <c r="D592" t="s">
        <v>35</v>
      </c>
      <c r="E592" t="s">
        <v>90</v>
      </c>
      <c r="F592" t="s">
        <v>91</v>
      </c>
      <c r="G592" t="s">
        <v>92</v>
      </c>
      <c r="H592" t="s">
        <v>133</v>
      </c>
      <c r="I592" t="s">
        <v>134</v>
      </c>
      <c r="J592" t="s">
        <v>135</v>
      </c>
      <c r="K592" t="s">
        <v>42</v>
      </c>
      <c r="L592" t="s">
        <v>1345</v>
      </c>
      <c r="M592" t="s">
        <v>80</v>
      </c>
      <c r="N592" t="s">
        <v>110</v>
      </c>
      <c r="O592" t="s">
        <v>94</v>
      </c>
      <c r="P592" t="s">
        <v>95</v>
      </c>
      <c r="Q592" t="s">
        <v>66</v>
      </c>
      <c r="R592" t="s">
        <v>67</v>
      </c>
      <c r="S592">
        <v>2</v>
      </c>
      <c r="T592" s="14">
        <v>65.7</v>
      </c>
      <c r="U592" s="7">
        <v>12</v>
      </c>
      <c r="V592" s="7">
        <v>22</v>
      </c>
      <c r="W592" s="14">
        <v>99.7</v>
      </c>
      <c r="X592" s="14">
        <v>219</v>
      </c>
      <c r="Y592" s="16">
        <v>0</v>
      </c>
      <c r="Z592" s="12">
        <v>438</v>
      </c>
      <c r="AA592" s="5">
        <v>238.6</v>
      </c>
      <c r="AB592" s="18">
        <v>54.47</v>
      </c>
      <c r="AC592" t="s">
        <v>111</v>
      </c>
      <c r="AD592" t="s">
        <v>51</v>
      </c>
      <c r="AE592" t="s">
        <v>126</v>
      </c>
      <c r="AF592">
        <v>5</v>
      </c>
      <c r="AG592" t="s">
        <v>53</v>
      </c>
    </row>
    <row r="593" spans="1:33">
      <c r="A593" t="s">
        <v>1346</v>
      </c>
      <c r="B593" s="10">
        <v>45704</v>
      </c>
      <c r="C593" s="3" t="s">
        <v>55</v>
      </c>
      <c r="D593" t="s">
        <v>89</v>
      </c>
      <c r="E593" t="s">
        <v>90</v>
      </c>
      <c r="F593" t="s">
        <v>91</v>
      </c>
      <c r="G593" t="s">
        <v>92</v>
      </c>
      <c r="H593" t="s">
        <v>75</v>
      </c>
      <c r="I593" t="s">
        <v>76</v>
      </c>
      <c r="J593" t="s">
        <v>77</v>
      </c>
      <c r="K593" t="s">
        <v>78</v>
      </c>
      <c r="L593" t="s">
        <v>1347</v>
      </c>
      <c r="M593" t="s">
        <v>44</v>
      </c>
      <c r="N593" t="s">
        <v>81</v>
      </c>
      <c r="O593" t="s">
        <v>176</v>
      </c>
      <c r="P593" t="s">
        <v>177</v>
      </c>
      <c r="Q593" t="s">
        <v>66</v>
      </c>
      <c r="R593" t="s">
        <v>67</v>
      </c>
      <c r="S593">
        <v>1</v>
      </c>
      <c r="T593" s="14">
        <v>50.7</v>
      </c>
      <c r="U593" s="7">
        <v>12</v>
      </c>
      <c r="V593" s="7">
        <v>22</v>
      </c>
      <c r="W593" s="14">
        <v>84.7</v>
      </c>
      <c r="X593" s="14">
        <v>169</v>
      </c>
      <c r="Y593" s="16">
        <v>10</v>
      </c>
      <c r="Z593" s="12">
        <v>152.1</v>
      </c>
      <c r="AA593" s="5">
        <v>67.400000000000006</v>
      </c>
      <c r="AB593" s="18">
        <v>44.31</v>
      </c>
      <c r="AC593" t="s">
        <v>111</v>
      </c>
      <c r="AD593" t="s">
        <v>158</v>
      </c>
      <c r="AE593" t="s">
        <v>105</v>
      </c>
      <c r="AF593">
        <v>4</v>
      </c>
      <c r="AG593" t="s">
        <v>53</v>
      </c>
    </row>
    <row r="594" spans="1:33">
      <c r="A594" t="s">
        <v>1348</v>
      </c>
      <c r="B594" s="10">
        <v>45786</v>
      </c>
      <c r="C594" s="3" t="s">
        <v>55</v>
      </c>
      <c r="D594" t="s">
        <v>35</v>
      </c>
      <c r="E594" t="s">
        <v>130</v>
      </c>
      <c r="F594" t="s">
        <v>131</v>
      </c>
      <c r="G594" t="s">
        <v>132</v>
      </c>
      <c r="H594" t="s">
        <v>142</v>
      </c>
      <c r="I594" t="s">
        <v>143</v>
      </c>
      <c r="J594" t="s">
        <v>144</v>
      </c>
      <c r="K594" t="s">
        <v>145</v>
      </c>
      <c r="L594" t="s">
        <v>1349</v>
      </c>
      <c r="M594" t="s">
        <v>44</v>
      </c>
      <c r="N594" t="s">
        <v>45</v>
      </c>
      <c r="O594" t="s">
        <v>46</v>
      </c>
      <c r="P594" t="s">
        <v>47</v>
      </c>
      <c r="Q594" t="s">
        <v>48</v>
      </c>
      <c r="R594" t="s">
        <v>49</v>
      </c>
      <c r="S594">
        <v>1</v>
      </c>
      <c r="T594" s="14">
        <v>108.78</v>
      </c>
      <c r="U594" s="7">
        <v>12</v>
      </c>
      <c r="V594" s="7">
        <v>22</v>
      </c>
      <c r="W594" s="14">
        <v>142.78</v>
      </c>
      <c r="X594" s="14">
        <v>362.6</v>
      </c>
      <c r="Y594" s="16">
        <v>0</v>
      </c>
      <c r="Z594" s="12">
        <v>362.6</v>
      </c>
      <c r="AA594" s="5">
        <v>219.82</v>
      </c>
      <c r="AB594" s="18">
        <v>60.62</v>
      </c>
      <c r="AC594" t="s">
        <v>85</v>
      </c>
      <c r="AD594" t="s">
        <v>51</v>
      </c>
      <c r="AE594" t="s">
        <v>52</v>
      </c>
      <c r="AF594">
        <v>4</v>
      </c>
      <c r="AG594" t="s">
        <v>53</v>
      </c>
    </row>
    <row r="595" spans="1:33">
      <c r="A595" t="s">
        <v>1350</v>
      </c>
      <c r="B595" s="10">
        <v>45671</v>
      </c>
      <c r="C595" s="3" t="s">
        <v>185</v>
      </c>
      <c r="D595" t="s">
        <v>156</v>
      </c>
      <c r="E595" t="s">
        <v>152</v>
      </c>
      <c r="F595" t="s">
        <v>91</v>
      </c>
      <c r="G595" t="s">
        <v>92</v>
      </c>
      <c r="H595" t="s">
        <v>75</v>
      </c>
      <c r="I595" t="s">
        <v>76</v>
      </c>
      <c r="J595" t="s">
        <v>77</v>
      </c>
      <c r="K595" t="s">
        <v>78</v>
      </c>
      <c r="L595" t="s">
        <v>1351</v>
      </c>
      <c r="M595" t="s">
        <v>44</v>
      </c>
      <c r="N595" t="s">
        <v>45</v>
      </c>
      <c r="O595" t="s">
        <v>94</v>
      </c>
      <c r="P595" t="s">
        <v>95</v>
      </c>
      <c r="Q595" t="s">
        <v>66</v>
      </c>
      <c r="R595" t="s">
        <v>67</v>
      </c>
      <c r="S595">
        <v>2</v>
      </c>
      <c r="T595" s="14">
        <v>65.7</v>
      </c>
      <c r="U595" s="7">
        <v>12</v>
      </c>
      <c r="V595" s="7">
        <v>22</v>
      </c>
      <c r="W595" s="14">
        <v>99.7</v>
      </c>
      <c r="X595" s="14">
        <v>219</v>
      </c>
      <c r="Y595" s="16">
        <v>10</v>
      </c>
      <c r="Z595" s="12">
        <v>394.2</v>
      </c>
      <c r="AA595" s="5">
        <v>194.8</v>
      </c>
      <c r="AB595" s="18">
        <v>49.42</v>
      </c>
      <c r="AC595" t="s">
        <v>85</v>
      </c>
      <c r="AD595" t="s">
        <v>86</v>
      </c>
      <c r="AE595" t="s">
        <v>68</v>
      </c>
      <c r="AF595">
        <v>5</v>
      </c>
      <c r="AG595" t="s">
        <v>53</v>
      </c>
    </row>
    <row r="596" spans="1:33">
      <c r="A596" t="s">
        <v>1352</v>
      </c>
      <c r="B596" s="10">
        <v>45922</v>
      </c>
      <c r="C596" s="3" t="s">
        <v>390</v>
      </c>
      <c r="D596" t="s">
        <v>206</v>
      </c>
      <c r="E596" t="s">
        <v>72</v>
      </c>
      <c r="F596" t="s">
        <v>73</v>
      </c>
      <c r="G596" t="s">
        <v>74</v>
      </c>
      <c r="H596" t="s">
        <v>133</v>
      </c>
      <c r="I596" t="s">
        <v>134</v>
      </c>
      <c r="J596" t="s">
        <v>135</v>
      </c>
      <c r="K596" t="s">
        <v>42</v>
      </c>
      <c r="L596" t="s">
        <v>1353</v>
      </c>
      <c r="M596" t="s">
        <v>63</v>
      </c>
      <c r="N596" t="s">
        <v>81</v>
      </c>
      <c r="O596" t="s">
        <v>101</v>
      </c>
      <c r="P596" t="s">
        <v>102</v>
      </c>
      <c r="Q596" t="s">
        <v>103</v>
      </c>
      <c r="R596" t="s">
        <v>84</v>
      </c>
      <c r="S596">
        <v>3</v>
      </c>
      <c r="T596" s="14">
        <v>53.64</v>
      </c>
      <c r="U596" s="7">
        <v>12</v>
      </c>
      <c r="V596" s="7">
        <v>22</v>
      </c>
      <c r="W596" s="14">
        <v>87.64</v>
      </c>
      <c r="X596" s="14">
        <v>178.8</v>
      </c>
      <c r="Y596" s="16">
        <v>10</v>
      </c>
      <c r="Z596" s="12">
        <v>482.76</v>
      </c>
      <c r="AA596" s="5">
        <v>219.84</v>
      </c>
      <c r="AB596" s="18">
        <v>45.54</v>
      </c>
      <c r="AC596" t="s">
        <v>85</v>
      </c>
      <c r="AD596" t="s">
        <v>158</v>
      </c>
      <c r="AE596" t="s">
        <v>126</v>
      </c>
      <c r="AF596">
        <v>3</v>
      </c>
      <c r="AG596" t="s">
        <v>53</v>
      </c>
    </row>
    <row r="597" spans="1:33">
      <c r="A597" t="s">
        <v>1354</v>
      </c>
      <c r="B597" s="10">
        <v>45740</v>
      </c>
      <c r="C597" s="3" t="s">
        <v>88</v>
      </c>
      <c r="D597" t="s">
        <v>206</v>
      </c>
      <c r="E597" t="s">
        <v>108</v>
      </c>
      <c r="F597" t="s">
        <v>91</v>
      </c>
      <c r="G597" t="s">
        <v>38</v>
      </c>
      <c r="H597" t="s">
        <v>39</v>
      </c>
      <c r="I597" t="s">
        <v>2143</v>
      </c>
      <c r="J597" t="s">
        <v>41</v>
      </c>
      <c r="K597" t="s">
        <v>42</v>
      </c>
      <c r="L597" t="s">
        <v>1355</v>
      </c>
      <c r="M597" t="s">
        <v>63</v>
      </c>
      <c r="N597" t="s">
        <v>81</v>
      </c>
      <c r="O597" t="s">
        <v>275</v>
      </c>
      <c r="P597" t="s">
        <v>276</v>
      </c>
      <c r="Q597" t="s">
        <v>125</v>
      </c>
      <c r="R597" t="s">
        <v>67</v>
      </c>
      <c r="S597">
        <v>1</v>
      </c>
      <c r="T597" s="14">
        <v>68.7</v>
      </c>
      <c r="U597" s="7">
        <v>12</v>
      </c>
      <c r="V597" s="7">
        <v>22</v>
      </c>
      <c r="W597" s="14">
        <v>102.7</v>
      </c>
      <c r="X597" s="14">
        <v>229</v>
      </c>
      <c r="Y597" s="16">
        <v>0</v>
      </c>
      <c r="Z597" s="12">
        <v>229</v>
      </c>
      <c r="AA597" s="5">
        <v>126.3</v>
      </c>
      <c r="AB597" s="18">
        <v>55.15</v>
      </c>
      <c r="AC597" t="s">
        <v>85</v>
      </c>
      <c r="AD597" t="s">
        <v>86</v>
      </c>
      <c r="AE597" t="s">
        <v>68</v>
      </c>
      <c r="AF597">
        <v>4</v>
      </c>
      <c r="AG597" t="s">
        <v>53</v>
      </c>
    </row>
    <row r="598" spans="1:33">
      <c r="A598" t="s">
        <v>1356</v>
      </c>
      <c r="B598" s="10">
        <v>45890</v>
      </c>
      <c r="C598" s="3" t="s">
        <v>307</v>
      </c>
      <c r="D598" t="s">
        <v>56</v>
      </c>
      <c r="E598" t="s">
        <v>99</v>
      </c>
      <c r="F598" t="s">
        <v>73</v>
      </c>
      <c r="G598" t="s">
        <v>74</v>
      </c>
      <c r="H598" t="s">
        <v>133</v>
      </c>
      <c r="I598" t="s">
        <v>134</v>
      </c>
      <c r="J598" t="s">
        <v>135</v>
      </c>
      <c r="K598" t="s">
        <v>42</v>
      </c>
      <c r="L598" t="s">
        <v>1357</v>
      </c>
      <c r="M598" t="s">
        <v>63</v>
      </c>
      <c r="N598" t="s">
        <v>45</v>
      </c>
      <c r="O598" t="s">
        <v>123</v>
      </c>
      <c r="P598" t="s">
        <v>124</v>
      </c>
      <c r="Q598" t="s">
        <v>125</v>
      </c>
      <c r="R598" t="s">
        <v>67</v>
      </c>
      <c r="S598">
        <v>3</v>
      </c>
      <c r="T598" s="14">
        <v>74.7</v>
      </c>
      <c r="U598" s="7">
        <v>12</v>
      </c>
      <c r="V598" s="7">
        <v>22</v>
      </c>
      <c r="W598" s="14">
        <v>108.7</v>
      </c>
      <c r="X598" s="14">
        <v>249</v>
      </c>
      <c r="Y598" s="16">
        <v>0</v>
      </c>
      <c r="Z598" s="12">
        <v>747</v>
      </c>
      <c r="AA598" s="5">
        <v>420.9</v>
      </c>
      <c r="AB598" s="18">
        <v>56.35</v>
      </c>
      <c r="AC598" t="s">
        <v>104</v>
      </c>
      <c r="AD598" t="s">
        <v>86</v>
      </c>
      <c r="AE598" t="s">
        <v>96</v>
      </c>
      <c r="AF598">
        <v>3</v>
      </c>
      <c r="AG598" t="s">
        <v>53</v>
      </c>
    </row>
    <row r="599" spans="1:33">
      <c r="A599" t="s">
        <v>1358</v>
      </c>
      <c r="B599" s="10">
        <v>45676</v>
      </c>
      <c r="C599" s="3" t="s">
        <v>307</v>
      </c>
      <c r="D599" t="s">
        <v>89</v>
      </c>
      <c r="E599" t="s">
        <v>152</v>
      </c>
      <c r="F599" t="s">
        <v>91</v>
      </c>
      <c r="G599" t="s">
        <v>92</v>
      </c>
      <c r="H599" t="s">
        <v>142</v>
      </c>
      <c r="I599" t="s">
        <v>143</v>
      </c>
      <c r="J599" t="s">
        <v>144</v>
      </c>
      <c r="K599" t="s">
        <v>145</v>
      </c>
      <c r="L599" t="s">
        <v>1359</v>
      </c>
      <c r="M599" t="s">
        <v>63</v>
      </c>
      <c r="N599" t="s">
        <v>110</v>
      </c>
      <c r="O599" t="s">
        <v>94</v>
      </c>
      <c r="P599" t="s">
        <v>95</v>
      </c>
      <c r="Q599" t="s">
        <v>66</v>
      </c>
      <c r="R599" t="s">
        <v>49</v>
      </c>
      <c r="S599">
        <v>1</v>
      </c>
      <c r="T599" s="14">
        <v>91.98</v>
      </c>
      <c r="U599" s="7">
        <v>12</v>
      </c>
      <c r="V599" s="7">
        <v>22</v>
      </c>
      <c r="W599" s="14">
        <v>125.98</v>
      </c>
      <c r="X599" s="14">
        <v>306.60000000000002</v>
      </c>
      <c r="Y599" s="16">
        <v>10</v>
      </c>
      <c r="Z599" s="12">
        <v>275.94</v>
      </c>
      <c r="AA599" s="5">
        <v>149.96</v>
      </c>
      <c r="AB599" s="18">
        <v>54.35</v>
      </c>
      <c r="AC599" t="s">
        <v>50</v>
      </c>
      <c r="AD599" t="s">
        <v>51</v>
      </c>
      <c r="AE599" t="s">
        <v>68</v>
      </c>
      <c r="AF599">
        <v>5</v>
      </c>
      <c r="AG599" t="s">
        <v>53</v>
      </c>
    </row>
    <row r="600" spans="1:33">
      <c r="A600" t="s">
        <v>1360</v>
      </c>
      <c r="B600" s="10">
        <v>45857</v>
      </c>
      <c r="C600" s="3" t="s">
        <v>128</v>
      </c>
      <c r="D600" t="s">
        <v>71</v>
      </c>
      <c r="E600" t="s">
        <v>114</v>
      </c>
      <c r="F600" t="s">
        <v>73</v>
      </c>
      <c r="G600" t="s">
        <v>74</v>
      </c>
      <c r="H600" t="s">
        <v>75</v>
      </c>
      <c r="I600" t="s">
        <v>76</v>
      </c>
      <c r="J600" t="s">
        <v>77</v>
      </c>
      <c r="K600" t="s">
        <v>78</v>
      </c>
      <c r="L600" t="s">
        <v>1361</v>
      </c>
      <c r="M600" t="s">
        <v>63</v>
      </c>
      <c r="N600" t="s">
        <v>110</v>
      </c>
      <c r="O600" t="s">
        <v>176</v>
      </c>
      <c r="P600" t="s">
        <v>177</v>
      </c>
      <c r="Q600" t="s">
        <v>66</v>
      </c>
      <c r="R600" t="s">
        <v>84</v>
      </c>
      <c r="S600">
        <v>3</v>
      </c>
      <c r="T600" s="14">
        <v>60.84</v>
      </c>
      <c r="U600" s="7">
        <v>12</v>
      </c>
      <c r="V600" s="7">
        <v>22</v>
      </c>
      <c r="W600" s="14">
        <v>94.84</v>
      </c>
      <c r="X600" s="14">
        <v>202.8</v>
      </c>
      <c r="Y600" s="16">
        <v>15</v>
      </c>
      <c r="Z600" s="12">
        <v>517.14</v>
      </c>
      <c r="AA600" s="5">
        <v>232.62</v>
      </c>
      <c r="AB600" s="18">
        <v>44.98</v>
      </c>
      <c r="AC600" t="s">
        <v>111</v>
      </c>
      <c r="AD600" t="s">
        <v>51</v>
      </c>
      <c r="AE600" t="s">
        <v>68</v>
      </c>
      <c r="AF600">
        <v>5</v>
      </c>
      <c r="AG600" t="s">
        <v>53</v>
      </c>
    </row>
    <row r="601" spans="1:33">
      <c r="A601" t="s">
        <v>1362</v>
      </c>
      <c r="B601" s="10">
        <v>45677</v>
      </c>
      <c r="C601" s="3" t="s">
        <v>194</v>
      </c>
      <c r="D601" t="s">
        <v>206</v>
      </c>
      <c r="E601" t="s">
        <v>152</v>
      </c>
      <c r="F601" t="s">
        <v>91</v>
      </c>
      <c r="G601" t="s">
        <v>92</v>
      </c>
      <c r="H601" t="s">
        <v>133</v>
      </c>
      <c r="I601" t="s">
        <v>134</v>
      </c>
      <c r="J601" t="s">
        <v>135</v>
      </c>
      <c r="K601" t="s">
        <v>42</v>
      </c>
      <c r="L601" t="s">
        <v>1363</v>
      </c>
      <c r="M601" t="s">
        <v>63</v>
      </c>
      <c r="N601" t="s">
        <v>110</v>
      </c>
      <c r="O601" t="s">
        <v>82</v>
      </c>
      <c r="P601" t="s">
        <v>83</v>
      </c>
      <c r="Q601" t="s">
        <v>66</v>
      </c>
      <c r="R601" t="s">
        <v>67</v>
      </c>
      <c r="S601">
        <v>1</v>
      </c>
      <c r="T601" s="14">
        <v>71.7</v>
      </c>
      <c r="U601" s="7">
        <v>12</v>
      </c>
      <c r="V601" s="7">
        <v>22</v>
      </c>
      <c r="W601" s="14">
        <v>105.7</v>
      </c>
      <c r="X601" s="14">
        <v>239</v>
      </c>
      <c r="Y601" s="16">
        <v>0</v>
      </c>
      <c r="Z601" s="12">
        <v>239</v>
      </c>
      <c r="AA601" s="5">
        <v>133.30000000000001</v>
      </c>
      <c r="AB601" s="18">
        <v>55.77</v>
      </c>
      <c r="AC601" t="s">
        <v>111</v>
      </c>
      <c r="AD601" t="s">
        <v>51</v>
      </c>
      <c r="AE601" t="s">
        <v>68</v>
      </c>
      <c r="AF601">
        <v>5</v>
      </c>
      <c r="AG601" t="s">
        <v>53</v>
      </c>
    </row>
    <row r="602" spans="1:33">
      <c r="A602" t="s">
        <v>1364</v>
      </c>
      <c r="B602" s="10">
        <v>45759</v>
      </c>
      <c r="C602" s="3" t="s">
        <v>219</v>
      </c>
      <c r="D602" t="s">
        <v>71</v>
      </c>
      <c r="E602" t="s">
        <v>280</v>
      </c>
      <c r="F602" t="s">
        <v>131</v>
      </c>
      <c r="G602" t="s">
        <v>132</v>
      </c>
      <c r="H602" t="s">
        <v>133</v>
      </c>
      <c r="I602" t="s">
        <v>134</v>
      </c>
      <c r="J602" t="s">
        <v>135</v>
      </c>
      <c r="K602" t="s">
        <v>42</v>
      </c>
      <c r="L602" t="s">
        <v>1365</v>
      </c>
      <c r="M602" t="s">
        <v>80</v>
      </c>
      <c r="N602" t="s">
        <v>110</v>
      </c>
      <c r="O602" t="s">
        <v>82</v>
      </c>
      <c r="P602" t="s">
        <v>83</v>
      </c>
      <c r="Q602" t="s">
        <v>66</v>
      </c>
      <c r="R602" t="s">
        <v>67</v>
      </c>
      <c r="S602">
        <v>4</v>
      </c>
      <c r="T602" s="14">
        <v>71.7</v>
      </c>
      <c r="U602" s="7">
        <v>12</v>
      </c>
      <c r="V602" s="7">
        <v>22</v>
      </c>
      <c r="W602" s="14">
        <v>105.7</v>
      </c>
      <c r="X602" s="14">
        <v>239</v>
      </c>
      <c r="Y602" s="16">
        <v>10</v>
      </c>
      <c r="Z602" s="12">
        <v>860.4</v>
      </c>
      <c r="AA602" s="5">
        <v>437.6</v>
      </c>
      <c r="AB602" s="18">
        <v>50.86</v>
      </c>
      <c r="AC602" t="s">
        <v>104</v>
      </c>
      <c r="AD602" t="s">
        <v>51</v>
      </c>
      <c r="AE602" t="s">
        <v>68</v>
      </c>
      <c r="AF602">
        <v>5</v>
      </c>
      <c r="AG602" t="s">
        <v>53</v>
      </c>
    </row>
    <row r="603" spans="1:33">
      <c r="A603" t="s">
        <v>1366</v>
      </c>
      <c r="B603" s="10">
        <v>45720</v>
      </c>
      <c r="C603" s="3" t="s">
        <v>155</v>
      </c>
      <c r="D603" t="s">
        <v>156</v>
      </c>
      <c r="E603" t="s">
        <v>108</v>
      </c>
      <c r="F603" t="s">
        <v>91</v>
      </c>
      <c r="G603" t="s">
        <v>38</v>
      </c>
      <c r="H603" t="s">
        <v>133</v>
      </c>
      <c r="I603" t="s">
        <v>134</v>
      </c>
      <c r="J603" t="s">
        <v>135</v>
      </c>
      <c r="K603" t="s">
        <v>42</v>
      </c>
      <c r="L603" t="s">
        <v>1367</v>
      </c>
      <c r="M603" t="s">
        <v>63</v>
      </c>
      <c r="N603" t="s">
        <v>45</v>
      </c>
      <c r="O603" t="s">
        <v>101</v>
      </c>
      <c r="P603" t="s">
        <v>102</v>
      </c>
      <c r="Q603" t="s">
        <v>103</v>
      </c>
      <c r="R603" t="s">
        <v>67</v>
      </c>
      <c r="S603">
        <v>3</v>
      </c>
      <c r="T603" s="14">
        <v>44.7</v>
      </c>
      <c r="U603" s="7">
        <v>12</v>
      </c>
      <c r="V603" s="7">
        <v>22</v>
      </c>
      <c r="W603" s="14">
        <v>78.7</v>
      </c>
      <c r="X603" s="14">
        <v>149</v>
      </c>
      <c r="Y603" s="16">
        <v>0</v>
      </c>
      <c r="Z603" s="12">
        <v>447</v>
      </c>
      <c r="AA603" s="5">
        <v>210.9</v>
      </c>
      <c r="AB603" s="18">
        <v>47.18</v>
      </c>
      <c r="AC603" t="s">
        <v>111</v>
      </c>
      <c r="AD603" t="s">
        <v>86</v>
      </c>
      <c r="AE603" t="s">
        <v>105</v>
      </c>
      <c r="AF603">
        <v>4</v>
      </c>
      <c r="AG603" t="s">
        <v>53</v>
      </c>
    </row>
    <row r="604" spans="1:33">
      <c r="A604" t="s">
        <v>1368</v>
      </c>
      <c r="B604" s="10">
        <v>45994</v>
      </c>
      <c r="C604" s="3" t="s">
        <v>171</v>
      </c>
      <c r="D604" t="s">
        <v>129</v>
      </c>
      <c r="E604" t="s">
        <v>149</v>
      </c>
      <c r="F604" t="s">
        <v>37</v>
      </c>
      <c r="G604" t="s">
        <v>92</v>
      </c>
      <c r="H604" t="s">
        <v>115</v>
      </c>
      <c r="I604" t="s">
        <v>116</v>
      </c>
      <c r="J604" t="s">
        <v>117</v>
      </c>
      <c r="K604" t="s">
        <v>61</v>
      </c>
      <c r="L604" t="s">
        <v>1369</v>
      </c>
      <c r="M604" t="s">
        <v>80</v>
      </c>
      <c r="N604" t="s">
        <v>45</v>
      </c>
      <c r="O604" t="s">
        <v>82</v>
      </c>
      <c r="P604" t="s">
        <v>83</v>
      </c>
      <c r="Q604" t="s">
        <v>66</v>
      </c>
      <c r="R604" t="s">
        <v>84</v>
      </c>
      <c r="S604">
        <v>3</v>
      </c>
      <c r="T604" s="14">
        <v>86.04</v>
      </c>
      <c r="U604" s="7">
        <v>12</v>
      </c>
      <c r="V604" s="7">
        <v>22</v>
      </c>
      <c r="W604" s="14">
        <v>120.04</v>
      </c>
      <c r="X604" s="14">
        <v>286.8</v>
      </c>
      <c r="Y604" s="16">
        <v>0</v>
      </c>
      <c r="Z604" s="12">
        <v>860.4</v>
      </c>
      <c r="AA604" s="5">
        <v>500.28</v>
      </c>
      <c r="AB604" s="18">
        <v>58.15</v>
      </c>
      <c r="AC604" t="s">
        <v>111</v>
      </c>
      <c r="AD604" t="s">
        <v>86</v>
      </c>
      <c r="AE604" t="s">
        <v>52</v>
      </c>
      <c r="AF604">
        <v>5</v>
      </c>
      <c r="AG604" t="s">
        <v>53</v>
      </c>
    </row>
    <row r="605" spans="1:33">
      <c r="A605" t="s">
        <v>1370</v>
      </c>
      <c r="B605" s="10">
        <v>45833</v>
      </c>
      <c r="C605" s="3" t="s">
        <v>160</v>
      </c>
      <c r="D605" t="s">
        <v>129</v>
      </c>
      <c r="E605" t="s">
        <v>174</v>
      </c>
      <c r="F605" t="s">
        <v>131</v>
      </c>
      <c r="G605" t="s">
        <v>132</v>
      </c>
      <c r="H605" t="s">
        <v>75</v>
      </c>
      <c r="I605" t="s">
        <v>76</v>
      </c>
      <c r="J605" t="s">
        <v>77</v>
      </c>
      <c r="K605" t="s">
        <v>78</v>
      </c>
      <c r="L605" t="s">
        <v>1371</v>
      </c>
      <c r="M605" t="s">
        <v>63</v>
      </c>
      <c r="N605" t="s">
        <v>110</v>
      </c>
      <c r="O605" t="s">
        <v>162</v>
      </c>
      <c r="P605" t="s">
        <v>163</v>
      </c>
      <c r="Q605" t="s">
        <v>48</v>
      </c>
      <c r="R605" t="s">
        <v>67</v>
      </c>
      <c r="S605">
        <v>3</v>
      </c>
      <c r="T605" s="14">
        <v>74.7</v>
      </c>
      <c r="U605" s="7">
        <v>12</v>
      </c>
      <c r="V605" s="7">
        <v>22</v>
      </c>
      <c r="W605" s="14">
        <v>108.7</v>
      </c>
      <c r="X605" s="14">
        <v>249</v>
      </c>
      <c r="Y605" s="16">
        <v>5</v>
      </c>
      <c r="Z605" s="12">
        <v>709.65</v>
      </c>
      <c r="AA605" s="5">
        <v>383.55</v>
      </c>
      <c r="AB605" s="18">
        <v>54.05</v>
      </c>
      <c r="AC605" t="s">
        <v>85</v>
      </c>
      <c r="AD605" t="s">
        <v>86</v>
      </c>
      <c r="AE605" t="s">
        <v>126</v>
      </c>
      <c r="AF605">
        <v>4</v>
      </c>
      <c r="AG605" t="s">
        <v>53</v>
      </c>
    </row>
    <row r="606" spans="1:33">
      <c r="A606" t="s">
        <v>1372</v>
      </c>
      <c r="B606" s="10">
        <v>46011</v>
      </c>
      <c r="C606" s="3" t="s">
        <v>88</v>
      </c>
      <c r="D606" t="s">
        <v>71</v>
      </c>
      <c r="E606" t="s">
        <v>149</v>
      </c>
      <c r="F606" t="s">
        <v>37</v>
      </c>
      <c r="G606" t="s">
        <v>92</v>
      </c>
      <c r="H606" t="s">
        <v>133</v>
      </c>
      <c r="I606" t="s">
        <v>134</v>
      </c>
      <c r="J606" t="s">
        <v>135</v>
      </c>
      <c r="K606" t="s">
        <v>42</v>
      </c>
      <c r="L606" t="s">
        <v>1373</v>
      </c>
      <c r="M606" t="s">
        <v>80</v>
      </c>
      <c r="N606" t="s">
        <v>81</v>
      </c>
      <c r="O606" t="s">
        <v>452</v>
      </c>
      <c r="P606" t="s">
        <v>453</v>
      </c>
      <c r="Q606" t="s">
        <v>215</v>
      </c>
      <c r="R606" t="s">
        <v>67</v>
      </c>
      <c r="S606">
        <v>4</v>
      </c>
      <c r="T606" s="14">
        <v>98.7</v>
      </c>
      <c r="U606" s="7">
        <v>12</v>
      </c>
      <c r="V606" s="7">
        <v>22</v>
      </c>
      <c r="W606" s="14">
        <v>132.69999999999999</v>
      </c>
      <c r="X606" s="14">
        <v>329</v>
      </c>
      <c r="Y606" s="16">
        <v>15</v>
      </c>
      <c r="Z606" s="12">
        <v>1118.5999999999999</v>
      </c>
      <c r="AA606" s="5">
        <v>587.79999999999995</v>
      </c>
      <c r="AB606" s="18">
        <v>52.55</v>
      </c>
      <c r="AC606" t="s">
        <v>111</v>
      </c>
      <c r="AD606" t="s">
        <v>158</v>
      </c>
      <c r="AE606" t="s">
        <v>68</v>
      </c>
      <c r="AF606">
        <v>5</v>
      </c>
      <c r="AG606" t="s">
        <v>53</v>
      </c>
    </row>
    <row r="607" spans="1:33">
      <c r="A607" t="s">
        <v>1374</v>
      </c>
      <c r="B607" s="10">
        <v>46002</v>
      </c>
      <c r="C607" s="3" t="s">
        <v>185</v>
      </c>
      <c r="D607" t="s">
        <v>56</v>
      </c>
      <c r="E607" t="s">
        <v>149</v>
      </c>
      <c r="F607" t="s">
        <v>37</v>
      </c>
      <c r="G607" t="s">
        <v>92</v>
      </c>
      <c r="H607" t="s">
        <v>58</v>
      </c>
      <c r="I607" t="s">
        <v>59</v>
      </c>
      <c r="J607" t="s">
        <v>60</v>
      </c>
      <c r="K607" t="s">
        <v>61</v>
      </c>
      <c r="L607" t="s">
        <v>1375</v>
      </c>
      <c r="M607" t="s">
        <v>44</v>
      </c>
      <c r="N607" t="s">
        <v>110</v>
      </c>
      <c r="O607" t="s">
        <v>64</v>
      </c>
      <c r="P607" t="s">
        <v>65</v>
      </c>
      <c r="Q607" t="s">
        <v>66</v>
      </c>
      <c r="R607" t="s">
        <v>67</v>
      </c>
      <c r="S607">
        <v>3</v>
      </c>
      <c r="T607" s="14">
        <v>44.7</v>
      </c>
      <c r="U607" s="7">
        <v>12</v>
      </c>
      <c r="V607" s="7">
        <v>22</v>
      </c>
      <c r="W607" s="14">
        <v>78.7</v>
      </c>
      <c r="X607" s="14">
        <v>149</v>
      </c>
      <c r="Y607" s="16">
        <v>5</v>
      </c>
      <c r="Z607" s="12">
        <v>424.65</v>
      </c>
      <c r="AA607" s="5">
        <v>188.55</v>
      </c>
      <c r="AB607" s="18">
        <v>44.4</v>
      </c>
      <c r="AC607" t="s">
        <v>50</v>
      </c>
      <c r="AD607" t="s">
        <v>51</v>
      </c>
      <c r="AE607" t="s">
        <v>68</v>
      </c>
      <c r="AF607">
        <v>5</v>
      </c>
      <c r="AG607" t="s">
        <v>53</v>
      </c>
    </row>
    <row r="608" spans="1:33">
      <c r="A608" t="s">
        <v>1376</v>
      </c>
      <c r="B608" s="10">
        <v>45830</v>
      </c>
      <c r="C608" s="3" t="s">
        <v>171</v>
      </c>
      <c r="D608" t="s">
        <v>89</v>
      </c>
      <c r="E608" t="s">
        <v>174</v>
      </c>
      <c r="F608" t="s">
        <v>131</v>
      </c>
      <c r="G608" t="s">
        <v>132</v>
      </c>
      <c r="H608" t="s">
        <v>58</v>
      </c>
      <c r="I608" t="s">
        <v>59</v>
      </c>
      <c r="J608" t="s">
        <v>60</v>
      </c>
      <c r="K608" t="s">
        <v>61</v>
      </c>
      <c r="L608" t="s">
        <v>1377</v>
      </c>
      <c r="M608" t="s">
        <v>44</v>
      </c>
      <c r="N608" t="s">
        <v>110</v>
      </c>
      <c r="O608" t="s">
        <v>213</v>
      </c>
      <c r="P608" t="s">
        <v>214</v>
      </c>
      <c r="Q608" t="s">
        <v>215</v>
      </c>
      <c r="R608" t="s">
        <v>67</v>
      </c>
      <c r="S608">
        <v>1</v>
      </c>
      <c r="T608" s="14">
        <v>89.7</v>
      </c>
      <c r="U608" s="7">
        <v>12</v>
      </c>
      <c r="V608" s="7">
        <v>22</v>
      </c>
      <c r="W608" s="14">
        <v>123.7</v>
      </c>
      <c r="X608" s="14">
        <v>299</v>
      </c>
      <c r="Y608" s="16">
        <v>10</v>
      </c>
      <c r="Z608" s="12">
        <v>269.10000000000002</v>
      </c>
      <c r="AA608" s="5">
        <v>145.4</v>
      </c>
      <c r="AB608" s="18">
        <v>54.03</v>
      </c>
      <c r="AC608" t="s">
        <v>111</v>
      </c>
      <c r="AD608" t="s">
        <v>86</v>
      </c>
      <c r="AE608" t="s">
        <v>105</v>
      </c>
      <c r="AF608">
        <v>4</v>
      </c>
      <c r="AG608" t="s">
        <v>53</v>
      </c>
    </row>
    <row r="609" spans="1:33">
      <c r="A609" t="s">
        <v>1378</v>
      </c>
      <c r="B609" s="10">
        <v>45722</v>
      </c>
      <c r="C609" s="3" t="s">
        <v>88</v>
      </c>
      <c r="D609" t="s">
        <v>56</v>
      </c>
      <c r="E609" t="s">
        <v>108</v>
      </c>
      <c r="F609" t="s">
        <v>91</v>
      </c>
      <c r="G609" t="s">
        <v>38</v>
      </c>
      <c r="H609" t="s">
        <v>58</v>
      </c>
      <c r="I609" t="s">
        <v>59</v>
      </c>
      <c r="J609" t="s">
        <v>60</v>
      </c>
      <c r="K609" t="s">
        <v>61</v>
      </c>
      <c r="L609" t="s">
        <v>1379</v>
      </c>
      <c r="M609" t="s">
        <v>63</v>
      </c>
      <c r="N609" t="s">
        <v>110</v>
      </c>
      <c r="O609" t="s">
        <v>189</v>
      </c>
      <c r="P609" t="s">
        <v>190</v>
      </c>
      <c r="Q609" t="s">
        <v>48</v>
      </c>
      <c r="R609" t="s">
        <v>67</v>
      </c>
      <c r="S609">
        <v>3</v>
      </c>
      <c r="T609" s="14">
        <v>47.7</v>
      </c>
      <c r="U609" s="7">
        <v>12</v>
      </c>
      <c r="V609" s="7">
        <v>22</v>
      </c>
      <c r="W609" s="14">
        <v>81.7</v>
      </c>
      <c r="X609" s="14">
        <v>159</v>
      </c>
      <c r="Y609" s="16">
        <v>0</v>
      </c>
      <c r="Z609" s="12">
        <v>477</v>
      </c>
      <c r="AA609" s="5">
        <v>231.9</v>
      </c>
      <c r="AB609" s="18">
        <v>48.62</v>
      </c>
      <c r="AC609" t="s">
        <v>85</v>
      </c>
      <c r="AD609" t="s">
        <v>158</v>
      </c>
      <c r="AE609" t="s">
        <v>68</v>
      </c>
      <c r="AF609">
        <v>4</v>
      </c>
      <c r="AG609" t="s">
        <v>53</v>
      </c>
    </row>
    <row r="610" spans="1:33">
      <c r="A610" t="s">
        <v>1380</v>
      </c>
      <c r="B610" s="10">
        <v>45745</v>
      </c>
      <c r="C610" s="3" t="s">
        <v>310</v>
      </c>
      <c r="D610" t="s">
        <v>71</v>
      </c>
      <c r="E610" t="s">
        <v>108</v>
      </c>
      <c r="F610" t="s">
        <v>91</v>
      </c>
      <c r="G610" t="s">
        <v>38</v>
      </c>
      <c r="H610" t="s">
        <v>133</v>
      </c>
      <c r="I610" t="s">
        <v>134</v>
      </c>
      <c r="J610" t="s">
        <v>135</v>
      </c>
      <c r="K610" t="s">
        <v>42</v>
      </c>
      <c r="L610" t="s">
        <v>1381</v>
      </c>
      <c r="M610" t="s">
        <v>80</v>
      </c>
      <c r="N610" t="s">
        <v>81</v>
      </c>
      <c r="O610" t="s">
        <v>189</v>
      </c>
      <c r="P610" t="s">
        <v>190</v>
      </c>
      <c r="Q610" t="s">
        <v>48</v>
      </c>
      <c r="R610" t="s">
        <v>49</v>
      </c>
      <c r="S610">
        <v>4</v>
      </c>
      <c r="T610" s="14">
        <v>66.78</v>
      </c>
      <c r="U610" s="7">
        <v>12</v>
      </c>
      <c r="V610" s="7">
        <v>22</v>
      </c>
      <c r="W610" s="14">
        <v>100.78</v>
      </c>
      <c r="X610" s="14">
        <v>222.6</v>
      </c>
      <c r="Y610" s="16">
        <v>15</v>
      </c>
      <c r="Z610" s="12">
        <v>756.84</v>
      </c>
      <c r="AA610" s="5">
        <v>353.72</v>
      </c>
      <c r="AB610" s="18">
        <v>46.74</v>
      </c>
      <c r="AC610" t="s">
        <v>104</v>
      </c>
      <c r="AD610" t="s">
        <v>86</v>
      </c>
      <c r="AE610" t="s">
        <v>105</v>
      </c>
      <c r="AF610">
        <v>5</v>
      </c>
      <c r="AG610" t="s">
        <v>53</v>
      </c>
    </row>
    <row r="611" spans="1:33">
      <c r="A611" t="s">
        <v>1382</v>
      </c>
      <c r="B611" s="10">
        <v>45752</v>
      </c>
      <c r="C611" s="3" t="s">
        <v>70</v>
      </c>
      <c r="D611" t="s">
        <v>71</v>
      </c>
      <c r="E611" t="s">
        <v>280</v>
      </c>
      <c r="F611" t="s">
        <v>131</v>
      </c>
      <c r="G611" t="s">
        <v>132</v>
      </c>
      <c r="H611" t="s">
        <v>39</v>
      </c>
      <c r="I611" t="s">
        <v>2143</v>
      </c>
      <c r="J611" t="s">
        <v>41</v>
      </c>
      <c r="K611" t="s">
        <v>42</v>
      </c>
      <c r="L611" t="s">
        <v>1383</v>
      </c>
      <c r="M611" t="s">
        <v>63</v>
      </c>
      <c r="N611" t="s">
        <v>81</v>
      </c>
      <c r="O611" t="s">
        <v>189</v>
      </c>
      <c r="P611" t="s">
        <v>190</v>
      </c>
      <c r="Q611" t="s">
        <v>48</v>
      </c>
      <c r="R611" t="s">
        <v>84</v>
      </c>
      <c r="S611">
        <v>3</v>
      </c>
      <c r="T611" s="14">
        <v>57.24</v>
      </c>
      <c r="U611" s="7">
        <v>12</v>
      </c>
      <c r="V611" s="7">
        <v>22</v>
      </c>
      <c r="W611" s="14">
        <v>91.240000000000009</v>
      </c>
      <c r="X611" s="14">
        <v>190.8</v>
      </c>
      <c r="Y611" s="16">
        <v>15</v>
      </c>
      <c r="Z611" s="12">
        <v>486.54</v>
      </c>
      <c r="AA611" s="5">
        <v>212.82</v>
      </c>
      <c r="AB611" s="18">
        <v>43.74</v>
      </c>
      <c r="AC611" t="s">
        <v>85</v>
      </c>
      <c r="AD611" t="s">
        <v>158</v>
      </c>
      <c r="AE611" t="s">
        <v>126</v>
      </c>
      <c r="AF611">
        <v>5</v>
      </c>
      <c r="AG611" t="s">
        <v>53</v>
      </c>
    </row>
    <row r="612" spans="1:33">
      <c r="A612" t="s">
        <v>1384</v>
      </c>
      <c r="B612" s="10">
        <v>45803</v>
      </c>
      <c r="C612" s="3" t="s">
        <v>113</v>
      </c>
      <c r="D612" t="s">
        <v>206</v>
      </c>
      <c r="E612" t="s">
        <v>130</v>
      </c>
      <c r="F612" t="s">
        <v>131</v>
      </c>
      <c r="G612" t="s">
        <v>132</v>
      </c>
      <c r="H612" t="s">
        <v>115</v>
      </c>
      <c r="I612" t="s">
        <v>116</v>
      </c>
      <c r="J612" t="s">
        <v>117</v>
      </c>
      <c r="K612" t="s">
        <v>61</v>
      </c>
      <c r="L612" t="s">
        <v>1385</v>
      </c>
      <c r="M612" t="s">
        <v>44</v>
      </c>
      <c r="N612" t="s">
        <v>45</v>
      </c>
      <c r="O612" t="s">
        <v>46</v>
      </c>
      <c r="P612" t="s">
        <v>47</v>
      </c>
      <c r="Q612" t="s">
        <v>48</v>
      </c>
      <c r="R612" t="s">
        <v>49</v>
      </c>
      <c r="S612">
        <v>2</v>
      </c>
      <c r="T612" s="14">
        <v>108.78</v>
      </c>
      <c r="U612" s="7">
        <v>12</v>
      </c>
      <c r="V612" s="7">
        <v>22</v>
      </c>
      <c r="W612" s="14">
        <v>142.78</v>
      </c>
      <c r="X612" s="14">
        <v>362.6</v>
      </c>
      <c r="Y612" s="16">
        <v>0</v>
      </c>
      <c r="Z612" s="12">
        <v>725.2</v>
      </c>
      <c r="AA612" s="5">
        <v>439.64</v>
      </c>
      <c r="AB612" s="18">
        <v>60.62</v>
      </c>
      <c r="AC612" t="s">
        <v>85</v>
      </c>
      <c r="AD612" t="s">
        <v>86</v>
      </c>
      <c r="AE612" t="s">
        <v>105</v>
      </c>
      <c r="AF612">
        <v>5</v>
      </c>
      <c r="AG612" t="s">
        <v>53</v>
      </c>
    </row>
    <row r="613" spans="1:33">
      <c r="A613" t="s">
        <v>1386</v>
      </c>
      <c r="B613" s="10">
        <v>45867</v>
      </c>
      <c r="C613" s="3" t="s">
        <v>219</v>
      </c>
      <c r="D613" t="s">
        <v>156</v>
      </c>
      <c r="E613" t="s">
        <v>114</v>
      </c>
      <c r="F613" t="s">
        <v>73</v>
      </c>
      <c r="G613" t="s">
        <v>74</v>
      </c>
      <c r="H613" t="s">
        <v>133</v>
      </c>
      <c r="I613" t="s">
        <v>134</v>
      </c>
      <c r="J613" t="s">
        <v>135</v>
      </c>
      <c r="K613" t="s">
        <v>42</v>
      </c>
      <c r="L613" t="s">
        <v>1387</v>
      </c>
      <c r="M613" t="s">
        <v>63</v>
      </c>
      <c r="N613" t="s">
        <v>81</v>
      </c>
      <c r="O613" t="s">
        <v>176</v>
      </c>
      <c r="P613" t="s">
        <v>177</v>
      </c>
      <c r="Q613" t="s">
        <v>66</v>
      </c>
      <c r="R613" t="s">
        <v>67</v>
      </c>
      <c r="S613">
        <v>1</v>
      </c>
      <c r="T613" s="14">
        <v>50.7</v>
      </c>
      <c r="U613" s="7">
        <v>12</v>
      </c>
      <c r="V613" s="7">
        <v>22</v>
      </c>
      <c r="W613" s="14">
        <v>84.7</v>
      </c>
      <c r="X613" s="14">
        <v>169</v>
      </c>
      <c r="Y613" s="16">
        <v>0</v>
      </c>
      <c r="Z613" s="12">
        <v>169</v>
      </c>
      <c r="AA613" s="5">
        <v>84.3</v>
      </c>
      <c r="AB613" s="18">
        <v>49.88</v>
      </c>
      <c r="AC613" t="s">
        <v>85</v>
      </c>
      <c r="AD613" t="s">
        <v>86</v>
      </c>
      <c r="AE613" t="s">
        <v>96</v>
      </c>
      <c r="AF613">
        <v>5</v>
      </c>
      <c r="AG613" t="s">
        <v>53</v>
      </c>
    </row>
    <row r="614" spans="1:33">
      <c r="A614" t="s">
        <v>1388</v>
      </c>
      <c r="B614" s="10">
        <v>46000</v>
      </c>
      <c r="C614" s="3" t="s">
        <v>128</v>
      </c>
      <c r="D614" t="s">
        <v>156</v>
      </c>
      <c r="E614" t="s">
        <v>149</v>
      </c>
      <c r="F614" t="s">
        <v>37</v>
      </c>
      <c r="G614" t="s">
        <v>92</v>
      </c>
      <c r="H614" t="s">
        <v>133</v>
      </c>
      <c r="I614" t="s">
        <v>134</v>
      </c>
      <c r="J614" t="s">
        <v>135</v>
      </c>
      <c r="K614" t="s">
        <v>42</v>
      </c>
      <c r="L614" t="s">
        <v>1389</v>
      </c>
      <c r="M614" t="s">
        <v>44</v>
      </c>
      <c r="N614" t="s">
        <v>110</v>
      </c>
      <c r="O614" t="s">
        <v>94</v>
      </c>
      <c r="P614" t="s">
        <v>95</v>
      </c>
      <c r="Q614" t="s">
        <v>66</v>
      </c>
      <c r="R614" t="s">
        <v>67</v>
      </c>
      <c r="S614">
        <v>1</v>
      </c>
      <c r="T614" s="14">
        <v>65.7</v>
      </c>
      <c r="U614" s="7">
        <v>12</v>
      </c>
      <c r="V614" s="7">
        <v>22</v>
      </c>
      <c r="W614" s="14">
        <v>99.7</v>
      </c>
      <c r="X614" s="14">
        <v>219</v>
      </c>
      <c r="Y614" s="16">
        <v>0</v>
      </c>
      <c r="Z614" s="12">
        <v>219</v>
      </c>
      <c r="AA614" s="5">
        <v>119.3</v>
      </c>
      <c r="AB614" s="18">
        <v>54.47</v>
      </c>
      <c r="AC614" t="s">
        <v>85</v>
      </c>
      <c r="AD614" t="s">
        <v>158</v>
      </c>
      <c r="AE614" t="s">
        <v>52</v>
      </c>
      <c r="AF614">
        <v>5</v>
      </c>
      <c r="AG614" t="s">
        <v>53</v>
      </c>
    </row>
    <row r="615" spans="1:33">
      <c r="A615" t="s">
        <v>1390</v>
      </c>
      <c r="B615" s="10">
        <v>45848</v>
      </c>
      <c r="C615" s="3" t="s">
        <v>34</v>
      </c>
      <c r="D615" t="s">
        <v>56</v>
      </c>
      <c r="E615" t="s">
        <v>114</v>
      </c>
      <c r="F615" t="s">
        <v>73</v>
      </c>
      <c r="G615" t="s">
        <v>74</v>
      </c>
      <c r="H615" t="s">
        <v>75</v>
      </c>
      <c r="I615" t="s">
        <v>76</v>
      </c>
      <c r="J615" t="s">
        <v>77</v>
      </c>
      <c r="K615" t="s">
        <v>78</v>
      </c>
      <c r="L615" t="s">
        <v>1391</v>
      </c>
      <c r="M615" t="s">
        <v>44</v>
      </c>
      <c r="N615" t="s">
        <v>81</v>
      </c>
      <c r="O615" t="s">
        <v>176</v>
      </c>
      <c r="P615" t="s">
        <v>177</v>
      </c>
      <c r="Q615" t="s">
        <v>66</v>
      </c>
      <c r="R615" t="s">
        <v>84</v>
      </c>
      <c r="S615">
        <v>1</v>
      </c>
      <c r="T615" s="14">
        <v>60.84</v>
      </c>
      <c r="U615" s="7">
        <v>12</v>
      </c>
      <c r="V615" s="7">
        <v>22</v>
      </c>
      <c r="W615" s="14">
        <v>94.84</v>
      </c>
      <c r="X615" s="14">
        <v>202.8</v>
      </c>
      <c r="Y615" s="16">
        <v>5</v>
      </c>
      <c r="Z615" s="12">
        <v>192.66</v>
      </c>
      <c r="AA615" s="5">
        <v>97.82</v>
      </c>
      <c r="AB615" s="18">
        <v>50.77</v>
      </c>
      <c r="AC615" t="s">
        <v>50</v>
      </c>
      <c r="AD615" t="s">
        <v>51</v>
      </c>
      <c r="AE615" t="s">
        <v>68</v>
      </c>
      <c r="AF615">
        <v>5</v>
      </c>
      <c r="AG615" t="s">
        <v>53</v>
      </c>
    </row>
    <row r="616" spans="1:33">
      <c r="A616" t="s">
        <v>1392</v>
      </c>
      <c r="B616" s="10">
        <v>45832</v>
      </c>
      <c r="C616" s="3" t="s">
        <v>155</v>
      </c>
      <c r="D616" t="s">
        <v>156</v>
      </c>
      <c r="E616" t="s">
        <v>174</v>
      </c>
      <c r="F616" t="s">
        <v>131</v>
      </c>
      <c r="G616" t="s">
        <v>132</v>
      </c>
      <c r="H616" t="s">
        <v>142</v>
      </c>
      <c r="I616" t="s">
        <v>143</v>
      </c>
      <c r="J616" t="s">
        <v>144</v>
      </c>
      <c r="K616" t="s">
        <v>145</v>
      </c>
      <c r="L616" t="s">
        <v>1393</v>
      </c>
      <c r="M616" t="s">
        <v>63</v>
      </c>
      <c r="N616" t="s">
        <v>45</v>
      </c>
      <c r="O616" t="s">
        <v>94</v>
      </c>
      <c r="P616" t="s">
        <v>95</v>
      </c>
      <c r="Q616" t="s">
        <v>66</v>
      </c>
      <c r="R616" t="s">
        <v>49</v>
      </c>
      <c r="S616">
        <v>2</v>
      </c>
      <c r="T616" s="14">
        <v>91.98</v>
      </c>
      <c r="U616" s="7">
        <v>12</v>
      </c>
      <c r="V616" s="7">
        <v>22</v>
      </c>
      <c r="W616" s="14">
        <v>125.98</v>
      </c>
      <c r="X616" s="14">
        <v>306.60000000000002</v>
      </c>
      <c r="Y616" s="16">
        <v>0</v>
      </c>
      <c r="Z616" s="12">
        <v>613.20000000000005</v>
      </c>
      <c r="AA616" s="5">
        <v>361.24</v>
      </c>
      <c r="AB616" s="18">
        <v>58.91</v>
      </c>
      <c r="AC616" t="s">
        <v>50</v>
      </c>
      <c r="AD616" t="s">
        <v>158</v>
      </c>
      <c r="AE616" t="s">
        <v>105</v>
      </c>
      <c r="AF616">
        <v>5</v>
      </c>
      <c r="AG616" t="s">
        <v>53</v>
      </c>
    </row>
    <row r="617" spans="1:33">
      <c r="A617" t="s">
        <v>1394</v>
      </c>
      <c r="B617" s="10">
        <v>45804</v>
      </c>
      <c r="C617" s="3" t="s">
        <v>55</v>
      </c>
      <c r="D617" t="s">
        <v>156</v>
      </c>
      <c r="E617" t="s">
        <v>130</v>
      </c>
      <c r="F617" t="s">
        <v>131</v>
      </c>
      <c r="G617" t="s">
        <v>132</v>
      </c>
      <c r="H617" t="s">
        <v>115</v>
      </c>
      <c r="I617" t="s">
        <v>116</v>
      </c>
      <c r="J617" t="s">
        <v>117</v>
      </c>
      <c r="K617" t="s">
        <v>61</v>
      </c>
      <c r="L617" t="s">
        <v>1395</v>
      </c>
      <c r="M617" t="s">
        <v>80</v>
      </c>
      <c r="N617" t="s">
        <v>110</v>
      </c>
      <c r="O617" t="s">
        <v>168</v>
      </c>
      <c r="P617" t="s">
        <v>169</v>
      </c>
      <c r="Q617" t="s">
        <v>139</v>
      </c>
      <c r="R617" t="s">
        <v>49</v>
      </c>
      <c r="S617">
        <v>2</v>
      </c>
      <c r="T617" s="14">
        <v>66.78</v>
      </c>
      <c r="U617" s="7">
        <v>12</v>
      </c>
      <c r="V617" s="7">
        <v>22</v>
      </c>
      <c r="W617" s="14">
        <v>100.78</v>
      </c>
      <c r="X617" s="14">
        <v>222.6</v>
      </c>
      <c r="Y617" s="16">
        <v>10</v>
      </c>
      <c r="Z617" s="12">
        <v>400.68</v>
      </c>
      <c r="AA617" s="5">
        <v>199.12</v>
      </c>
      <c r="AB617" s="18">
        <v>49.7</v>
      </c>
      <c r="AC617" t="s">
        <v>111</v>
      </c>
      <c r="AD617" t="s">
        <v>51</v>
      </c>
      <c r="AE617" t="s">
        <v>68</v>
      </c>
      <c r="AF617">
        <v>5</v>
      </c>
      <c r="AG617" t="s">
        <v>53</v>
      </c>
    </row>
    <row r="618" spans="1:33">
      <c r="A618" t="s">
        <v>1396</v>
      </c>
      <c r="B618" s="10">
        <v>45851</v>
      </c>
      <c r="C618" s="3" t="s">
        <v>390</v>
      </c>
      <c r="D618" t="s">
        <v>89</v>
      </c>
      <c r="E618" t="s">
        <v>114</v>
      </c>
      <c r="F618" t="s">
        <v>73</v>
      </c>
      <c r="G618" t="s">
        <v>74</v>
      </c>
      <c r="H618" t="s">
        <v>115</v>
      </c>
      <c r="I618" t="s">
        <v>116</v>
      </c>
      <c r="J618" t="s">
        <v>117</v>
      </c>
      <c r="K618" t="s">
        <v>61</v>
      </c>
      <c r="L618" t="s">
        <v>1397</v>
      </c>
      <c r="M618" t="s">
        <v>80</v>
      </c>
      <c r="N618" t="s">
        <v>110</v>
      </c>
      <c r="O618" t="s">
        <v>275</v>
      </c>
      <c r="P618" t="s">
        <v>276</v>
      </c>
      <c r="Q618" t="s">
        <v>125</v>
      </c>
      <c r="R618" t="s">
        <v>84</v>
      </c>
      <c r="S618">
        <v>3</v>
      </c>
      <c r="T618" s="14">
        <v>82.44</v>
      </c>
      <c r="U618" s="7">
        <v>12</v>
      </c>
      <c r="V618" s="7">
        <v>22</v>
      </c>
      <c r="W618" s="14">
        <v>116.44</v>
      </c>
      <c r="X618" s="14">
        <v>274.8</v>
      </c>
      <c r="Y618" s="16">
        <v>10</v>
      </c>
      <c r="Z618" s="12">
        <v>741.96</v>
      </c>
      <c r="AA618" s="5">
        <v>392.64</v>
      </c>
      <c r="AB618" s="18">
        <v>52.92</v>
      </c>
      <c r="AC618" t="s">
        <v>85</v>
      </c>
      <c r="AD618" t="s">
        <v>51</v>
      </c>
      <c r="AE618" t="s">
        <v>52</v>
      </c>
      <c r="AF618">
        <v>5</v>
      </c>
      <c r="AG618" t="s">
        <v>53</v>
      </c>
    </row>
    <row r="619" spans="1:33">
      <c r="A619" t="s">
        <v>1398</v>
      </c>
      <c r="B619" s="10">
        <v>45982</v>
      </c>
      <c r="C619" s="3" t="s">
        <v>219</v>
      </c>
      <c r="D619" t="s">
        <v>35</v>
      </c>
      <c r="E619" t="s">
        <v>57</v>
      </c>
      <c r="F619" t="s">
        <v>37</v>
      </c>
      <c r="G619" t="s">
        <v>38</v>
      </c>
      <c r="H619" t="s">
        <v>133</v>
      </c>
      <c r="I619" t="s">
        <v>134</v>
      </c>
      <c r="J619" t="s">
        <v>135</v>
      </c>
      <c r="K619" t="s">
        <v>42</v>
      </c>
      <c r="L619" t="s">
        <v>1399</v>
      </c>
      <c r="M619" t="s">
        <v>80</v>
      </c>
      <c r="N619" t="s">
        <v>81</v>
      </c>
      <c r="O619" t="s">
        <v>64</v>
      </c>
      <c r="P619" t="s">
        <v>65</v>
      </c>
      <c r="Q619" t="s">
        <v>66</v>
      </c>
      <c r="R619" t="s">
        <v>49</v>
      </c>
      <c r="S619">
        <v>2</v>
      </c>
      <c r="T619" s="14">
        <v>62.58</v>
      </c>
      <c r="U619" s="7">
        <v>12</v>
      </c>
      <c r="V619" s="7">
        <v>22</v>
      </c>
      <c r="W619" s="14">
        <v>96.58</v>
      </c>
      <c r="X619" s="14">
        <v>208.6</v>
      </c>
      <c r="Y619" s="16">
        <v>0</v>
      </c>
      <c r="Z619" s="12">
        <v>417.2</v>
      </c>
      <c r="AA619" s="5">
        <v>224.04</v>
      </c>
      <c r="AB619" s="18">
        <v>53.7</v>
      </c>
      <c r="AC619" t="s">
        <v>111</v>
      </c>
      <c r="AD619" t="s">
        <v>158</v>
      </c>
      <c r="AE619" t="s">
        <v>96</v>
      </c>
      <c r="AF619" t="s">
        <v>2124</v>
      </c>
      <c r="AG619" t="s">
        <v>53</v>
      </c>
    </row>
    <row r="620" spans="1:33">
      <c r="A620" t="s">
        <v>1400</v>
      </c>
      <c r="B620" s="10">
        <v>45765</v>
      </c>
      <c r="C620" s="3" t="s">
        <v>160</v>
      </c>
      <c r="D620" t="s">
        <v>35</v>
      </c>
      <c r="E620" t="s">
        <v>280</v>
      </c>
      <c r="F620" t="s">
        <v>131</v>
      </c>
      <c r="G620" t="s">
        <v>132</v>
      </c>
      <c r="H620" t="s">
        <v>75</v>
      </c>
      <c r="I620" t="s">
        <v>76</v>
      </c>
      <c r="J620" t="s">
        <v>77</v>
      </c>
      <c r="K620" t="s">
        <v>78</v>
      </c>
      <c r="L620" t="s">
        <v>1401</v>
      </c>
      <c r="M620" t="s">
        <v>44</v>
      </c>
      <c r="N620" t="s">
        <v>81</v>
      </c>
      <c r="O620" t="s">
        <v>189</v>
      </c>
      <c r="P620" t="s">
        <v>190</v>
      </c>
      <c r="Q620" t="s">
        <v>48</v>
      </c>
      <c r="R620" t="s">
        <v>67</v>
      </c>
      <c r="S620">
        <v>2</v>
      </c>
      <c r="T620" s="14">
        <v>47.7</v>
      </c>
      <c r="U620" s="7">
        <v>12</v>
      </c>
      <c r="V620" s="7">
        <v>22</v>
      </c>
      <c r="W620" s="14">
        <v>81.7</v>
      </c>
      <c r="X620" s="14">
        <v>159</v>
      </c>
      <c r="Y620" s="16">
        <v>5</v>
      </c>
      <c r="Z620" s="12">
        <v>302.10000000000002</v>
      </c>
      <c r="AA620" s="5">
        <v>138.69999999999999</v>
      </c>
      <c r="AB620" s="18">
        <v>45.91</v>
      </c>
      <c r="AC620" t="s">
        <v>111</v>
      </c>
      <c r="AD620" t="s">
        <v>51</v>
      </c>
      <c r="AE620" t="s">
        <v>126</v>
      </c>
      <c r="AF620">
        <v>5</v>
      </c>
      <c r="AG620" t="s">
        <v>53</v>
      </c>
    </row>
    <row r="621" spans="1:33">
      <c r="A621" t="s">
        <v>1402</v>
      </c>
      <c r="B621" s="10">
        <v>45724</v>
      </c>
      <c r="C621" s="3" t="s">
        <v>88</v>
      </c>
      <c r="D621" t="s">
        <v>71</v>
      </c>
      <c r="E621" t="s">
        <v>108</v>
      </c>
      <c r="F621" t="s">
        <v>91</v>
      </c>
      <c r="G621" t="s">
        <v>38</v>
      </c>
      <c r="H621" t="s">
        <v>133</v>
      </c>
      <c r="I621" t="s">
        <v>134</v>
      </c>
      <c r="J621" t="s">
        <v>135</v>
      </c>
      <c r="K621" t="s">
        <v>42</v>
      </c>
      <c r="L621" t="s">
        <v>1403</v>
      </c>
      <c r="M621" t="s">
        <v>80</v>
      </c>
      <c r="N621" t="s">
        <v>45</v>
      </c>
      <c r="O621" t="s">
        <v>123</v>
      </c>
      <c r="P621" t="s">
        <v>124</v>
      </c>
      <c r="Q621" t="s">
        <v>125</v>
      </c>
      <c r="R621" t="s">
        <v>84</v>
      </c>
      <c r="S621">
        <v>3</v>
      </c>
      <c r="T621" s="14">
        <v>89.64</v>
      </c>
      <c r="U621" s="7">
        <v>12</v>
      </c>
      <c r="V621" s="7">
        <v>22</v>
      </c>
      <c r="W621" s="14">
        <v>123.64</v>
      </c>
      <c r="X621" s="14">
        <v>298.8</v>
      </c>
      <c r="Y621" s="16">
        <v>15</v>
      </c>
      <c r="Z621" s="12">
        <v>761.94</v>
      </c>
      <c r="AA621" s="5">
        <v>391.02</v>
      </c>
      <c r="AB621" s="18">
        <v>51.32</v>
      </c>
      <c r="AC621" t="s">
        <v>50</v>
      </c>
      <c r="AD621" t="s">
        <v>158</v>
      </c>
      <c r="AE621" t="s">
        <v>96</v>
      </c>
      <c r="AF621">
        <v>4</v>
      </c>
      <c r="AG621" t="s">
        <v>53</v>
      </c>
    </row>
    <row r="622" spans="1:33">
      <c r="A622" t="s">
        <v>1404</v>
      </c>
      <c r="B622" s="10">
        <v>45903</v>
      </c>
      <c r="C622" s="3" t="s">
        <v>70</v>
      </c>
      <c r="D622" t="s">
        <v>129</v>
      </c>
      <c r="E622" t="s">
        <v>72</v>
      </c>
      <c r="F622" t="s">
        <v>73</v>
      </c>
      <c r="G622" t="s">
        <v>74</v>
      </c>
      <c r="H622" t="s">
        <v>58</v>
      </c>
      <c r="I622" t="s">
        <v>59</v>
      </c>
      <c r="J622" t="s">
        <v>60</v>
      </c>
      <c r="K622" t="s">
        <v>61</v>
      </c>
      <c r="L622" t="s">
        <v>1405</v>
      </c>
      <c r="M622" t="s">
        <v>44</v>
      </c>
      <c r="N622" t="s">
        <v>45</v>
      </c>
      <c r="O622" t="s">
        <v>176</v>
      </c>
      <c r="P622" t="s">
        <v>177</v>
      </c>
      <c r="Q622" t="s">
        <v>66</v>
      </c>
      <c r="R622" t="s">
        <v>49</v>
      </c>
      <c r="S622">
        <v>2</v>
      </c>
      <c r="T622" s="14">
        <v>70.98</v>
      </c>
      <c r="U622" s="7">
        <v>12</v>
      </c>
      <c r="V622" s="7">
        <v>22</v>
      </c>
      <c r="W622" s="14">
        <v>104.98</v>
      </c>
      <c r="X622" s="14">
        <v>236.6</v>
      </c>
      <c r="Y622" s="16">
        <v>0</v>
      </c>
      <c r="Z622" s="12">
        <v>473.2</v>
      </c>
      <c r="AA622" s="5">
        <v>263.24</v>
      </c>
      <c r="AB622" s="18">
        <v>55.63</v>
      </c>
      <c r="AC622" t="s">
        <v>111</v>
      </c>
      <c r="AD622" t="s">
        <v>86</v>
      </c>
      <c r="AE622" t="s">
        <v>68</v>
      </c>
      <c r="AF622">
        <v>5</v>
      </c>
      <c r="AG622" t="s">
        <v>53</v>
      </c>
    </row>
    <row r="623" spans="1:33">
      <c r="A623" t="s">
        <v>1406</v>
      </c>
      <c r="B623" s="10">
        <v>45841</v>
      </c>
      <c r="C623" s="3" t="s">
        <v>179</v>
      </c>
      <c r="D623" t="s">
        <v>56</v>
      </c>
      <c r="E623" t="s">
        <v>114</v>
      </c>
      <c r="F623" t="s">
        <v>73</v>
      </c>
      <c r="G623" t="s">
        <v>74</v>
      </c>
      <c r="H623" t="s">
        <v>75</v>
      </c>
      <c r="I623" t="s">
        <v>76</v>
      </c>
      <c r="J623" t="s">
        <v>77</v>
      </c>
      <c r="K623" t="s">
        <v>78</v>
      </c>
      <c r="L623" t="s">
        <v>1407</v>
      </c>
      <c r="M623" t="s">
        <v>44</v>
      </c>
      <c r="N623" t="s">
        <v>81</v>
      </c>
      <c r="O623" t="s">
        <v>94</v>
      </c>
      <c r="P623" t="s">
        <v>95</v>
      </c>
      <c r="Q623" t="s">
        <v>66</v>
      </c>
      <c r="R623" t="s">
        <v>67</v>
      </c>
      <c r="S623">
        <v>2</v>
      </c>
      <c r="T623" s="14">
        <v>65.7</v>
      </c>
      <c r="U623" s="7">
        <v>12</v>
      </c>
      <c r="V623" s="7">
        <v>22</v>
      </c>
      <c r="W623" s="14">
        <v>99.7</v>
      </c>
      <c r="X623" s="14">
        <v>219</v>
      </c>
      <c r="Y623" s="16">
        <v>0</v>
      </c>
      <c r="Z623" s="12">
        <v>438</v>
      </c>
      <c r="AA623" s="5">
        <v>238.6</v>
      </c>
      <c r="AB623" s="18">
        <v>54.47</v>
      </c>
      <c r="AC623" t="s">
        <v>50</v>
      </c>
      <c r="AD623" t="s">
        <v>86</v>
      </c>
      <c r="AE623" t="s">
        <v>105</v>
      </c>
      <c r="AF623">
        <v>5</v>
      </c>
      <c r="AG623" t="s">
        <v>53</v>
      </c>
    </row>
    <row r="624" spans="1:33">
      <c r="A624" t="s">
        <v>1408</v>
      </c>
      <c r="B624" s="10">
        <v>45967</v>
      </c>
      <c r="C624" s="3" t="s">
        <v>34</v>
      </c>
      <c r="D624" t="s">
        <v>56</v>
      </c>
      <c r="E624" t="s">
        <v>57</v>
      </c>
      <c r="F624" t="s">
        <v>37</v>
      </c>
      <c r="G624" t="s">
        <v>38</v>
      </c>
      <c r="H624" t="s">
        <v>39</v>
      </c>
      <c r="I624" t="s">
        <v>2143</v>
      </c>
      <c r="J624" t="s">
        <v>41</v>
      </c>
      <c r="K624" t="s">
        <v>42</v>
      </c>
      <c r="L624" t="s">
        <v>1409</v>
      </c>
      <c r="M624" t="s">
        <v>44</v>
      </c>
      <c r="N624" t="s">
        <v>81</v>
      </c>
      <c r="O624" t="s">
        <v>123</v>
      </c>
      <c r="P624" t="s">
        <v>124</v>
      </c>
      <c r="Q624" t="s">
        <v>125</v>
      </c>
      <c r="R624" t="s">
        <v>67</v>
      </c>
      <c r="S624">
        <v>2</v>
      </c>
      <c r="T624" s="14">
        <v>74.7</v>
      </c>
      <c r="U624" s="7">
        <v>12</v>
      </c>
      <c r="V624" s="7">
        <v>22</v>
      </c>
      <c r="W624" s="14">
        <v>108.7</v>
      </c>
      <c r="X624" s="14">
        <v>249</v>
      </c>
      <c r="Y624" s="16">
        <v>0</v>
      </c>
      <c r="Z624" s="12">
        <v>498</v>
      </c>
      <c r="AA624" s="5">
        <v>280.60000000000002</v>
      </c>
      <c r="AB624" s="18">
        <v>56.35</v>
      </c>
      <c r="AC624" t="s">
        <v>111</v>
      </c>
      <c r="AD624" t="s">
        <v>86</v>
      </c>
      <c r="AE624" t="s">
        <v>105</v>
      </c>
      <c r="AF624">
        <v>4</v>
      </c>
      <c r="AG624" t="s">
        <v>53</v>
      </c>
    </row>
    <row r="625" spans="1:33">
      <c r="A625" t="s">
        <v>1410</v>
      </c>
      <c r="B625" s="10">
        <v>45962</v>
      </c>
      <c r="C625" s="3" t="s">
        <v>310</v>
      </c>
      <c r="D625" t="s">
        <v>71</v>
      </c>
      <c r="E625" t="s">
        <v>57</v>
      </c>
      <c r="F625" t="s">
        <v>37</v>
      </c>
      <c r="G625" t="s">
        <v>38</v>
      </c>
      <c r="H625" t="s">
        <v>39</v>
      </c>
      <c r="I625" t="s">
        <v>2143</v>
      </c>
      <c r="J625" t="s">
        <v>41</v>
      </c>
      <c r="K625" t="s">
        <v>42</v>
      </c>
      <c r="L625" t="s">
        <v>1411</v>
      </c>
      <c r="M625" t="s">
        <v>44</v>
      </c>
      <c r="N625" t="s">
        <v>45</v>
      </c>
      <c r="O625" t="s">
        <v>123</v>
      </c>
      <c r="P625" t="s">
        <v>124</v>
      </c>
      <c r="Q625" t="s">
        <v>125</v>
      </c>
      <c r="R625" t="s">
        <v>67</v>
      </c>
      <c r="S625">
        <v>1</v>
      </c>
      <c r="T625" s="14">
        <v>74.7</v>
      </c>
      <c r="U625" s="7">
        <v>12</v>
      </c>
      <c r="V625" s="7">
        <v>22</v>
      </c>
      <c r="W625" s="14">
        <v>108.7</v>
      </c>
      <c r="X625" s="14">
        <v>249</v>
      </c>
      <c r="Y625" s="16">
        <v>10</v>
      </c>
      <c r="Z625" s="12">
        <v>224.1</v>
      </c>
      <c r="AA625" s="5">
        <v>115.4</v>
      </c>
      <c r="AB625" s="18">
        <v>51.49</v>
      </c>
      <c r="AC625" t="s">
        <v>104</v>
      </c>
      <c r="AD625" t="s">
        <v>158</v>
      </c>
      <c r="AE625" t="s">
        <v>68</v>
      </c>
      <c r="AF625">
        <v>4</v>
      </c>
      <c r="AG625" t="s">
        <v>53</v>
      </c>
    </row>
    <row r="626" spans="1:33">
      <c r="A626" t="s">
        <v>1412</v>
      </c>
      <c r="B626" s="10">
        <v>45727</v>
      </c>
      <c r="C626" s="3" t="s">
        <v>107</v>
      </c>
      <c r="D626" t="s">
        <v>156</v>
      </c>
      <c r="E626" t="s">
        <v>108</v>
      </c>
      <c r="F626" t="s">
        <v>91</v>
      </c>
      <c r="G626" t="s">
        <v>38</v>
      </c>
      <c r="H626" t="s">
        <v>133</v>
      </c>
      <c r="I626" t="s">
        <v>134</v>
      </c>
      <c r="J626" t="s">
        <v>135</v>
      </c>
      <c r="K626" t="s">
        <v>42</v>
      </c>
      <c r="L626" t="s">
        <v>1413</v>
      </c>
      <c r="M626" t="s">
        <v>44</v>
      </c>
      <c r="N626" t="s">
        <v>45</v>
      </c>
      <c r="O626" t="s">
        <v>168</v>
      </c>
      <c r="P626" t="s">
        <v>169</v>
      </c>
      <c r="Q626" t="s">
        <v>139</v>
      </c>
      <c r="R626" t="s">
        <v>84</v>
      </c>
      <c r="S626">
        <v>2</v>
      </c>
      <c r="T626" s="14">
        <v>57.24</v>
      </c>
      <c r="U626" s="7">
        <v>12</v>
      </c>
      <c r="V626" s="7">
        <v>22</v>
      </c>
      <c r="W626" s="14">
        <v>91.240000000000009</v>
      </c>
      <c r="X626" s="14">
        <v>190.8</v>
      </c>
      <c r="Y626" s="16">
        <v>0</v>
      </c>
      <c r="Z626" s="12">
        <v>381.6</v>
      </c>
      <c r="AA626" s="5">
        <v>199.12</v>
      </c>
      <c r="AB626" s="18">
        <v>52.18</v>
      </c>
      <c r="AC626" t="s">
        <v>111</v>
      </c>
      <c r="AD626" t="s">
        <v>51</v>
      </c>
      <c r="AE626" t="s">
        <v>96</v>
      </c>
      <c r="AF626">
        <v>5</v>
      </c>
      <c r="AG626" t="s">
        <v>53</v>
      </c>
    </row>
    <row r="627" spans="1:33">
      <c r="A627" t="s">
        <v>1414</v>
      </c>
      <c r="B627" s="10">
        <v>45868</v>
      </c>
      <c r="C627" s="3" t="s">
        <v>155</v>
      </c>
      <c r="D627" t="s">
        <v>129</v>
      </c>
      <c r="E627" t="s">
        <v>114</v>
      </c>
      <c r="F627" t="s">
        <v>73</v>
      </c>
      <c r="G627" t="s">
        <v>74</v>
      </c>
      <c r="H627" t="s">
        <v>115</v>
      </c>
      <c r="I627" t="s">
        <v>116</v>
      </c>
      <c r="J627" t="s">
        <v>117</v>
      </c>
      <c r="K627" t="s">
        <v>61</v>
      </c>
      <c r="L627" t="s">
        <v>1415</v>
      </c>
      <c r="M627" t="s">
        <v>63</v>
      </c>
      <c r="N627" t="s">
        <v>45</v>
      </c>
      <c r="O627" t="s">
        <v>82</v>
      </c>
      <c r="P627" t="s">
        <v>83</v>
      </c>
      <c r="Q627" t="s">
        <v>66</v>
      </c>
      <c r="R627" t="s">
        <v>49</v>
      </c>
      <c r="S627">
        <v>3</v>
      </c>
      <c r="T627" s="14">
        <v>100.38</v>
      </c>
      <c r="U627" s="7">
        <v>12</v>
      </c>
      <c r="V627" s="7">
        <v>22</v>
      </c>
      <c r="W627" s="14">
        <v>134.38</v>
      </c>
      <c r="X627" s="14">
        <v>334.6</v>
      </c>
      <c r="Y627" s="16">
        <v>0</v>
      </c>
      <c r="Z627" s="12">
        <v>1003.8</v>
      </c>
      <c r="AA627" s="5">
        <v>600.66</v>
      </c>
      <c r="AB627" s="18">
        <v>59.84</v>
      </c>
      <c r="AC627" t="s">
        <v>85</v>
      </c>
      <c r="AD627" t="s">
        <v>51</v>
      </c>
      <c r="AE627" t="s">
        <v>105</v>
      </c>
      <c r="AF627">
        <v>5</v>
      </c>
      <c r="AG627" t="s">
        <v>53</v>
      </c>
    </row>
    <row r="628" spans="1:33">
      <c r="A628" t="s">
        <v>1416</v>
      </c>
      <c r="B628" s="10">
        <v>45978</v>
      </c>
      <c r="C628" s="3" t="s">
        <v>113</v>
      </c>
      <c r="D628" t="s">
        <v>206</v>
      </c>
      <c r="E628" t="s">
        <v>57</v>
      </c>
      <c r="F628" t="s">
        <v>37</v>
      </c>
      <c r="G628" t="s">
        <v>38</v>
      </c>
      <c r="H628" t="s">
        <v>75</v>
      </c>
      <c r="I628" t="s">
        <v>76</v>
      </c>
      <c r="J628" t="s">
        <v>77</v>
      </c>
      <c r="K628" t="s">
        <v>78</v>
      </c>
      <c r="L628" t="s">
        <v>1417</v>
      </c>
      <c r="M628" t="s">
        <v>44</v>
      </c>
      <c r="N628" t="s">
        <v>45</v>
      </c>
      <c r="O628" t="s">
        <v>94</v>
      </c>
      <c r="P628" t="s">
        <v>95</v>
      </c>
      <c r="Q628" t="s">
        <v>66</v>
      </c>
      <c r="R628" t="s">
        <v>67</v>
      </c>
      <c r="S628">
        <v>1</v>
      </c>
      <c r="T628" s="14">
        <v>65.7</v>
      </c>
      <c r="U628" s="7">
        <v>12</v>
      </c>
      <c r="V628" s="7">
        <v>22</v>
      </c>
      <c r="W628" s="14">
        <v>99.7</v>
      </c>
      <c r="X628" s="14">
        <v>219</v>
      </c>
      <c r="Y628" s="16">
        <v>5</v>
      </c>
      <c r="Z628" s="12">
        <v>208.05</v>
      </c>
      <c r="AA628" s="5">
        <v>108.35</v>
      </c>
      <c r="AB628" s="18">
        <v>52.08</v>
      </c>
      <c r="AC628" t="s">
        <v>50</v>
      </c>
      <c r="AD628" t="s">
        <v>86</v>
      </c>
      <c r="AE628" t="s">
        <v>96</v>
      </c>
      <c r="AF628">
        <v>5</v>
      </c>
      <c r="AG628" t="s">
        <v>53</v>
      </c>
    </row>
    <row r="629" spans="1:33">
      <c r="A629" t="s">
        <v>1418</v>
      </c>
      <c r="B629" s="10">
        <v>46010</v>
      </c>
      <c r="C629" s="3" t="s">
        <v>141</v>
      </c>
      <c r="D629" t="s">
        <v>35</v>
      </c>
      <c r="E629" t="s">
        <v>149</v>
      </c>
      <c r="F629" t="s">
        <v>37</v>
      </c>
      <c r="G629" t="s">
        <v>92</v>
      </c>
      <c r="H629" t="s">
        <v>133</v>
      </c>
      <c r="I629" t="s">
        <v>134</v>
      </c>
      <c r="J629" t="s">
        <v>135</v>
      </c>
      <c r="K629" t="s">
        <v>42</v>
      </c>
      <c r="L629" t="s">
        <v>1419</v>
      </c>
      <c r="M629" t="s">
        <v>80</v>
      </c>
      <c r="N629" t="s">
        <v>45</v>
      </c>
      <c r="O629" t="s">
        <v>176</v>
      </c>
      <c r="P629" t="s">
        <v>177</v>
      </c>
      <c r="Q629" t="s">
        <v>66</v>
      </c>
      <c r="R629" t="s">
        <v>67</v>
      </c>
      <c r="S629">
        <v>3</v>
      </c>
      <c r="T629" s="14">
        <v>50.7</v>
      </c>
      <c r="U629" s="7">
        <v>12</v>
      </c>
      <c r="V629" s="7">
        <v>22</v>
      </c>
      <c r="W629" s="14">
        <v>84.7</v>
      </c>
      <c r="X629" s="14">
        <v>169</v>
      </c>
      <c r="Y629" s="16">
        <v>0</v>
      </c>
      <c r="Z629" s="12">
        <v>507</v>
      </c>
      <c r="AA629" s="5">
        <v>252.9</v>
      </c>
      <c r="AB629" s="18">
        <v>49.88</v>
      </c>
      <c r="AC629" t="s">
        <v>85</v>
      </c>
      <c r="AD629" t="s">
        <v>51</v>
      </c>
      <c r="AE629" t="s">
        <v>68</v>
      </c>
      <c r="AF629">
        <v>5</v>
      </c>
      <c r="AG629" t="s">
        <v>53</v>
      </c>
    </row>
    <row r="630" spans="1:33">
      <c r="A630" t="s">
        <v>1420</v>
      </c>
      <c r="B630" s="10">
        <v>45866</v>
      </c>
      <c r="C630" s="3" t="s">
        <v>70</v>
      </c>
      <c r="D630" t="s">
        <v>206</v>
      </c>
      <c r="E630" t="s">
        <v>114</v>
      </c>
      <c r="F630" t="s">
        <v>73</v>
      </c>
      <c r="G630" t="s">
        <v>74</v>
      </c>
      <c r="H630" t="s">
        <v>115</v>
      </c>
      <c r="I630" t="s">
        <v>116</v>
      </c>
      <c r="J630" t="s">
        <v>117</v>
      </c>
      <c r="K630" t="s">
        <v>61</v>
      </c>
      <c r="L630" t="s">
        <v>1421</v>
      </c>
      <c r="M630" t="s">
        <v>63</v>
      </c>
      <c r="N630" t="s">
        <v>81</v>
      </c>
      <c r="O630" t="s">
        <v>137</v>
      </c>
      <c r="P630" t="s">
        <v>138</v>
      </c>
      <c r="Q630" t="s">
        <v>139</v>
      </c>
      <c r="R630" t="s">
        <v>49</v>
      </c>
      <c r="S630">
        <v>2</v>
      </c>
      <c r="T630" s="14">
        <v>83.58</v>
      </c>
      <c r="U630" s="7">
        <v>12</v>
      </c>
      <c r="V630" s="7">
        <v>22</v>
      </c>
      <c r="W630" s="14">
        <v>117.58</v>
      </c>
      <c r="X630" s="14">
        <v>278.60000000000002</v>
      </c>
      <c r="Y630" s="16">
        <v>0</v>
      </c>
      <c r="Z630" s="12">
        <v>557.20000000000005</v>
      </c>
      <c r="AA630" s="5">
        <v>322.04000000000002</v>
      </c>
      <c r="AB630" s="18">
        <v>57.8</v>
      </c>
      <c r="AC630" t="s">
        <v>85</v>
      </c>
      <c r="AD630" t="s">
        <v>86</v>
      </c>
      <c r="AE630" t="s">
        <v>68</v>
      </c>
      <c r="AF630">
        <v>5</v>
      </c>
      <c r="AG630" t="s">
        <v>53</v>
      </c>
    </row>
    <row r="631" spans="1:33">
      <c r="A631" t="s">
        <v>1422</v>
      </c>
      <c r="B631" s="10">
        <v>45885</v>
      </c>
      <c r="C631" s="3" t="s">
        <v>70</v>
      </c>
      <c r="D631" t="s">
        <v>71</v>
      </c>
      <c r="E631" t="s">
        <v>99</v>
      </c>
      <c r="F631" t="s">
        <v>73</v>
      </c>
      <c r="G631" t="s">
        <v>74</v>
      </c>
      <c r="H631" t="s">
        <v>115</v>
      </c>
      <c r="I631" t="s">
        <v>116</v>
      </c>
      <c r="J631" t="s">
        <v>117</v>
      </c>
      <c r="K631" t="s">
        <v>61</v>
      </c>
      <c r="L631" t="s">
        <v>1423</v>
      </c>
      <c r="M631" t="s">
        <v>80</v>
      </c>
      <c r="N631" t="s">
        <v>110</v>
      </c>
      <c r="O631" t="s">
        <v>452</v>
      </c>
      <c r="P631" t="s">
        <v>453</v>
      </c>
      <c r="Q631" t="s">
        <v>215</v>
      </c>
      <c r="R631" t="s">
        <v>84</v>
      </c>
      <c r="S631">
        <v>4</v>
      </c>
      <c r="T631" s="14">
        <v>118.44</v>
      </c>
      <c r="U631" s="7">
        <v>12</v>
      </c>
      <c r="V631" s="7">
        <v>22</v>
      </c>
      <c r="W631" s="14">
        <v>152.44</v>
      </c>
      <c r="X631" s="14">
        <v>394.8</v>
      </c>
      <c r="Y631" s="16">
        <v>10</v>
      </c>
      <c r="Z631" s="12">
        <v>1421.28</v>
      </c>
      <c r="AA631" s="5">
        <v>811.52</v>
      </c>
      <c r="AB631" s="18">
        <v>57.1</v>
      </c>
      <c r="AC631" t="s">
        <v>85</v>
      </c>
      <c r="AD631" t="s">
        <v>86</v>
      </c>
      <c r="AE631" t="s">
        <v>105</v>
      </c>
      <c r="AF631">
        <v>5</v>
      </c>
      <c r="AG631" t="s">
        <v>53</v>
      </c>
    </row>
    <row r="632" spans="1:33">
      <c r="A632" t="s">
        <v>1424</v>
      </c>
      <c r="B632" s="10">
        <v>45864</v>
      </c>
      <c r="C632" s="3" t="s">
        <v>171</v>
      </c>
      <c r="D632" t="s">
        <v>71</v>
      </c>
      <c r="E632" t="s">
        <v>114</v>
      </c>
      <c r="F632" t="s">
        <v>73</v>
      </c>
      <c r="G632" t="s">
        <v>74</v>
      </c>
      <c r="H632" t="s">
        <v>58</v>
      </c>
      <c r="I632" t="s">
        <v>59</v>
      </c>
      <c r="J632" t="s">
        <v>60</v>
      </c>
      <c r="K632" t="s">
        <v>61</v>
      </c>
      <c r="L632" t="s">
        <v>1425</v>
      </c>
      <c r="M632" t="s">
        <v>44</v>
      </c>
      <c r="N632" t="s">
        <v>81</v>
      </c>
      <c r="O632" t="s">
        <v>101</v>
      </c>
      <c r="P632" t="s">
        <v>102</v>
      </c>
      <c r="Q632" t="s">
        <v>103</v>
      </c>
      <c r="R632" t="s">
        <v>84</v>
      </c>
      <c r="S632">
        <v>3</v>
      </c>
      <c r="T632" s="14">
        <v>53.64</v>
      </c>
      <c r="U632" s="7">
        <v>12</v>
      </c>
      <c r="V632" s="7">
        <v>22</v>
      </c>
      <c r="W632" s="14">
        <v>87.64</v>
      </c>
      <c r="X632" s="14">
        <v>178.8</v>
      </c>
      <c r="Y632" s="16">
        <v>15</v>
      </c>
      <c r="Z632" s="12">
        <v>455.94</v>
      </c>
      <c r="AA632" s="5">
        <v>193.02</v>
      </c>
      <c r="AB632" s="18">
        <v>42.33</v>
      </c>
      <c r="AC632" t="s">
        <v>104</v>
      </c>
      <c r="AD632" t="s">
        <v>86</v>
      </c>
      <c r="AE632" t="s">
        <v>68</v>
      </c>
      <c r="AF632">
        <v>5</v>
      </c>
      <c r="AG632" t="s">
        <v>53</v>
      </c>
    </row>
    <row r="633" spans="1:33">
      <c r="A633" t="s">
        <v>1426</v>
      </c>
      <c r="B633" s="10">
        <v>45811</v>
      </c>
      <c r="C633" s="3" t="s">
        <v>211</v>
      </c>
      <c r="D633" t="s">
        <v>156</v>
      </c>
      <c r="E633" t="s">
        <v>174</v>
      </c>
      <c r="F633" t="s">
        <v>131</v>
      </c>
      <c r="G633" t="s">
        <v>132</v>
      </c>
      <c r="H633" t="s">
        <v>75</v>
      </c>
      <c r="I633" t="s">
        <v>76</v>
      </c>
      <c r="J633" t="s">
        <v>77</v>
      </c>
      <c r="K633" t="s">
        <v>78</v>
      </c>
      <c r="L633" t="s">
        <v>1427</v>
      </c>
      <c r="M633" t="s">
        <v>80</v>
      </c>
      <c r="N633" t="s">
        <v>110</v>
      </c>
      <c r="O633" t="s">
        <v>176</v>
      </c>
      <c r="P633" t="s">
        <v>177</v>
      </c>
      <c r="Q633" t="s">
        <v>66</v>
      </c>
      <c r="R633" t="s">
        <v>84</v>
      </c>
      <c r="S633">
        <v>1</v>
      </c>
      <c r="T633" s="14">
        <v>60.84</v>
      </c>
      <c r="U633" s="7">
        <v>12</v>
      </c>
      <c r="V633" s="7">
        <v>22</v>
      </c>
      <c r="W633" s="14">
        <v>94.84</v>
      </c>
      <c r="X633" s="14">
        <v>202.8</v>
      </c>
      <c r="Y633" s="16">
        <v>0</v>
      </c>
      <c r="Z633" s="12">
        <v>202.8</v>
      </c>
      <c r="AA633" s="5">
        <v>107.96</v>
      </c>
      <c r="AB633" s="18">
        <v>53.23</v>
      </c>
      <c r="AC633" t="s">
        <v>111</v>
      </c>
      <c r="AD633" t="s">
        <v>51</v>
      </c>
      <c r="AE633" t="s">
        <v>96</v>
      </c>
      <c r="AF633">
        <v>5</v>
      </c>
      <c r="AG633" t="s">
        <v>53</v>
      </c>
    </row>
    <row r="634" spans="1:33">
      <c r="A634" t="s">
        <v>1428</v>
      </c>
      <c r="B634" s="10">
        <v>45756</v>
      </c>
      <c r="C634" s="3" t="s">
        <v>88</v>
      </c>
      <c r="D634" t="s">
        <v>129</v>
      </c>
      <c r="E634" t="s">
        <v>280</v>
      </c>
      <c r="F634" t="s">
        <v>131</v>
      </c>
      <c r="G634" t="s">
        <v>132</v>
      </c>
      <c r="H634" t="s">
        <v>142</v>
      </c>
      <c r="I634" t="s">
        <v>143</v>
      </c>
      <c r="J634" t="s">
        <v>144</v>
      </c>
      <c r="K634" t="s">
        <v>145</v>
      </c>
      <c r="L634" t="s">
        <v>1429</v>
      </c>
      <c r="M634" t="s">
        <v>80</v>
      </c>
      <c r="N634" t="s">
        <v>81</v>
      </c>
      <c r="O634" t="s">
        <v>162</v>
      </c>
      <c r="P634" t="s">
        <v>163</v>
      </c>
      <c r="Q634" t="s">
        <v>48</v>
      </c>
      <c r="R634" t="s">
        <v>49</v>
      </c>
      <c r="S634">
        <v>3</v>
      </c>
      <c r="T634" s="14">
        <v>104.58</v>
      </c>
      <c r="U634" s="7">
        <v>12</v>
      </c>
      <c r="V634" s="7">
        <v>22</v>
      </c>
      <c r="W634" s="14">
        <v>138.58000000000001</v>
      </c>
      <c r="X634" s="14">
        <v>348.6</v>
      </c>
      <c r="Y634" s="16">
        <v>0</v>
      </c>
      <c r="Z634" s="12">
        <v>1045.8</v>
      </c>
      <c r="AA634" s="5">
        <v>630.05999999999995</v>
      </c>
      <c r="AB634" s="18">
        <v>60.25</v>
      </c>
      <c r="AC634" t="s">
        <v>85</v>
      </c>
      <c r="AD634" t="s">
        <v>51</v>
      </c>
      <c r="AE634" t="s">
        <v>96</v>
      </c>
      <c r="AF634">
        <v>5</v>
      </c>
      <c r="AG634" t="s">
        <v>53</v>
      </c>
    </row>
    <row r="635" spans="1:33">
      <c r="A635" t="s">
        <v>1430</v>
      </c>
      <c r="B635" s="10">
        <v>45736</v>
      </c>
      <c r="C635" s="3" t="s">
        <v>339</v>
      </c>
      <c r="D635" t="s">
        <v>56</v>
      </c>
      <c r="E635" t="s">
        <v>108</v>
      </c>
      <c r="F635" t="s">
        <v>91</v>
      </c>
      <c r="G635" t="s">
        <v>38</v>
      </c>
      <c r="H635" t="s">
        <v>115</v>
      </c>
      <c r="I635" t="s">
        <v>116</v>
      </c>
      <c r="J635" t="s">
        <v>117</v>
      </c>
      <c r="K635" t="s">
        <v>61</v>
      </c>
      <c r="L635" t="s">
        <v>1431</v>
      </c>
      <c r="M635" t="s">
        <v>63</v>
      </c>
      <c r="N635" t="s">
        <v>110</v>
      </c>
      <c r="O635" t="s">
        <v>94</v>
      </c>
      <c r="P635" t="s">
        <v>95</v>
      </c>
      <c r="Q635" t="s">
        <v>66</v>
      </c>
      <c r="R635" t="s">
        <v>67</v>
      </c>
      <c r="S635">
        <v>2</v>
      </c>
      <c r="T635" s="14">
        <v>65.7</v>
      </c>
      <c r="U635" s="7">
        <v>12</v>
      </c>
      <c r="V635" s="7">
        <v>22</v>
      </c>
      <c r="W635" s="14">
        <v>99.7</v>
      </c>
      <c r="X635" s="14">
        <v>219</v>
      </c>
      <c r="Y635" s="16">
        <v>0</v>
      </c>
      <c r="Z635" s="12">
        <v>438</v>
      </c>
      <c r="AA635" s="5">
        <v>238.6</v>
      </c>
      <c r="AB635" s="18">
        <v>54.47</v>
      </c>
      <c r="AC635" t="s">
        <v>85</v>
      </c>
      <c r="AD635" t="s">
        <v>51</v>
      </c>
      <c r="AE635" t="s">
        <v>126</v>
      </c>
      <c r="AF635">
        <v>4</v>
      </c>
      <c r="AG635" t="s">
        <v>53</v>
      </c>
    </row>
    <row r="636" spans="1:33">
      <c r="A636" t="s">
        <v>1432</v>
      </c>
      <c r="B636" s="10">
        <v>45681</v>
      </c>
      <c r="C636" s="3" t="s">
        <v>219</v>
      </c>
      <c r="D636" t="s">
        <v>35</v>
      </c>
      <c r="E636" t="s">
        <v>152</v>
      </c>
      <c r="F636" t="s">
        <v>91</v>
      </c>
      <c r="G636" t="s">
        <v>92</v>
      </c>
      <c r="H636" t="s">
        <v>58</v>
      </c>
      <c r="I636" t="s">
        <v>59</v>
      </c>
      <c r="J636" t="s">
        <v>60</v>
      </c>
      <c r="K636" t="s">
        <v>61</v>
      </c>
      <c r="L636" t="s">
        <v>1433</v>
      </c>
      <c r="M636" t="s">
        <v>80</v>
      </c>
      <c r="N636" t="s">
        <v>110</v>
      </c>
      <c r="O636" t="s">
        <v>94</v>
      </c>
      <c r="P636" t="s">
        <v>95</v>
      </c>
      <c r="Q636" t="s">
        <v>66</v>
      </c>
      <c r="R636" t="s">
        <v>49</v>
      </c>
      <c r="S636">
        <v>2</v>
      </c>
      <c r="T636" s="14">
        <v>91.98</v>
      </c>
      <c r="U636" s="7">
        <v>12</v>
      </c>
      <c r="V636" s="7">
        <v>22</v>
      </c>
      <c r="W636" s="14">
        <v>125.98</v>
      </c>
      <c r="X636" s="14">
        <v>306.60000000000002</v>
      </c>
      <c r="Y636" s="16">
        <v>0</v>
      </c>
      <c r="Z636" s="12">
        <v>613.20000000000005</v>
      </c>
      <c r="AA636" s="5">
        <v>361.24</v>
      </c>
      <c r="AB636" s="18">
        <v>58.91</v>
      </c>
      <c r="AC636" t="s">
        <v>85</v>
      </c>
      <c r="AD636" t="s">
        <v>86</v>
      </c>
      <c r="AE636" t="s">
        <v>52</v>
      </c>
      <c r="AF636">
        <v>4</v>
      </c>
      <c r="AG636" t="s">
        <v>53</v>
      </c>
    </row>
    <row r="637" spans="1:33">
      <c r="A637" t="s">
        <v>1434</v>
      </c>
      <c r="B637" s="10">
        <v>45915</v>
      </c>
      <c r="C637" s="3" t="s">
        <v>199</v>
      </c>
      <c r="D637" t="s">
        <v>206</v>
      </c>
      <c r="E637" t="s">
        <v>72</v>
      </c>
      <c r="F637" t="s">
        <v>73</v>
      </c>
      <c r="G637" t="s">
        <v>74</v>
      </c>
      <c r="H637" t="s">
        <v>75</v>
      </c>
      <c r="I637" t="s">
        <v>76</v>
      </c>
      <c r="J637" t="s">
        <v>77</v>
      </c>
      <c r="K637" t="s">
        <v>78</v>
      </c>
      <c r="L637" t="s">
        <v>1435</v>
      </c>
      <c r="M637" t="s">
        <v>80</v>
      </c>
      <c r="N637" t="s">
        <v>110</v>
      </c>
      <c r="O637" t="s">
        <v>119</v>
      </c>
      <c r="P637" t="s">
        <v>120</v>
      </c>
      <c r="Q637" t="s">
        <v>103</v>
      </c>
      <c r="R637" t="s">
        <v>49</v>
      </c>
      <c r="S637">
        <v>2</v>
      </c>
      <c r="T637" s="14">
        <v>54.18</v>
      </c>
      <c r="U637" s="7">
        <v>12</v>
      </c>
      <c r="V637" s="7">
        <v>22</v>
      </c>
      <c r="W637" s="14">
        <v>88.18</v>
      </c>
      <c r="X637" s="14">
        <v>180.6</v>
      </c>
      <c r="Y637" s="16">
        <v>0</v>
      </c>
      <c r="Z637" s="12">
        <v>361.2</v>
      </c>
      <c r="AA637" s="5">
        <v>184.84</v>
      </c>
      <c r="AB637" s="18">
        <v>51.17</v>
      </c>
      <c r="AC637" t="s">
        <v>85</v>
      </c>
      <c r="AD637" t="s">
        <v>158</v>
      </c>
      <c r="AE637" t="s">
        <v>52</v>
      </c>
      <c r="AF637">
        <v>3</v>
      </c>
      <c r="AG637" t="s">
        <v>53</v>
      </c>
    </row>
    <row r="638" spans="1:33">
      <c r="A638" t="s">
        <v>1436</v>
      </c>
      <c r="B638" s="10">
        <v>45849</v>
      </c>
      <c r="C638" s="3" t="s">
        <v>211</v>
      </c>
      <c r="D638" t="s">
        <v>35</v>
      </c>
      <c r="E638" t="s">
        <v>114</v>
      </c>
      <c r="F638" t="s">
        <v>73</v>
      </c>
      <c r="G638" t="s">
        <v>74</v>
      </c>
      <c r="H638" t="s">
        <v>115</v>
      </c>
      <c r="I638" t="s">
        <v>116</v>
      </c>
      <c r="J638" t="s">
        <v>117</v>
      </c>
      <c r="K638" t="s">
        <v>61</v>
      </c>
      <c r="L638" t="s">
        <v>1437</v>
      </c>
      <c r="M638" t="s">
        <v>63</v>
      </c>
      <c r="N638" t="s">
        <v>81</v>
      </c>
      <c r="O638" t="s">
        <v>176</v>
      </c>
      <c r="P638" t="s">
        <v>177</v>
      </c>
      <c r="Q638" t="s">
        <v>66</v>
      </c>
      <c r="R638" t="s">
        <v>67</v>
      </c>
      <c r="S638">
        <v>1</v>
      </c>
      <c r="T638" s="14">
        <v>50.7</v>
      </c>
      <c r="U638" s="7">
        <v>12</v>
      </c>
      <c r="V638" s="7">
        <v>22</v>
      </c>
      <c r="W638" s="14">
        <v>84.7</v>
      </c>
      <c r="X638" s="14">
        <v>169</v>
      </c>
      <c r="Y638" s="16">
        <v>0</v>
      </c>
      <c r="Z638" s="12">
        <v>169</v>
      </c>
      <c r="AA638" s="5">
        <v>84.3</v>
      </c>
      <c r="AB638" s="18">
        <v>49.88</v>
      </c>
      <c r="AC638" t="s">
        <v>104</v>
      </c>
      <c r="AD638" t="s">
        <v>158</v>
      </c>
      <c r="AE638" t="s">
        <v>52</v>
      </c>
      <c r="AF638">
        <v>4</v>
      </c>
      <c r="AG638" t="s">
        <v>53</v>
      </c>
    </row>
    <row r="639" spans="1:33">
      <c r="A639" t="s">
        <v>1438</v>
      </c>
      <c r="B639" s="10">
        <v>45971</v>
      </c>
      <c r="C639" s="3" t="s">
        <v>182</v>
      </c>
      <c r="D639" t="s">
        <v>206</v>
      </c>
      <c r="E639" t="s">
        <v>57</v>
      </c>
      <c r="F639" t="s">
        <v>37</v>
      </c>
      <c r="G639" t="s">
        <v>38</v>
      </c>
      <c r="H639" t="s">
        <v>142</v>
      </c>
      <c r="I639" t="s">
        <v>143</v>
      </c>
      <c r="J639" t="s">
        <v>144</v>
      </c>
      <c r="K639" t="s">
        <v>145</v>
      </c>
      <c r="L639" t="s">
        <v>1439</v>
      </c>
      <c r="M639" t="s">
        <v>80</v>
      </c>
      <c r="N639" t="s">
        <v>45</v>
      </c>
      <c r="O639" t="s">
        <v>123</v>
      </c>
      <c r="P639" t="s">
        <v>124</v>
      </c>
      <c r="Q639" t="s">
        <v>125</v>
      </c>
      <c r="R639" t="s">
        <v>49</v>
      </c>
      <c r="S639">
        <v>3</v>
      </c>
      <c r="T639" s="14">
        <v>104.58</v>
      </c>
      <c r="U639" s="7">
        <v>12</v>
      </c>
      <c r="V639" s="7">
        <v>22</v>
      </c>
      <c r="W639" s="14">
        <v>138.58000000000001</v>
      </c>
      <c r="X639" s="14">
        <v>348.6</v>
      </c>
      <c r="Y639" s="16">
        <v>5</v>
      </c>
      <c r="Z639" s="12">
        <v>993.51</v>
      </c>
      <c r="AA639" s="5">
        <v>577.77</v>
      </c>
      <c r="AB639" s="18">
        <v>58.15</v>
      </c>
      <c r="AC639" t="s">
        <v>111</v>
      </c>
      <c r="AD639" t="s">
        <v>86</v>
      </c>
      <c r="AE639" t="s">
        <v>52</v>
      </c>
      <c r="AF639">
        <v>5</v>
      </c>
      <c r="AG639" t="s">
        <v>53</v>
      </c>
    </row>
    <row r="640" spans="1:33">
      <c r="A640" t="s">
        <v>1440</v>
      </c>
      <c r="B640" s="10">
        <v>45892</v>
      </c>
      <c r="C640" s="3" t="s">
        <v>194</v>
      </c>
      <c r="D640" t="s">
        <v>71</v>
      </c>
      <c r="E640" t="s">
        <v>99</v>
      </c>
      <c r="F640" t="s">
        <v>73</v>
      </c>
      <c r="G640" t="s">
        <v>74</v>
      </c>
      <c r="H640" t="s">
        <v>58</v>
      </c>
      <c r="I640" t="s">
        <v>59</v>
      </c>
      <c r="J640" t="s">
        <v>60</v>
      </c>
      <c r="K640" t="s">
        <v>61</v>
      </c>
      <c r="L640" t="s">
        <v>1441</v>
      </c>
      <c r="M640" t="s">
        <v>63</v>
      </c>
      <c r="N640" t="s">
        <v>81</v>
      </c>
      <c r="O640" t="s">
        <v>64</v>
      </c>
      <c r="P640" t="s">
        <v>65</v>
      </c>
      <c r="Q640" t="s">
        <v>66</v>
      </c>
      <c r="R640" t="s">
        <v>84</v>
      </c>
      <c r="S640">
        <v>1</v>
      </c>
      <c r="T640" s="14">
        <v>53.64</v>
      </c>
      <c r="U640" s="7">
        <v>12</v>
      </c>
      <c r="V640" s="7">
        <v>22</v>
      </c>
      <c r="W640" s="14">
        <v>87.64</v>
      </c>
      <c r="X640" s="14">
        <v>178.8</v>
      </c>
      <c r="Y640" s="16">
        <v>15</v>
      </c>
      <c r="Z640" s="12">
        <v>151.97999999999999</v>
      </c>
      <c r="AA640" s="5">
        <v>64.34</v>
      </c>
      <c r="AB640" s="18">
        <v>42.33</v>
      </c>
      <c r="AC640" t="s">
        <v>104</v>
      </c>
      <c r="AD640" t="s">
        <v>51</v>
      </c>
      <c r="AE640" t="s">
        <v>68</v>
      </c>
      <c r="AF640">
        <v>5</v>
      </c>
      <c r="AG640" t="s">
        <v>53</v>
      </c>
    </row>
    <row r="641" spans="1:33">
      <c r="A641" t="s">
        <v>1442</v>
      </c>
      <c r="B641" s="10">
        <v>45989</v>
      </c>
      <c r="C641" s="3" t="s">
        <v>199</v>
      </c>
      <c r="D641" t="s">
        <v>35</v>
      </c>
      <c r="E641" t="s">
        <v>57</v>
      </c>
      <c r="F641" t="s">
        <v>37</v>
      </c>
      <c r="G641" t="s">
        <v>38</v>
      </c>
      <c r="H641" t="s">
        <v>39</v>
      </c>
      <c r="I641" t="s">
        <v>2143</v>
      </c>
      <c r="J641" t="s">
        <v>41</v>
      </c>
      <c r="K641" t="s">
        <v>42</v>
      </c>
      <c r="L641" t="s">
        <v>1443</v>
      </c>
      <c r="M641" t="s">
        <v>44</v>
      </c>
      <c r="N641" t="s">
        <v>81</v>
      </c>
      <c r="O641" t="s">
        <v>275</v>
      </c>
      <c r="P641" t="s">
        <v>276</v>
      </c>
      <c r="Q641" t="s">
        <v>125</v>
      </c>
      <c r="R641" t="s">
        <v>67</v>
      </c>
      <c r="S641">
        <v>3</v>
      </c>
      <c r="T641" s="14">
        <v>68.7</v>
      </c>
      <c r="U641" s="7">
        <v>12</v>
      </c>
      <c r="V641" s="7">
        <v>22</v>
      </c>
      <c r="W641" s="14">
        <v>102.7</v>
      </c>
      <c r="X641" s="14">
        <v>229</v>
      </c>
      <c r="Y641" s="16">
        <v>5</v>
      </c>
      <c r="Z641" s="12">
        <v>652.65</v>
      </c>
      <c r="AA641" s="5">
        <v>344.55</v>
      </c>
      <c r="AB641" s="18">
        <v>52.79</v>
      </c>
      <c r="AC641" t="s">
        <v>85</v>
      </c>
      <c r="AD641" t="s">
        <v>86</v>
      </c>
      <c r="AE641" t="s">
        <v>105</v>
      </c>
      <c r="AF641">
        <v>4</v>
      </c>
      <c r="AG641" t="s">
        <v>53</v>
      </c>
    </row>
    <row r="642" spans="1:33">
      <c r="A642" t="s">
        <v>1444</v>
      </c>
      <c r="B642" s="10">
        <v>46000</v>
      </c>
      <c r="C642" s="3" t="s">
        <v>339</v>
      </c>
      <c r="D642" t="s">
        <v>156</v>
      </c>
      <c r="E642" t="s">
        <v>149</v>
      </c>
      <c r="F642" t="s">
        <v>37</v>
      </c>
      <c r="G642" t="s">
        <v>92</v>
      </c>
      <c r="H642" t="s">
        <v>58</v>
      </c>
      <c r="I642" t="s">
        <v>59</v>
      </c>
      <c r="J642" t="s">
        <v>60</v>
      </c>
      <c r="K642" t="s">
        <v>61</v>
      </c>
      <c r="L642" t="s">
        <v>1445</v>
      </c>
      <c r="M642" t="s">
        <v>63</v>
      </c>
      <c r="N642" t="s">
        <v>45</v>
      </c>
      <c r="O642" t="s">
        <v>94</v>
      </c>
      <c r="P642" t="s">
        <v>95</v>
      </c>
      <c r="Q642" t="s">
        <v>66</v>
      </c>
      <c r="R642" t="s">
        <v>49</v>
      </c>
      <c r="S642">
        <v>1</v>
      </c>
      <c r="T642" s="14">
        <v>91.98</v>
      </c>
      <c r="U642" s="7">
        <v>12</v>
      </c>
      <c r="V642" s="7">
        <v>22</v>
      </c>
      <c r="W642" s="14">
        <v>125.98</v>
      </c>
      <c r="X642" s="14">
        <v>306.60000000000002</v>
      </c>
      <c r="Y642" s="16">
        <v>0</v>
      </c>
      <c r="Z642" s="12">
        <v>306.60000000000002</v>
      </c>
      <c r="AA642" s="5">
        <v>180.62</v>
      </c>
      <c r="AB642" s="18">
        <v>58.91</v>
      </c>
      <c r="AC642" t="s">
        <v>50</v>
      </c>
      <c r="AD642" t="s">
        <v>51</v>
      </c>
      <c r="AE642" t="s">
        <v>96</v>
      </c>
      <c r="AF642">
        <v>3</v>
      </c>
      <c r="AG642" t="s">
        <v>53</v>
      </c>
    </row>
    <row r="643" spans="1:33">
      <c r="A643" t="s">
        <v>1446</v>
      </c>
      <c r="B643" s="10">
        <v>45902</v>
      </c>
      <c r="C643" s="3" t="s">
        <v>113</v>
      </c>
      <c r="D643" t="s">
        <v>156</v>
      </c>
      <c r="E643" t="s">
        <v>72</v>
      </c>
      <c r="F643" t="s">
        <v>73</v>
      </c>
      <c r="G643" t="s">
        <v>74</v>
      </c>
      <c r="H643" t="s">
        <v>58</v>
      </c>
      <c r="I643" t="s">
        <v>59</v>
      </c>
      <c r="J643" t="s">
        <v>60</v>
      </c>
      <c r="K643" t="s">
        <v>61</v>
      </c>
      <c r="L643" t="s">
        <v>1447</v>
      </c>
      <c r="M643" t="s">
        <v>44</v>
      </c>
      <c r="N643" t="s">
        <v>81</v>
      </c>
      <c r="O643" t="s">
        <v>119</v>
      </c>
      <c r="P643" t="s">
        <v>120</v>
      </c>
      <c r="Q643" t="s">
        <v>103</v>
      </c>
      <c r="R643" t="s">
        <v>49</v>
      </c>
      <c r="S643">
        <v>2</v>
      </c>
      <c r="T643" s="14">
        <v>54.18</v>
      </c>
      <c r="U643" s="7">
        <v>12</v>
      </c>
      <c r="V643" s="7">
        <v>22</v>
      </c>
      <c r="W643" s="14">
        <v>88.18</v>
      </c>
      <c r="X643" s="14">
        <v>180.6</v>
      </c>
      <c r="Y643" s="16">
        <v>0</v>
      </c>
      <c r="Z643" s="12">
        <v>361.2</v>
      </c>
      <c r="AA643" s="5">
        <v>184.84</v>
      </c>
      <c r="AB643" s="18">
        <v>51.17</v>
      </c>
      <c r="AC643" t="s">
        <v>111</v>
      </c>
      <c r="AD643" t="s">
        <v>86</v>
      </c>
      <c r="AE643" t="s">
        <v>68</v>
      </c>
      <c r="AF643">
        <v>5</v>
      </c>
      <c r="AG643" t="s">
        <v>53</v>
      </c>
    </row>
    <row r="644" spans="1:33">
      <c r="A644" t="s">
        <v>1448</v>
      </c>
      <c r="B644" s="10">
        <v>45823</v>
      </c>
      <c r="C644" s="3" t="s">
        <v>55</v>
      </c>
      <c r="D644" t="s">
        <v>89</v>
      </c>
      <c r="E644" t="s">
        <v>174</v>
      </c>
      <c r="F644" t="s">
        <v>131</v>
      </c>
      <c r="G644" t="s">
        <v>132</v>
      </c>
      <c r="H644" t="s">
        <v>115</v>
      </c>
      <c r="I644" t="s">
        <v>116</v>
      </c>
      <c r="J644" t="s">
        <v>117</v>
      </c>
      <c r="K644" t="s">
        <v>61</v>
      </c>
      <c r="L644" t="s">
        <v>1449</v>
      </c>
      <c r="M644" t="s">
        <v>63</v>
      </c>
      <c r="N644" t="s">
        <v>110</v>
      </c>
      <c r="O644" t="s">
        <v>452</v>
      </c>
      <c r="P644" t="s">
        <v>453</v>
      </c>
      <c r="Q644" t="s">
        <v>215</v>
      </c>
      <c r="R644" t="s">
        <v>67</v>
      </c>
      <c r="S644">
        <v>1</v>
      </c>
      <c r="T644" s="14">
        <v>98.7</v>
      </c>
      <c r="U644" s="7">
        <v>12</v>
      </c>
      <c r="V644" s="7">
        <v>22</v>
      </c>
      <c r="W644" s="14">
        <v>132.69999999999999</v>
      </c>
      <c r="X644" s="14">
        <v>329</v>
      </c>
      <c r="Y644" s="16">
        <v>15</v>
      </c>
      <c r="Z644" s="12">
        <v>279.64999999999998</v>
      </c>
      <c r="AA644" s="5">
        <v>146.94999999999999</v>
      </c>
      <c r="AB644" s="18">
        <v>52.55</v>
      </c>
      <c r="AC644" t="s">
        <v>50</v>
      </c>
      <c r="AD644" t="s">
        <v>86</v>
      </c>
      <c r="AE644" t="s">
        <v>96</v>
      </c>
      <c r="AF644">
        <v>4</v>
      </c>
      <c r="AG644" t="s">
        <v>53</v>
      </c>
    </row>
    <row r="645" spans="1:33">
      <c r="A645" t="s">
        <v>1450</v>
      </c>
      <c r="B645" s="10">
        <v>45667</v>
      </c>
      <c r="C645" s="3" t="s">
        <v>182</v>
      </c>
      <c r="D645" t="s">
        <v>35</v>
      </c>
      <c r="E645" t="s">
        <v>152</v>
      </c>
      <c r="F645" t="s">
        <v>91</v>
      </c>
      <c r="G645" t="s">
        <v>92</v>
      </c>
      <c r="H645" t="s">
        <v>115</v>
      </c>
      <c r="I645" t="s">
        <v>116</v>
      </c>
      <c r="J645" t="s">
        <v>117</v>
      </c>
      <c r="K645" t="s">
        <v>61</v>
      </c>
      <c r="L645" t="s">
        <v>1451</v>
      </c>
      <c r="M645" t="s">
        <v>44</v>
      </c>
      <c r="N645" t="s">
        <v>110</v>
      </c>
      <c r="O645" t="s">
        <v>176</v>
      </c>
      <c r="P645" t="s">
        <v>177</v>
      </c>
      <c r="Q645" t="s">
        <v>66</v>
      </c>
      <c r="R645" t="s">
        <v>67</v>
      </c>
      <c r="S645">
        <v>1</v>
      </c>
      <c r="T645" s="14">
        <v>50.7</v>
      </c>
      <c r="U645" s="7">
        <v>12</v>
      </c>
      <c r="V645" s="7">
        <v>22</v>
      </c>
      <c r="W645" s="14">
        <v>84.7</v>
      </c>
      <c r="X645" s="14">
        <v>169</v>
      </c>
      <c r="Y645" s="16">
        <v>0</v>
      </c>
      <c r="Z645" s="12">
        <v>169</v>
      </c>
      <c r="AA645" s="5">
        <v>84.3</v>
      </c>
      <c r="AB645" s="18">
        <v>49.88</v>
      </c>
      <c r="AC645" t="s">
        <v>111</v>
      </c>
      <c r="AD645" t="s">
        <v>158</v>
      </c>
      <c r="AE645" t="s">
        <v>96</v>
      </c>
      <c r="AF645">
        <v>4</v>
      </c>
      <c r="AG645" t="s">
        <v>53</v>
      </c>
    </row>
    <row r="646" spans="1:33">
      <c r="A646" t="s">
        <v>1452</v>
      </c>
      <c r="B646" s="10">
        <v>46001</v>
      </c>
      <c r="C646" s="3" t="s">
        <v>128</v>
      </c>
      <c r="D646" t="s">
        <v>129</v>
      </c>
      <c r="E646" t="s">
        <v>149</v>
      </c>
      <c r="F646" t="s">
        <v>37</v>
      </c>
      <c r="G646" t="s">
        <v>92</v>
      </c>
      <c r="H646" t="s">
        <v>133</v>
      </c>
      <c r="I646" t="s">
        <v>134</v>
      </c>
      <c r="J646" t="s">
        <v>135</v>
      </c>
      <c r="K646" t="s">
        <v>42</v>
      </c>
      <c r="L646" t="s">
        <v>1453</v>
      </c>
      <c r="M646" t="s">
        <v>80</v>
      </c>
      <c r="N646" t="s">
        <v>81</v>
      </c>
      <c r="O646" t="s">
        <v>94</v>
      </c>
      <c r="P646" t="s">
        <v>95</v>
      </c>
      <c r="Q646" t="s">
        <v>66</v>
      </c>
      <c r="R646" t="s">
        <v>49</v>
      </c>
      <c r="S646">
        <v>2</v>
      </c>
      <c r="T646" s="14">
        <v>91.98</v>
      </c>
      <c r="U646" s="7">
        <v>12</v>
      </c>
      <c r="V646" s="7">
        <v>22</v>
      </c>
      <c r="W646" s="14">
        <v>125.98</v>
      </c>
      <c r="X646" s="14">
        <v>306.60000000000002</v>
      </c>
      <c r="Y646" s="16">
        <v>10</v>
      </c>
      <c r="Z646" s="12">
        <v>551.88</v>
      </c>
      <c r="AA646" s="5">
        <v>299.92</v>
      </c>
      <c r="AB646" s="18">
        <v>54.35</v>
      </c>
      <c r="AC646" t="s">
        <v>104</v>
      </c>
      <c r="AD646" t="s">
        <v>51</v>
      </c>
      <c r="AE646" t="s">
        <v>68</v>
      </c>
      <c r="AF646">
        <v>4</v>
      </c>
      <c r="AG646" t="s">
        <v>53</v>
      </c>
    </row>
    <row r="647" spans="1:33">
      <c r="A647" t="s">
        <v>1454</v>
      </c>
      <c r="B647" s="10">
        <v>45733</v>
      </c>
      <c r="C647" s="3" t="s">
        <v>310</v>
      </c>
      <c r="D647" t="s">
        <v>206</v>
      </c>
      <c r="E647" t="s">
        <v>108</v>
      </c>
      <c r="F647" t="s">
        <v>91</v>
      </c>
      <c r="G647" t="s">
        <v>38</v>
      </c>
      <c r="H647" t="s">
        <v>58</v>
      </c>
      <c r="I647" t="s">
        <v>59</v>
      </c>
      <c r="J647" t="s">
        <v>60</v>
      </c>
      <c r="K647" t="s">
        <v>61</v>
      </c>
      <c r="L647" t="s">
        <v>1455</v>
      </c>
      <c r="M647" t="s">
        <v>63</v>
      </c>
      <c r="N647" t="s">
        <v>81</v>
      </c>
      <c r="O647" t="s">
        <v>275</v>
      </c>
      <c r="P647" t="s">
        <v>276</v>
      </c>
      <c r="Q647" t="s">
        <v>125</v>
      </c>
      <c r="R647" t="s">
        <v>84</v>
      </c>
      <c r="S647">
        <v>3</v>
      </c>
      <c r="T647" s="14">
        <v>82.44</v>
      </c>
      <c r="U647" s="7">
        <v>12</v>
      </c>
      <c r="V647" s="7">
        <v>22</v>
      </c>
      <c r="W647" s="14">
        <v>116.44</v>
      </c>
      <c r="X647" s="14">
        <v>274.8</v>
      </c>
      <c r="Y647" s="16">
        <v>5</v>
      </c>
      <c r="Z647" s="12">
        <v>783.18</v>
      </c>
      <c r="AA647" s="5">
        <v>433.86</v>
      </c>
      <c r="AB647" s="18">
        <v>55.4</v>
      </c>
      <c r="AC647" t="s">
        <v>104</v>
      </c>
      <c r="AD647" t="s">
        <v>51</v>
      </c>
      <c r="AE647" t="s">
        <v>126</v>
      </c>
      <c r="AF647">
        <v>4</v>
      </c>
      <c r="AG647" t="s">
        <v>53</v>
      </c>
    </row>
    <row r="648" spans="1:33">
      <c r="A648" t="s">
        <v>1456</v>
      </c>
      <c r="B648" s="10">
        <v>45664</v>
      </c>
      <c r="C648" s="3" t="s">
        <v>307</v>
      </c>
      <c r="D648" t="s">
        <v>156</v>
      </c>
      <c r="E648" t="s">
        <v>152</v>
      </c>
      <c r="F648" t="s">
        <v>91</v>
      </c>
      <c r="G648" t="s">
        <v>92</v>
      </c>
      <c r="H648" t="s">
        <v>142</v>
      </c>
      <c r="I648" t="s">
        <v>143</v>
      </c>
      <c r="J648" t="s">
        <v>144</v>
      </c>
      <c r="K648" t="s">
        <v>145</v>
      </c>
      <c r="L648" t="s">
        <v>1457</v>
      </c>
      <c r="M648" t="s">
        <v>44</v>
      </c>
      <c r="N648" t="s">
        <v>81</v>
      </c>
      <c r="O648" t="s">
        <v>82</v>
      </c>
      <c r="P648" t="s">
        <v>83</v>
      </c>
      <c r="Q648" t="s">
        <v>66</v>
      </c>
      <c r="R648" t="s">
        <v>67</v>
      </c>
      <c r="S648">
        <v>1</v>
      </c>
      <c r="T648" s="14">
        <v>71.7</v>
      </c>
      <c r="U648" s="7">
        <v>12</v>
      </c>
      <c r="V648" s="7">
        <v>22</v>
      </c>
      <c r="W648" s="14">
        <v>105.7</v>
      </c>
      <c r="X648" s="14">
        <v>239</v>
      </c>
      <c r="Y648" s="16">
        <v>0</v>
      </c>
      <c r="Z648" s="12">
        <v>239</v>
      </c>
      <c r="AA648" s="5">
        <v>133.30000000000001</v>
      </c>
      <c r="AB648" s="18">
        <v>55.77</v>
      </c>
      <c r="AC648" t="s">
        <v>85</v>
      </c>
      <c r="AD648" t="s">
        <v>51</v>
      </c>
      <c r="AE648" t="s">
        <v>68</v>
      </c>
      <c r="AF648">
        <v>5</v>
      </c>
      <c r="AG648" t="s">
        <v>53</v>
      </c>
    </row>
    <row r="649" spans="1:33">
      <c r="A649" t="s">
        <v>1458</v>
      </c>
      <c r="B649" s="10">
        <v>45853</v>
      </c>
      <c r="C649" s="3" t="s">
        <v>307</v>
      </c>
      <c r="D649" t="s">
        <v>156</v>
      </c>
      <c r="E649" t="s">
        <v>114</v>
      </c>
      <c r="F649" t="s">
        <v>73</v>
      </c>
      <c r="G649" t="s">
        <v>74</v>
      </c>
      <c r="H649" t="s">
        <v>75</v>
      </c>
      <c r="I649" t="s">
        <v>76</v>
      </c>
      <c r="J649" t="s">
        <v>77</v>
      </c>
      <c r="K649" t="s">
        <v>78</v>
      </c>
      <c r="L649" t="s">
        <v>1459</v>
      </c>
      <c r="M649" t="s">
        <v>80</v>
      </c>
      <c r="N649" t="s">
        <v>110</v>
      </c>
      <c r="O649" t="s">
        <v>275</v>
      </c>
      <c r="P649" t="s">
        <v>276</v>
      </c>
      <c r="Q649" t="s">
        <v>125</v>
      </c>
      <c r="R649" t="s">
        <v>49</v>
      </c>
      <c r="S649">
        <v>2</v>
      </c>
      <c r="T649" s="14">
        <v>96.18</v>
      </c>
      <c r="U649" s="7">
        <v>12</v>
      </c>
      <c r="V649" s="7">
        <v>22</v>
      </c>
      <c r="W649" s="14">
        <v>130.18</v>
      </c>
      <c r="X649" s="14">
        <v>320.60000000000002</v>
      </c>
      <c r="Y649" s="16">
        <v>0</v>
      </c>
      <c r="Z649" s="12">
        <v>641.20000000000005</v>
      </c>
      <c r="AA649" s="5">
        <v>380.84</v>
      </c>
      <c r="AB649" s="18">
        <v>59.39</v>
      </c>
      <c r="AC649" t="s">
        <v>104</v>
      </c>
      <c r="AD649" t="s">
        <v>51</v>
      </c>
      <c r="AE649" t="s">
        <v>52</v>
      </c>
      <c r="AF649">
        <v>5</v>
      </c>
      <c r="AG649" t="s">
        <v>53</v>
      </c>
    </row>
    <row r="650" spans="1:33">
      <c r="A650" t="s">
        <v>1460</v>
      </c>
      <c r="B650" s="10">
        <v>45843</v>
      </c>
      <c r="C650" s="3" t="s">
        <v>160</v>
      </c>
      <c r="D650" t="s">
        <v>71</v>
      </c>
      <c r="E650" t="s">
        <v>114</v>
      </c>
      <c r="F650" t="s">
        <v>73</v>
      </c>
      <c r="G650" t="s">
        <v>74</v>
      </c>
      <c r="H650" t="s">
        <v>133</v>
      </c>
      <c r="I650" t="s">
        <v>134</v>
      </c>
      <c r="J650" t="s">
        <v>135</v>
      </c>
      <c r="K650" t="s">
        <v>42</v>
      </c>
      <c r="L650" t="s">
        <v>1461</v>
      </c>
      <c r="M650" t="s">
        <v>80</v>
      </c>
      <c r="N650" t="s">
        <v>110</v>
      </c>
      <c r="O650" t="s">
        <v>452</v>
      </c>
      <c r="P650" t="s">
        <v>453</v>
      </c>
      <c r="Q650" t="s">
        <v>215</v>
      </c>
      <c r="R650" t="s">
        <v>67</v>
      </c>
      <c r="S650">
        <v>4</v>
      </c>
      <c r="T650" s="14">
        <v>98.7</v>
      </c>
      <c r="U650" s="7">
        <v>12</v>
      </c>
      <c r="V650" s="7">
        <v>22</v>
      </c>
      <c r="W650" s="14">
        <v>132.69999999999999</v>
      </c>
      <c r="X650" s="14">
        <v>329</v>
      </c>
      <c r="Y650" s="16">
        <v>15</v>
      </c>
      <c r="Z650" s="12">
        <v>1118.5999999999999</v>
      </c>
      <c r="AA650" s="5">
        <v>587.79999999999995</v>
      </c>
      <c r="AB650" s="18">
        <v>52.55</v>
      </c>
      <c r="AC650" t="s">
        <v>111</v>
      </c>
      <c r="AD650" t="s">
        <v>86</v>
      </c>
      <c r="AE650" t="s">
        <v>52</v>
      </c>
      <c r="AF650">
        <v>4</v>
      </c>
      <c r="AG650" t="s">
        <v>53</v>
      </c>
    </row>
    <row r="651" spans="1:33">
      <c r="A651" t="s">
        <v>1462</v>
      </c>
      <c r="B651" s="10">
        <v>45749</v>
      </c>
      <c r="C651" s="3" t="s">
        <v>70</v>
      </c>
      <c r="D651" t="s">
        <v>129</v>
      </c>
      <c r="E651" t="s">
        <v>280</v>
      </c>
      <c r="F651" t="s">
        <v>131</v>
      </c>
      <c r="G651" t="s">
        <v>132</v>
      </c>
      <c r="H651" t="s">
        <v>39</v>
      </c>
      <c r="I651" t="s">
        <v>2143</v>
      </c>
      <c r="J651" t="s">
        <v>41</v>
      </c>
      <c r="K651" t="s">
        <v>42</v>
      </c>
      <c r="L651" t="s">
        <v>1463</v>
      </c>
      <c r="M651" t="s">
        <v>44</v>
      </c>
      <c r="N651" t="s">
        <v>45</v>
      </c>
      <c r="O651" t="s">
        <v>94</v>
      </c>
      <c r="P651" t="s">
        <v>95</v>
      </c>
      <c r="Q651" t="s">
        <v>66</v>
      </c>
      <c r="R651" t="s">
        <v>67</v>
      </c>
      <c r="S651">
        <v>2</v>
      </c>
      <c r="T651" s="14">
        <v>65.7</v>
      </c>
      <c r="U651" s="7">
        <v>12</v>
      </c>
      <c r="V651" s="7">
        <v>22</v>
      </c>
      <c r="W651" s="14">
        <v>99.7</v>
      </c>
      <c r="X651" s="14">
        <v>219</v>
      </c>
      <c r="Y651" s="16">
        <v>10</v>
      </c>
      <c r="Z651" s="12">
        <v>394.2</v>
      </c>
      <c r="AA651" s="5">
        <v>194.8</v>
      </c>
      <c r="AB651" s="18">
        <v>49.42</v>
      </c>
      <c r="AC651" t="s">
        <v>111</v>
      </c>
      <c r="AD651" t="s">
        <v>51</v>
      </c>
      <c r="AE651" t="s">
        <v>68</v>
      </c>
      <c r="AF651">
        <v>5</v>
      </c>
      <c r="AG651" t="s">
        <v>53</v>
      </c>
    </row>
    <row r="652" spans="1:33">
      <c r="A652" t="s">
        <v>1464</v>
      </c>
      <c r="B652" s="10">
        <v>45932</v>
      </c>
      <c r="C652" s="3" t="s">
        <v>171</v>
      </c>
      <c r="D652" t="s">
        <v>56</v>
      </c>
      <c r="E652" t="s">
        <v>36</v>
      </c>
      <c r="F652" t="s">
        <v>37</v>
      </c>
      <c r="G652" t="s">
        <v>38</v>
      </c>
      <c r="H652" t="s">
        <v>39</v>
      </c>
      <c r="I652" t="s">
        <v>2143</v>
      </c>
      <c r="J652" t="s">
        <v>41</v>
      </c>
      <c r="K652" t="s">
        <v>42</v>
      </c>
      <c r="L652" t="s">
        <v>1465</v>
      </c>
      <c r="M652" t="s">
        <v>63</v>
      </c>
      <c r="N652" t="s">
        <v>45</v>
      </c>
      <c r="O652" t="s">
        <v>82</v>
      </c>
      <c r="P652" t="s">
        <v>83</v>
      </c>
      <c r="Q652" t="s">
        <v>66</v>
      </c>
      <c r="R652" t="s">
        <v>84</v>
      </c>
      <c r="S652">
        <v>1</v>
      </c>
      <c r="T652" s="14">
        <v>86.04</v>
      </c>
      <c r="U652" s="7">
        <v>12</v>
      </c>
      <c r="V652" s="7">
        <v>22</v>
      </c>
      <c r="W652" s="14">
        <v>120.04</v>
      </c>
      <c r="X652" s="14">
        <v>286.8</v>
      </c>
      <c r="Y652" s="16">
        <v>0</v>
      </c>
      <c r="Z652" s="12">
        <v>286.8</v>
      </c>
      <c r="AA652" s="5">
        <v>166.76</v>
      </c>
      <c r="AB652" s="18">
        <v>58.15</v>
      </c>
      <c r="AC652" t="s">
        <v>104</v>
      </c>
      <c r="AD652" t="s">
        <v>158</v>
      </c>
      <c r="AE652" t="s">
        <v>68</v>
      </c>
      <c r="AF652">
        <v>4</v>
      </c>
      <c r="AG652" t="s">
        <v>53</v>
      </c>
    </row>
    <row r="653" spans="1:33">
      <c r="A653" t="s">
        <v>1466</v>
      </c>
      <c r="B653" s="10">
        <v>46010</v>
      </c>
      <c r="C653" s="3" t="s">
        <v>155</v>
      </c>
      <c r="D653" t="s">
        <v>35</v>
      </c>
      <c r="E653" t="s">
        <v>149</v>
      </c>
      <c r="F653" t="s">
        <v>37</v>
      </c>
      <c r="G653" t="s">
        <v>92</v>
      </c>
      <c r="H653" t="s">
        <v>142</v>
      </c>
      <c r="I653" t="s">
        <v>143</v>
      </c>
      <c r="J653" t="s">
        <v>144</v>
      </c>
      <c r="K653" t="s">
        <v>145</v>
      </c>
      <c r="L653" t="s">
        <v>1467</v>
      </c>
      <c r="M653" t="s">
        <v>80</v>
      </c>
      <c r="N653" t="s">
        <v>110</v>
      </c>
      <c r="O653" t="s">
        <v>101</v>
      </c>
      <c r="P653" t="s">
        <v>102</v>
      </c>
      <c r="Q653" t="s">
        <v>103</v>
      </c>
      <c r="R653" t="s">
        <v>67</v>
      </c>
      <c r="S653">
        <v>3</v>
      </c>
      <c r="T653" s="14">
        <v>44.7</v>
      </c>
      <c r="U653" s="7">
        <v>12</v>
      </c>
      <c r="V653" s="7">
        <v>22</v>
      </c>
      <c r="W653" s="14">
        <v>78.7</v>
      </c>
      <c r="X653" s="14">
        <v>149</v>
      </c>
      <c r="Y653" s="16">
        <v>0</v>
      </c>
      <c r="Z653" s="12">
        <v>447</v>
      </c>
      <c r="AA653" s="5">
        <v>210.9</v>
      </c>
      <c r="AB653" s="18">
        <v>47.18</v>
      </c>
      <c r="AC653" t="s">
        <v>85</v>
      </c>
      <c r="AD653" t="s">
        <v>86</v>
      </c>
      <c r="AE653" t="s">
        <v>52</v>
      </c>
      <c r="AF653">
        <v>4</v>
      </c>
      <c r="AG653" t="s">
        <v>53</v>
      </c>
    </row>
    <row r="654" spans="1:33">
      <c r="A654" t="s">
        <v>1468</v>
      </c>
      <c r="B654" s="10">
        <v>45966</v>
      </c>
      <c r="C654" s="3" t="s">
        <v>128</v>
      </c>
      <c r="D654" t="s">
        <v>129</v>
      </c>
      <c r="E654" t="s">
        <v>57</v>
      </c>
      <c r="F654" t="s">
        <v>37</v>
      </c>
      <c r="G654" t="s">
        <v>38</v>
      </c>
      <c r="H654" t="s">
        <v>133</v>
      </c>
      <c r="I654" t="s">
        <v>134</v>
      </c>
      <c r="J654" t="s">
        <v>135</v>
      </c>
      <c r="K654" t="s">
        <v>42</v>
      </c>
      <c r="L654" t="s">
        <v>1469</v>
      </c>
      <c r="M654" t="s">
        <v>44</v>
      </c>
      <c r="N654" t="s">
        <v>45</v>
      </c>
      <c r="O654" t="s">
        <v>168</v>
      </c>
      <c r="P654" t="s">
        <v>169</v>
      </c>
      <c r="Q654" t="s">
        <v>139</v>
      </c>
      <c r="R654" t="s">
        <v>49</v>
      </c>
      <c r="S654">
        <v>1</v>
      </c>
      <c r="T654" s="14">
        <v>66.78</v>
      </c>
      <c r="U654" s="7">
        <v>12</v>
      </c>
      <c r="V654" s="7">
        <v>22</v>
      </c>
      <c r="W654" s="14">
        <v>100.78</v>
      </c>
      <c r="X654" s="14">
        <v>222.6</v>
      </c>
      <c r="Y654" s="16">
        <v>0</v>
      </c>
      <c r="Z654" s="12">
        <v>222.6</v>
      </c>
      <c r="AA654" s="5">
        <v>121.82</v>
      </c>
      <c r="AB654" s="18">
        <v>54.73</v>
      </c>
      <c r="AC654" t="s">
        <v>111</v>
      </c>
      <c r="AD654" t="s">
        <v>158</v>
      </c>
      <c r="AE654" t="s">
        <v>105</v>
      </c>
      <c r="AF654">
        <v>5</v>
      </c>
      <c r="AG654" t="s">
        <v>53</v>
      </c>
    </row>
    <row r="655" spans="1:33">
      <c r="A655" t="s">
        <v>1470</v>
      </c>
      <c r="B655" s="10">
        <v>45961</v>
      </c>
      <c r="C655" s="3" t="s">
        <v>155</v>
      </c>
      <c r="D655" t="s">
        <v>35</v>
      </c>
      <c r="E655" t="s">
        <v>36</v>
      </c>
      <c r="F655" t="s">
        <v>37</v>
      </c>
      <c r="G655" t="s">
        <v>38</v>
      </c>
      <c r="H655" t="s">
        <v>39</v>
      </c>
      <c r="I655" t="s">
        <v>2143</v>
      </c>
      <c r="J655" t="s">
        <v>41</v>
      </c>
      <c r="K655" t="s">
        <v>42</v>
      </c>
      <c r="L655" t="s">
        <v>1471</v>
      </c>
      <c r="M655" t="s">
        <v>44</v>
      </c>
      <c r="N655" t="s">
        <v>110</v>
      </c>
      <c r="O655" t="s">
        <v>82</v>
      </c>
      <c r="P655" t="s">
        <v>83</v>
      </c>
      <c r="Q655" t="s">
        <v>66</v>
      </c>
      <c r="R655" t="s">
        <v>49</v>
      </c>
      <c r="S655">
        <v>1</v>
      </c>
      <c r="T655" s="14">
        <v>100.38</v>
      </c>
      <c r="U655" s="7">
        <v>12</v>
      </c>
      <c r="V655" s="7">
        <v>22</v>
      </c>
      <c r="W655" s="14">
        <v>134.38</v>
      </c>
      <c r="X655" s="14">
        <v>334.6</v>
      </c>
      <c r="Y655" s="16">
        <v>0</v>
      </c>
      <c r="Z655" s="12">
        <v>334.6</v>
      </c>
      <c r="AA655" s="5">
        <v>200.22</v>
      </c>
      <c r="AB655" s="18">
        <v>59.84</v>
      </c>
      <c r="AC655" t="s">
        <v>104</v>
      </c>
      <c r="AD655" t="s">
        <v>158</v>
      </c>
      <c r="AE655" t="s">
        <v>126</v>
      </c>
      <c r="AF655">
        <v>4</v>
      </c>
      <c r="AG655" t="s">
        <v>53</v>
      </c>
    </row>
    <row r="656" spans="1:33">
      <c r="A656" t="s">
        <v>1472</v>
      </c>
      <c r="B656" s="10">
        <v>45838</v>
      </c>
      <c r="C656" s="3" t="s">
        <v>182</v>
      </c>
      <c r="D656" t="s">
        <v>206</v>
      </c>
      <c r="E656" t="s">
        <v>174</v>
      </c>
      <c r="F656" t="s">
        <v>131</v>
      </c>
      <c r="G656" t="s">
        <v>132</v>
      </c>
      <c r="H656" t="s">
        <v>58</v>
      </c>
      <c r="I656" t="s">
        <v>59</v>
      </c>
      <c r="J656" t="s">
        <v>60</v>
      </c>
      <c r="K656" t="s">
        <v>61</v>
      </c>
      <c r="L656" t="s">
        <v>1473</v>
      </c>
      <c r="M656" t="s">
        <v>44</v>
      </c>
      <c r="N656" t="s">
        <v>45</v>
      </c>
      <c r="O656" t="s">
        <v>162</v>
      </c>
      <c r="P656" t="s">
        <v>163</v>
      </c>
      <c r="Q656" t="s">
        <v>48</v>
      </c>
      <c r="R656" t="s">
        <v>49</v>
      </c>
      <c r="S656">
        <v>3</v>
      </c>
      <c r="T656" s="14">
        <v>104.58</v>
      </c>
      <c r="U656" s="7">
        <v>12</v>
      </c>
      <c r="V656" s="7">
        <v>22</v>
      </c>
      <c r="W656" s="14">
        <v>138.58000000000001</v>
      </c>
      <c r="X656" s="14">
        <v>348.6</v>
      </c>
      <c r="Y656" s="16">
        <v>0</v>
      </c>
      <c r="Z656" s="12">
        <v>1045.8</v>
      </c>
      <c r="AA656" s="5">
        <v>630.05999999999995</v>
      </c>
      <c r="AB656" s="18">
        <v>60.25</v>
      </c>
      <c r="AC656" t="s">
        <v>111</v>
      </c>
      <c r="AD656" t="s">
        <v>51</v>
      </c>
      <c r="AE656" t="s">
        <v>126</v>
      </c>
      <c r="AF656">
        <v>5</v>
      </c>
      <c r="AG656" t="s">
        <v>53</v>
      </c>
    </row>
    <row r="657" spans="1:33">
      <c r="A657" t="s">
        <v>1474</v>
      </c>
      <c r="B657" s="10">
        <v>46018</v>
      </c>
      <c r="C657" s="3" t="s">
        <v>339</v>
      </c>
      <c r="D657" t="s">
        <v>71</v>
      </c>
      <c r="E657" t="s">
        <v>149</v>
      </c>
      <c r="F657" t="s">
        <v>37</v>
      </c>
      <c r="G657" t="s">
        <v>92</v>
      </c>
      <c r="H657" t="s">
        <v>142</v>
      </c>
      <c r="I657" t="s">
        <v>143</v>
      </c>
      <c r="J657" t="s">
        <v>144</v>
      </c>
      <c r="K657" t="s">
        <v>145</v>
      </c>
      <c r="L657" t="s">
        <v>1475</v>
      </c>
      <c r="M657" t="s">
        <v>44</v>
      </c>
      <c r="N657" t="s">
        <v>110</v>
      </c>
      <c r="O657" t="s">
        <v>452</v>
      </c>
      <c r="P657" t="s">
        <v>453</v>
      </c>
      <c r="Q657" t="s">
        <v>215</v>
      </c>
      <c r="R657" t="s">
        <v>84</v>
      </c>
      <c r="S657">
        <v>2</v>
      </c>
      <c r="T657" s="14">
        <v>118.44</v>
      </c>
      <c r="U657" s="7">
        <v>12</v>
      </c>
      <c r="V657" s="7">
        <v>22</v>
      </c>
      <c r="W657" s="14">
        <v>152.44</v>
      </c>
      <c r="X657" s="14">
        <v>394.8</v>
      </c>
      <c r="Y657" s="16">
        <v>10</v>
      </c>
      <c r="Z657" s="12">
        <v>710.64</v>
      </c>
      <c r="AA657" s="5">
        <v>405.76</v>
      </c>
      <c r="AB657" s="18">
        <v>57.1</v>
      </c>
      <c r="AC657" t="s">
        <v>111</v>
      </c>
      <c r="AD657" t="s">
        <v>51</v>
      </c>
      <c r="AE657" t="s">
        <v>105</v>
      </c>
      <c r="AF657">
        <v>5</v>
      </c>
      <c r="AG657" t="s">
        <v>53</v>
      </c>
    </row>
    <row r="658" spans="1:33">
      <c r="A658" t="s">
        <v>1476</v>
      </c>
      <c r="B658" s="10">
        <v>45683</v>
      </c>
      <c r="C658" s="3" t="s">
        <v>98</v>
      </c>
      <c r="D658" t="s">
        <v>89</v>
      </c>
      <c r="E658" t="s">
        <v>152</v>
      </c>
      <c r="F658" t="s">
        <v>91</v>
      </c>
      <c r="G658" t="s">
        <v>92</v>
      </c>
      <c r="H658" t="s">
        <v>142</v>
      </c>
      <c r="I658" t="s">
        <v>143</v>
      </c>
      <c r="J658" t="s">
        <v>144</v>
      </c>
      <c r="K658" t="s">
        <v>145</v>
      </c>
      <c r="L658" t="s">
        <v>1477</v>
      </c>
      <c r="M658" t="s">
        <v>63</v>
      </c>
      <c r="N658" t="s">
        <v>45</v>
      </c>
      <c r="O658" t="s">
        <v>94</v>
      </c>
      <c r="P658" t="s">
        <v>95</v>
      </c>
      <c r="Q658" t="s">
        <v>66</v>
      </c>
      <c r="R658" t="s">
        <v>67</v>
      </c>
      <c r="S658">
        <v>2</v>
      </c>
      <c r="T658" s="14">
        <v>65.7</v>
      </c>
      <c r="U658" s="7">
        <v>12</v>
      </c>
      <c r="V658" s="7">
        <v>22</v>
      </c>
      <c r="W658" s="14">
        <v>99.7</v>
      </c>
      <c r="X658" s="14">
        <v>219</v>
      </c>
      <c r="Y658" s="16">
        <v>10</v>
      </c>
      <c r="Z658" s="12">
        <v>394.2</v>
      </c>
      <c r="AA658" s="5">
        <v>194.8</v>
      </c>
      <c r="AB658" s="18">
        <v>49.42</v>
      </c>
      <c r="AC658" t="s">
        <v>50</v>
      </c>
      <c r="AD658" t="s">
        <v>158</v>
      </c>
      <c r="AE658" t="s">
        <v>126</v>
      </c>
      <c r="AF658">
        <v>3</v>
      </c>
      <c r="AG658" t="s">
        <v>53</v>
      </c>
    </row>
    <row r="659" spans="1:33">
      <c r="A659" t="s">
        <v>1478</v>
      </c>
      <c r="B659" s="10">
        <v>45675</v>
      </c>
      <c r="C659" s="3" t="s">
        <v>339</v>
      </c>
      <c r="D659" t="s">
        <v>71</v>
      </c>
      <c r="E659" t="s">
        <v>152</v>
      </c>
      <c r="F659" t="s">
        <v>91</v>
      </c>
      <c r="G659" t="s">
        <v>92</v>
      </c>
      <c r="H659" t="s">
        <v>115</v>
      </c>
      <c r="I659" t="s">
        <v>116</v>
      </c>
      <c r="J659" t="s">
        <v>117</v>
      </c>
      <c r="K659" t="s">
        <v>61</v>
      </c>
      <c r="L659" t="s">
        <v>1479</v>
      </c>
      <c r="M659" t="s">
        <v>44</v>
      </c>
      <c r="N659" t="s">
        <v>81</v>
      </c>
      <c r="O659" t="s">
        <v>176</v>
      </c>
      <c r="P659" t="s">
        <v>177</v>
      </c>
      <c r="Q659" t="s">
        <v>66</v>
      </c>
      <c r="R659" t="s">
        <v>84</v>
      </c>
      <c r="S659">
        <v>3</v>
      </c>
      <c r="T659" s="14">
        <v>60.84</v>
      </c>
      <c r="U659" s="7">
        <v>12</v>
      </c>
      <c r="V659" s="7">
        <v>22</v>
      </c>
      <c r="W659" s="14">
        <v>94.84</v>
      </c>
      <c r="X659" s="14">
        <v>202.8</v>
      </c>
      <c r="Y659" s="16">
        <v>10</v>
      </c>
      <c r="Z659" s="12">
        <v>547.55999999999995</v>
      </c>
      <c r="AA659" s="5">
        <v>263.04000000000002</v>
      </c>
      <c r="AB659" s="18">
        <v>48.04</v>
      </c>
      <c r="AC659" t="s">
        <v>111</v>
      </c>
      <c r="AD659" t="s">
        <v>158</v>
      </c>
      <c r="AE659" t="s">
        <v>96</v>
      </c>
      <c r="AF659">
        <v>4</v>
      </c>
      <c r="AG659" t="s">
        <v>53</v>
      </c>
    </row>
    <row r="660" spans="1:33">
      <c r="A660" t="s">
        <v>1480</v>
      </c>
      <c r="B660" s="10">
        <v>45765</v>
      </c>
      <c r="C660" s="3" t="s">
        <v>194</v>
      </c>
      <c r="D660" t="s">
        <v>35</v>
      </c>
      <c r="E660" t="s">
        <v>280</v>
      </c>
      <c r="F660" t="s">
        <v>131</v>
      </c>
      <c r="G660" t="s">
        <v>132</v>
      </c>
      <c r="H660" t="s">
        <v>142</v>
      </c>
      <c r="I660" t="s">
        <v>143</v>
      </c>
      <c r="J660" t="s">
        <v>144</v>
      </c>
      <c r="K660" t="s">
        <v>145</v>
      </c>
      <c r="L660" t="s">
        <v>1481</v>
      </c>
      <c r="M660" t="s">
        <v>80</v>
      </c>
      <c r="N660" t="s">
        <v>81</v>
      </c>
      <c r="O660" t="s">
        <v>119</v>
      </c>
      <c r="P660" t="s">
        <v>120</v>
      </c>
      <c r="Q660" t="s">
        <v>103</v>
      </c>
      <c r="R660" t="s">
        <v>67</v>
      </c>
      <c r="S660">
        <v>1</v>
      </c>
      <c r="T660" s="14">
        <v>38.700000000000003</v>
      </c>
      <c r="U660" s="7">
        <v>12</v>
      </c>
      <c r="V660" s="7">
        <v>22</v>
      </c>
      <c r="W660" s="14">
        <v>72.7</v>
      </c>
      <c r="X660" s="14">
        <v>129</v>
      </c>
      <c r="Y660" s="16">
        <v>10</v>
      </c>
      <c r="Z660" s="12">
        <v>116.1</v>
      </c>
      <c r="AA660" s="5">
        <v>43.4</v>
      </c>
      <c r="AB660" s="18">
        <v>37.380000000000003</v>
      </c>
      <c r="AC660" t="s">
        <v>111</v>
      </c>
      <c r="AD660" t="s">
        <v>86</v>
      </c>
      <c r="AE660" t="s">
        <v>68</v>
      </c>
      <c r="AF660">
        <v>5</v>
      </c>
      <c r="AG660" t="s">
        <v>53</v>
      </c>
    </row>
    <row r="661" spans="1:33">
      <c r="A661" t="s">
        <v>1482</v>
      </c>
      <c r="B661" s="10">
        <v>45662</v>
      </c>
      <c r="C661" s="3" t="s">
        <v>194</v>
      </c>
      <c r="D661" t="s">
        <v>89</v>
      </c>
      <c r="E661" t="s">
        <v>152</v>
      </c>
      <c r="F661" t="s">
        <v>91</v>
      </c>
      <c r="G661" t="s">
        <v>92</v>
      </c>
      <c r="H661" t="s">
        <v>133</v>
      </c>
      <c r="I661" t="s">
        <v>134</v>
      </c>
      <c r="J661" t="s">
        <v>135</v>
      </c>
      <c r="K661" t="s">
        <v>42</v>
      </c>
      <c r="L661" t="s">
        <v>1483</v>
      </c>
      <c r="M661" t="s">
        <v>80</v>
      </c>
      <c r="N661" t="s">
        <v>45</v>
      </c>
      <c r="O661" t="s">
        <v>82</v>
      </c>
      <c r="P661" t="s">
        <v>83</v>
      </c>
      <c r="Q661" t="s">
        <v>66</v>
      </c>
      <c r="R661" t="s">
        <v>49</v>
      </c>
      <c r="S661">
        <v>3</v>
      </c>
      <c r="T661" s="14">
        <v>100.38</v>
      </c>
      <c r="U661" s="7">
        <v>12</v>
      </c>
      <c r="V661" s="7">
        <v>22</v>
      </c>
      <c r="W661" s="14">
        <v>134.38</v>
      </c>
      <c r="X661" s="14">
        <v>334.6</v>
      </c>
      <c r="Y661" s="16">
        <v>10</v>
      </c>
      <c r="Z661" s="12">
        <v>903.42</v>
      </c>
      <c r="AA661" s="5">
        <v>500.28</v>
      </c>
      <c r="AB661" s="18">
        <v>55.38</v>
      </c>
      <c r="AC661" t="s">
        <v>111</v>
      </c>
      <c r="AD661" t="s">
        <v>158</v>
      </c>
      <c r="AE661" t="s">
        <v>105</v>
      </c>
      <c r="AF661">
        <v>4</v>
      </c>
      <c r="AG661" t="s">
        <v>53</v>
      </c>
    </row>
    <row r="662" spans="1:33">
      <c r="A662" t="s">
        <v>1484</v>
      </c>
      <c r="B662" s="10">
        <v>45750</v>
      </c>
      <c r="C662" s="3" t="s">
        <v>211</v>
      </c>
      <c r="D662" t="s">
        <v>56</v>
      </c>
      <c r="E662" t="s">
        <v>280</v>
      </c>
      <c r="F662" t="s">
        <v>131</v>
      </c>
      <c r="G662" t="s">
        <v>132</v>
      </c>
      <c r="H662" t="s">
        <v>39</v>
      </c>
      <c r="I662" t="s">
        <v>2143</v>
      </c>
      <c r="J662" t="s">
        <v>41</v>
      </c>
      <c r="K662" t="s">
        <v>42</v>
      </c>
      <c r="L662" t="s">
        <v>1485</v>
      </c>
      <c r="M662" t="s">
        <v>80</v>
      </c>
      <c r="N662" t="s">
        <v>81</v>
      </c>
      <c r="O662" t="s">
        <v>176</v>
      </c>
      <c r="P662" t="s">
        <v>177</v>
      </c>
      <c r="Q662" t="s">
        <v>66</v>
      </c>
      <c r="R662" t="s">
        <v>84</v>
      </c>
      <c r="S662">
        <v>1</v>
      </c>
      <c r="T662" s="14">
        <v>60.84</v>
      </c>
      <c r="U662" s="7">
        <v>12</v>
      </c>
      <c r="V662" s="7">
        <v>22</v>
      </c>
      <c r="W662" s="14">
        <v>94.84</v>
      </c>
      <c r="X662" s="14">
        <v>202.8</v>
      </c>
      <c r="Y662" s="16">
        <v>10</v>
      </c>
      <c r="Z662" s="12">
        <v>182.52</v>
      </c>
      <c r="AA662" s="5">
        <v>87.68</v>
      </c>
      <c r="AB662" s="18">
        <v>48.04</v>
      </c>
      <c r="AC662" t="s">
        <v>50</v>
      </c>
      <c r="AD662" t="s">
        <v>51</v>
      </c>
      <c r="AE662" t="s">
        <v>105</v>
      </c>
      <c r="AF662">
        <v>5</v>
      </c>
      <c r="AG662" t="s">
        <v>53</v>
      </c>
    </row>
    <row r="663" spans="1:33">
      <c r="A663" t="s">
        <v>1486</v>
      </c>
      <c r="B663" s="10">
        <v>45962</v>
      </c>
      <c r="C663" s="3" t="s">
        <v>390</v>
      </c>
      <c r="D663" t="s">
        <v>71</v>
      </c>
      <c r="E663" t="s">
        <v>57</v>
      </c>
      <c r="F663" t="s">
        <v>37</v>
      </c>
      <c r="G663" t="s">
        <v>38</v>
      </c>
      <c r="H663" t="s">
        <v>115</v>
      </c>
      <c r="I663" t="s">
        <v>116</v>
      </c>
      <c r="J663" t="s">
        <v>117</v>
      </c>
      <c r="K663" t="s">
        <v>61</v>
      </c>
      <c r="L663" t="s">
        <v>1487</v>
      </c>
      <c r="M663" t="s">
        <v>80</v>
      </c>
      <c r="N663" t="s">
        <v>110</v>
      </c>
      <c r="O663" t="s">
        <v>46</v>
      </c>
      <c r="P663" t="s">
        <v>47</v>
      </c>
      <c r="Q663" t="s">
        <v>48</v>
      </c>
      <c r="R663" t="s">
        <v>49</v>
      </c>
      <c r="S663">
        <v>3</v>
      </c>
      <c r="T663" s="14">
        <v>108.78</v>
      </c>
      <c r="U663" s="7">
        <v>12</v>
      </c>
      <c r="V663" s="7">
        <v>22</v>
      </c>
      <c r="W663" s="14">
        <v>142.78</v>
      </c>
      <c r="X663" s="14">
        <v>362.6</v>
      </c>
      <c r="Y663" s="16">
        <v>10</v>
      </c>
      <c r="Z663" s="12">
        <v>979.02</v>
      </c>
      <c r="AA663" s="5">
        <v>550.67999999999995</v>
      </c>
      <c r="AB663" s="18">
        <v>56.25</v>
      </c>
      <c r="AC663" t="s">
        <v>50</v>
      </c>
      <c r="AD663" t="s">
        <v>51</v>
      </c>
      <c r="AE663" t="s">
        <v>68</v>
      </c>
      <c r="AF663">
        <v>5</v>
      </c>
      <c r="AG663" t="s">
        <v>53</v>
      </c>
    </row>
    <row r="664" spans="1:33">
      <c r="A664" t="s">
        <v>1488</v>
      </c>
      <c r="B664" s="10">
        <v>45767</v>
      </c>
      <c r="C664" s="3" t="s">
        <v>113</v>
      </c>
      <c r="D664" t="s">
        <v>89</v>
      </c>
      <c r="E664" t="s">
        <v>280</v>
      </c>
      <c r="F664" t="s">
        <v>131</v>
      </c>
      <c r="G664" t="s">
        <v>132</v>
      </c>
      <c r="H664" t="s">
        <v>75</v>
      </c>
      <c r="I664" t="s">
        <v>76</v>
      </c>
      <c r="J664" t="s">
        <v>77</v>
      </c>
      <c r="K664" t="s">
        <v>78</v>
      </c>
      <c r="L664" t="s">
        <v>1489</v>
      </c>
      <c r="M664" t="s">
        <v>63</v>
      </c>
      <c r="N664" t="s">
        <v>81</v>
      </c>
      <c r="O664" t="s">
        <v>176</v>
      </c>
      <c r="P664" t="s">
        <v>177</v>
      </c>
      <c r="Q664" t="s">
        <v>66</v>
      </c>
      <c r="R664" t="s">
        <v>84</v>
      </c>
      <c r="S664">
        <v>1</v>
      </c>
      <c r="T664" s="14">
        <v>60.84</v>
      </c>
      <c r="U664" s="7">
        <v>12</v>
      </c>
      <c r="V664" s="7">
        <v>22</v>
      </c>
      <c r="W664" s="14">
        <v>94.84</v>
      </c>
      <c r="X664" s="14">
        <v>202.8</v>
      </c>
      <c r="Y664" s="16">
        <v>10</v>
      </c>
      <c r="Z664" s="12">
        <v>182.52</v>
      </c>
      <c r="AA664" s="5">
        <v>87.68</v>
      </c>
      <c r="AB664" s="18">
        <v>48.04</v>
      </c>
      <c r="AC664" t="s">
        <v>104</v>
      </c>
      <c r="AD664" t="s">
        <v>86</v>
      </c>
      <c r="AE664" t="s">
        <v>126</v>
      </c>
      <c r="AF664">
        <v>5</v>
      </c>
      <c r="AG664" t="s">
        <v>53</v>
      </c>
    </row>
    <row r="665" spans="1:33">
      <c r="A665" t="s">
        <v>1490</v>
      </c>
      <c r="B665" s="10">
        <v>45951</v>
      </c>
      <c r="C665" s="3" t="s">
        <v>310</v>
      </c>
      <c r="D665" t="s">
        <v>156</v>
      </c>
      <c r="E665" t="s">
        <v>36</v>
      </c>
      <c r="F665" t="s">
        <v>37</v>
      </c>
      <c r="G665" t="s">
        <v>38</v>
      </c>
      <c r="H665" t="s">
        <v>115</v>
      </c>
      <c r="I665" t="s">
        <v>116</v>
      </c>
      <c r="J665" t="s">
        <v>117</v>
      </c>
      <c r="K665" t="s">
        <v>61</v>
      </c>
      <c r="L665" t="s">
        <v>1491</v>
      </c>
      <c r="M665" t="s">
        <v>63</v>
      </c>
      <c r="N665" t="s">
        <v>81</v>
      </c>
      <c r="O665" t="s">
        <v>189</v>
      </c>
      <c r="P665" t="s">
        <v>190</v>
      </c>
      <c r="Q665" t="s">
        <v>48</v>
      </c>
      <c r="R665" t="s">
        <v>67</v>
      </c>
      <c r="S665">
        <v>1</v>
      </c>
      <c r="T665" s="14">
        <v>47.7</v>
      </c>
      <c r="U665" s="7">
        <v>12</v>
      </c>
      <c r="V665" s="7">
        <v>22</v>
      </c>
      <c r="W665" s="14">
        <v>81.7</v>
      </c>
      <c r="X665" s="14">
        <v>159</v>
      </c>
      <c r="Y665" s="16">
        <v>10</v>
      </c>
      <c r="Z665" s="12">
        <v>143.1</v>
      </c>
      <c r="AA665" s="5">
        <v>61.4</v>
      </c>
      <c r="AB665" s="18">
        <v>42.91</v>
      </c>
      <c r="AC665" t="s">
        <v>85</v>
      </c>
      <c r="AD665" t="s">
        <v>51</v>
      </c>
      <c r="AE665" t="s">
        <v>105</v>
      </c>
      <c r="AF665">
        <v>5</v>
      </c>
      <c r="AG665" t="s">
        <v>53</v>
      </c>
    </row>
    <row r="666" spans="1:33">
      <c r="A666" t="s">
        <v>1492</v>
      </c>
      <c r="B666" s="10">
        <v>45841</v>
      </c>
      <c r="C666" s="3" t="s">
        <v>160</v>
      </c>
      <c r="D666" t="s">
        <v>56</v>
      </c>
      <c r="E666" t="s">
        <v>114</v>
      </c>
      <c r="F666" t="s">
        <v>73</v>
      </c>
      <c r="G666" t="s">
        <v>74</v>
      </c>
      <c r="H666" t="s">
        <v>75</v>
      </c>
      <c r="I666" t="s">
        <v>76</v>
      </c>
      <c r="J666" t="s">
        <v>77</v>
      </c>
      <c r="K666" t="s">
        <v>78</v>
      </c>
      <c r="L666" t="s">
        <v>1493</v>
      </c>
      <c r="M666" t="s">
        <v>63</v>
      </c>
      <c r="N666" t="s">
        <v>81</v>
      </c>
      <c r="O666" t="s">
        <v>46</v>
      </c>
      <c r="P666" t="s">
        <v>47</v>
      </c>
      <c r="Q666" t="s">
        <v>48</v>
      </c>
      <c r="R666" t="s">
        <v>84</v>
      </c>
      <c r="S666">
        <v>3</v>
      </c>
      <c r="T666" s="14">
        <v>93.24</v>
      </c>
      <c r="U666" s="7">
        <v>12</v>
      </c>
      <c r="V666" s="7">
        <v>22</v>
      </c>
      <c r="W666" s="14">
        <v>127.24</v>
      </c>
      <c r="X666" s="14">
        <v>310.8</v>
      </c>
      <c r="Y666" s="16">
        <v>5</v>
      </c>
      <c r="Z666" s="12">
        <v>885.78</v>
      </c>
      <c r="AA666" s="5">
        <v>504.06</v>
      </c>
      <c r="AB666" s="18">
        <v>56.91</v>
      </c>
      <c r="AC666" t="s">
        <v>104</v>
      </c>
      <c r="AD666" t="s">
        <v>158</v>
      </c>
      <c r="AE666" t="s">
        <v>52</v>
      </c>
      <c r="AF666">
        <v>5</v>
      </c>
      <c r="AG666" t="s">
        <v>53</v>
      </c>
    </row>
    <row r="667" spans="1:33">
      <c r="A667" t="s">
        <v>1494</v>
      </c>
      <c r="B667" s="10">
        <v>45887</v>
      </c>
      <c r="C667" s="3" t="s">
        <v>182</v>
      </c>
      <c r="D667" t="s">
        <v>206</v>
      </c>
      <c r="E667" t="s">
        <v>99</v>
      </c>
      <c r="F667" t="s">
        <v>73</v>
      </c>
      <c r="G667" t="s">
        <v>74</v>
      </c>
      <c r="H667" t="s">
        <v>75</v>
      </c>
      <c r="I667" t="s">
        <v>76</v>
      </c>
      <c r="J667" t="s">
        <v>77</v>
      </c>
      <c r="K667" t="s">
        <v>78</v>
      </c>
      <c r="L667" t="s">
        <v>1495</v>
      </c>
      <c r="M667" t="s">
        <v>80</v>
      </c>
      <c r="N667" t="s">
        <v>81</v>
      </c>
      <c r="O667" t="s">
        <v>64</v>
      </c>
      <c r="P667" t="s">
        <v>65</v>
      </c>
      <c r="Q667" t="s">
        <v>66</v>
      </c>
      <c r="R667" t="s">
        <v>49</v>
      </c>
      <c r="S667">
        <v>1</v>
      </c>
      <c r="T667" s="14">
        <v>62.58</v>
      </c>
      <c r="U667" s="7">
        <v>12</v>
      </c>
      <c r="V667" s="7">
        <v>22</v>
      </c>
      <c r="W667" s="14">
        <v>96.58</v>
      </c>
      <c r="X667" s="14">
        <v>208.6</v>
      </c>
      <c r="Y667" s="16">
        <v>5</v>
      </c>
      <c r="Z667" s="12">
        <v>198.17</v>
      </c>
      <c r="AA667" s="5">
        <v>101.59</v>
      </c>
      <c r="AB667" s="18">
        <v>51.26</v>
      </c>
      <c r="AC667" t="s">
        <v>104</v>
      </c>
      <c r="AD667" t="s">
        <v>86</v>
      </c>
      <c r="AE667" t="s">
        <v>68</v>
      </c>
      <c r="AF667">
        <v>5</v>
      </c>
      <c r="AG667" t="s">
        <v>53</v>
      </c>
    </row>
    <row r="668" spans="1:33">
      <c r="A668" t="s">
        <v>1496</v>
      </c>
      <c r="B668" s="10">
        <v>45906</v>
      </c>
      <c r="C668" s="3" t="s">
        <v>211</v>
      </c>
      <c r="D668" t="s">
        <v>71</v>
      </c>
      <c r="E668" t="s">
        <v>72</v>
      </c>
      <c r="F668" t="s">
        <v>73</v>
      </c>
      <c r="G668" t="s">
        <v>74</v>
      </c>
      <c r="H668" t="s">
        <v>115</v>
      </c>
      <c r="I668" t="s">
        <v>116</v>
      </c>
      <c r="J668" t="s">
        <v>117</v>
      </c>
      <c r="K668" t="s">
        <v>61</v>
      </c>
      <c r="L668" t="s">
        <v>1497</v>
      </c>
      <c r="M668" t="s">
        <v>80</v>
      </c>
      <c r="N668" t="s">
        <v>45</v>
      </c>
      <c r="O668" t="s">
        <v>94</v>
      </c>
      <c r="P668" t="s">
        <v>95</v>
      </c>
      <c r="Q668" t="s">
        <v>66</v>
      </c>
      <c r="R668" t="s">
        <v>84</v>
      </c>
      <c r="S668">
        <v>3</v>
      </c>
      <c r="T668" s="14">
        <v>78.84</v>
      </c>
      <c r="U668" s="7">
        <v>12</v>
      </c>
      <c r="V668" s="7">
        <v>22</v>
      </c>
      <c r="W668" s="14">
        <v>112.84</v>
      </c>
      <c r="X668" s="14">
        <v>262.8</v>
      </c>
      <c r="Y668" s="16">
        <v>10</v>
      </c>
      <c r="Z668" s="12">
        <v>709.56</v>
      </c>
      <c r="AA668" s="5">
        <v>371.04</v>
      </c>
      <c r="AB668" s="18">
        <v>52.29</v>
      </c>
      <c r="AC668" t="s">
        <v>50</v>
      </c>
      <c r="AD668" t="s">
        <v>86</v>
      </c>
      <c r="AE668" t="s">
        <v>126</v>
      </c>
      <c r="AF668">
        <v>5</v>
      </c>
      <c r="AG668" t="s">
        <v>53</v>
      </c>
    </row>
    <row r="669" spans="1:33">
      <c r="A669" t="s">
        <v>1498</v>
      </c>
      <c r="B669" s="10">
        <v>45840</v>
      </c>
      <c r="C669" s="3" t="s">
        <v>55</v>
      </c>
      <c r="D669" t="s">
        <v>129</v>
      </c>
      <c r="E669" t="s">
        <v>114</v>
      </c>
      <c r="F669" t="s">
        <v>73</v>
      </c>
      <c r="G669" t="s">
        <v>74</v>
      </c>
      <c r="H669" t="s">
        <v>39</v>
      </c>
      <c r="I669" t="s">
        <v>2143</v>
      </c>
      <c r="J669" t="s">
        <v>41</v>
      </c>
      <c r="K669" t="s">
        <v>42</v>
      </c>
      <c r="L669" t="s">
        <v>1499</v>
      </c>
      <c r="M669" t="s">
        <v>63</v>
      </c>
      <c r="N669" t="s">
        <v>45</v>
      </c>
      <c r="O669" t="s">
        <v>176</v>
      </c>
      <c r="P669" t="s">
        <v>177</v>
      </c>
      <c r="Q669" t="s">
        <v>66</v>
      </c>
      <c r="R669" t="s">
        <v>67</v>
      </c>
      <c r="S669">
        <v>2</v>
      </c>
      <c r="T669" s="14">
        <v>50.7</v>
      </c>
      <c r="U669" s="7">
        <v>12</v>
      </c>
      <c r="V669" s="7">
        <v>22</v>
      </c>
      <c r="W669" s="14">
        <v>84.7</v>
      </c>
      <c r="X669" s="14">
        <v>169</v>
      </c>
      <c r="Y669" s="16">
        <v>0</v>
      </c>
      <c r="Z669" s="12">
        <v>338</v>
      </c>
      <c r="AA669" s="5">
        <v>168.6</v>
      </c>
      <c r="AB669" s="18">
        <v>49.88</v>
      </c>
      <c r="AC669" t="s">
        <v>111</v>
      </c>
      <c r="AD669" t="s">
        <v>51</v>
      </c>
      <c r="AE669" t="s">
        <v>105</v>
      </c>
      <c r="AF669">
        <v>4</v>
      </c>
      <c r="AG669" t="s">
        <v>53</v>
      </c>
    </row>
    <row r="670" spans="1:33">
      <c r="A670" t="s">
        <v>1500</v>
      </c>
      <c r="B670" s="10">
        <v>45662</v>
      </c>
      <c r="C670" s="3" t="s">
        <v>155</v>
      </c>
      <c r="D670" t="s">
        <v>89</v>
      </c>
      <c r="E670" t="s">
        <v>152</v>
      </c>
      <c r="F670" t="s">
        <v>91</v>
      </c>
      <c r="G670" t="s">
        <v>92</v>
      </c>
      <c r="H670" t="s">
        <v>133</v>
      </c>
      <c r="I670" t="s">
        <v>134</v>
      </c>
      <c r="J670" t="s">
        <v>135</v>
      </c>
      <c r="K670" t="s">
        <v>42</v>
      </c>
      <c r="L670" t="s">
        <v>1501</v>
      </c>
      <c r="M670" t="s">
        <v>44</v>
      </c>
      <c r="N670" t="s">
        <v>45</v>
      </c>
      <c r="O670" t="s">
        <v>82</v>
      </c>
      <c r="P670" t="s">
        <v>83</v>
      </c>
      <c r="Q670" t="s">
        <v>66</v>
      </c>
      <c r="R670" t="s">
        <v>49</v>
      </c>
      <c r="S670">
        <v>3</v>
      </c>
      <c r="T670" s="14">
        <v>100.38</v>
      </c>
      <c r="U670" s="7">
        <v>12</v>
      </c>
      <c r="V670" s="7">
        <v>22</v>
      </c>
      <c r="W670" s="14">
        <v>134.38</v>
      </c>
      <c r="X670" s="14">
        <v>334.6</v>
      </c>
      <c r="Y670" s="16">
        <v>15</v>
      </c>
      <c r="Z670" s="12">
        <v>853.23</v>
      </c>
      <c r="AA670" s="5">
        <v>450.09</v>
      </c>
      <c r="AB670" s="18">
        <v>52.75</v>
      </c>
      <c r="AC670" t="s">
        <v>85</v>
      </c>
      <c r="AD670" t="s">
        <v>158</v>
      </c>
      <c r="AE670" t="s">
        <v>105</v>
      </c>
      <c r="AF670">
        <v>5</v>
      </c>
      <c r="AG670" t="s">
        <v>53</v>
      </c>
    </row>
    <row r="671" spans="1:33">
      <c r="A671" t="s">
        <v>1502</v>
      </c>
      <c r="B671" s="10">
        <v>45997</v>
      </c>
      <c r="C671" s="3" t="s">
        <v>34</v>
      </c>
      <c r="D671" t="s">
        <v>71</v>
      </c>
      <c r="E671" t="s">
        <v>149</v>
      </c>
      <c r="F671" t="s">
        <v>37</v>
      </c>
      <c r="G671" t="s">
        <v>92</v>
      </c>
      <c r="H671" t="s">
        <v>39</v>
      </c>
      <c r="I671" t="s">
        <v>2143</v>
      </c>
      <c r="J671" t="s">
        <v>41</v>
      </c>
      <c r="K671" t="s">
        <v>42</v>
      </c>
      <c r="L671" t="s">
        <v>1503</v>
      </c>
      <c r="M671" t="s">
        <v>63</v>
      </c>
      <c r="N671" t="s">
        <v>81</v>
      </c>
      <c r="O671" t="s">
        <v>176</v>
      </c>
      <c r="P671" t="s">
        <v>177</v>
      </c>
      <c r="Q671" t="s">
        <v>66</v>
      </c>
      <c r="R671" t="s">
        <v>49</v>
      </c>
      <c r="S671">
        <v>2</v>
      </c>
      <c r="T671" s="14">
        <v>70.98</v>
      </c>
      <c r="U671" s="7">
        <v>12</v>
      </c>
      <c r="V671" s="7">
        <v>22</v>
      </c>
      <c r="W671" s="14">
        <v>104.98</v>
      </c>
      <c r="X671" s="14">
        <v>236.6</v>
      </c>
      <c r="Y671" s="16">
        <v>15</v>
      </c>
      <c r="Z671" s="12">
        <v>402.22</v>
      </c>
      <c r="AA671" s="5">
        <v>192.26</v>
      </c>
      <c r="AB671" s="18">
        <v>47.8</v>
      </c>
      <c r="AC671" t="s">
        <v>111</v>
      </c>
      <c r="AD671" t="s">
        <v>51</v>
      </c>
      <c r="AE671" t="s">
        <v>105</v>
      </c>
      <c r="AF671">
        <v>5</v>
      </c>
      <c r="AG671" t="s">
        <v>53</v>
      </c>
    </row>
    <row r="672" spans="1:33">
      <c r="A672" t="s">
        <v>1504</v>
      </c>
      <c r="B672" s="10">
        <v>45705</v>
      </c>
      <c r="C672" s="3" t="s">
        <v>179</v>
      </c>
      <c r="D672" t="s">
        <v>206</v>
      </c>
      <c r="E672" t="s">
        <v>90</v>
      </c>
      <c r="F672" t="s">
        <v>91</v>
      </c>
      <c r="G672" t="s">
        <v>92</v>
      </c>
      <c r="H672" t="s">
        <v>58</v>
      </c>
      <c r="I672" t="s">
        <v>59</v>
      </c>
      <c r="J672" t="s">
        <v>60</v>
      </c>
      <c r="K672" t="s">
        <v>61</v>
      </c>
      <c r="L672" t="s">
        <v>1505</v>
      </c>
      <c r="M672" t="s">
        <v>63</v>
      </c>
      <c r="N672" t="s">
        <v>45</v>
      </c>
      <c r="O672" t="s">
        <v>119</v>
      </c>
      <c r="P672" t="s">
        <v>120</v>
      </c>
      <c r="Q672" t="s">
        <v>103</v>
      </c>
      <c r="R672" t="s">
        <v>67</v>
      </c>
      <c r="S672">
        <v>2</v>
      </c>
      <c r="T672" s="14">
        <v>38.700000000000003</v>
      </c>
      <c r="U672" s="7">
        <v>12</v>
      </c>
      <c r="V672" s="7">
        <v>22</v>
      </c>
      <c r="W672" s="14">
        <v>72.7</v>
      </c>
      <c r="X672" s="14">
        <v>129</v>
      </c>
      <c r="Y672" s="16">
        <v>0</v>
      </c>
      <c r="Z672" s="12">
        <v>258</v>
      </c>
      <c r="AA672" s="5">
        <v>112.6</v>
      </c>
      <c r="AB672" s="18">
        <v>43.64</v>
      </c>
      <c r="AC672" t="s">
        <v>85</v>
      </c>
      <c r="AD672" t="s">
        <v>86</v>
      </c>
      <c r="AE672" t="s">
        <v>68</v>
      </c>
      <c r="AF672">
        <v>4</v>
      </c>
      <c r="AG672" t="s">
        <v>53</v>
      </c>
    </row>
    <row r="673" spans="1:33">
      <c r="A673" t="s">
        <v>1506</v>
      </c>
      <c r="B673" s="10">
        <v>45849</v>
      </c>
      <c r="C673" s="3" t="s">
        <v>199</v>
      </c>
      <c r="D673" t="s">
        <v>35</v>
      </c>
      <c r="E673" t="s">
        <v>114</v>
      </c>
      <c r="F673" t="s">
        <v>73</v>
      </c>
      <c r="G673" t="s">
        <v>74</v>
      </c>
      <c r="H673" t="s">
        <v>75</v>
      </c>
      <c r="I673" t="s">
        <v>76</v>
      </c>
      <c r="J673" t="s">
        <v>77</v>
      </c>
      <c r="K673" t="s">
        <v>78</v>
      </c>
      <c r="L673" t="s">
        <v>1507</v>
      </c>
      <c r="M673" t="s">
        <v>80</v>
      </c>
      <c r="N673" t="s">
        <v>110</v>
      </c>
      <c r="O673" t="s">
        <v>162</v>
      </c>
      <c r="P673" t="s">
        <v>163</v>
      </c>
      <c r="Q673" t="s">
        <v>48</v>
      </c>
      <c r="R673" t="s">
        <v>49</v>
      </c>
      <c r="S673">
        <v>3</v>
      </c>
      <c r="T673" s="14">
        <v>104.58</v>
      </c>
      <c r="U673" s="7">
        <v>12</v>
      </c>
      <c r="V673" s="7">
        <v>22</v>
      </c>
      <c r="W673" s="14">
        <v>138.58000000000001</v>
      </c>
      <c r="X673" s="14">
        <v>348.6</v>
      </c>
      <c r="Y673" s="16">
        <v>10</v>
      </c>
      <c r="Z673" s="12">
        <v>941.22</v>
      </c>
      <c r="AA673" s="5">
        <v>525.48</v>
      </c>
      <c r="AB673" s="18">
        <v>55.83</v>
      </c>
      <c r="AC673" t="s">
        <v>111</v>
      </c>
      <c r="AD673" t="s">
        <v>86</v>
      </c>
      <c r="AE673" t="s">
        <v>96</v>
      </c>
      <c r="AF673">
        <v>5</v>
      </c>
      <c r="AG673" t="s">
        <v>53</v>
      </c>
    </row>
    <row r="674" spans="1:33">
      <c r="A674" t="s">
        <v>1508</v>
      </c>
      <c r="B674" s="10">
        <v>45979</v>
      </c>
      <c r="C674" s="3" t="s">
        <v>185</v>
      </c>
      <c r="D674" t="s">
        <v>156</v>
      </c>
      <c r="E674" t="s">
        <v>57</v>
      </c>
      <c r="F674" t="s">
        <v>37</v>
      </c>
      <c r="G674" t="s">
        <v>38</v>
      </c>
      <c r="H674" t="s">
        <v>39</v>
      </c>
      <c r="I674" t="s">
        <v>2143</v>
      </c>
      <c r="J674" t="s">
        <v>41</v>
      </c>
      <c r="K674" t="s">
        <v>42</v>
      </c>
      <c r="L674" t="s">
        <v>1509</v>
      </c>
      <c r="M674" t="s">
        <v>63</v>
      </c>
      <c r="N674" t="s">
        <v>81</v>
      </c>
      <c r="O674" t="s">
        <v>176</v>
      </c>
      <c r="P674" t="s">
        <v>177</v>
      </c>
      <c r="Q674" t="s">
        <v>66</v>
      </c>
      <c r="R674" t="s">
        <v>84</v>
      </c>
      <c r="S674">
        <v>3</v>
      </c>
      <c r="T674" s="14">
        <v>60.84</v>
      </c>
      <c r="U674" s="7">
        <v>12</v>
      </c>
      <c r="V674" s="7">
        <v>22</v>
      </c>
      <c r="W674" s="14">
        <v>94.84</v>
      </c>
      <c r="X674" s="14">
        <v>202.8</v>
      </c>
      <c r="Y674" s="16">
        <v>5</v>
      </c>
      <c r="Z674" s="12">
        <v>577.98</v>
      </c>
      <c r="AA674" s="5">
        <v>293.45999999999998</v>
      </c>
      <c r="AB674" s="18">
        <v>50.77</v>
      </c>
      <c r="AC674" t="s">
        <v>104</v>
      </c>
      <c r="AD674" t="s">
        <v>86</v>
      </c>
      <c r="AE674" t="s">
        <v>96</v>
      </c>
      <c r="AF674">
        <v>5</v>
      </c>
      <c r="AG674" t="s">
        <v>53</v>
      </c>
    </row>
    <row r="675" spans="1:33">
      <c r="A675" t="s">
        <v>1510</v>
      </c>
      <c r="B675" s="10">
        <v>45861</v>
      </c>
      <c r="C675" s="3" t="s">
        <v>219</v>
      </c>
      <c r="D675" t="s">
        <v>129</v>
      </c>
      <c r="E675" t="s">
        <v>114</v>
      </c>
      <c r="F675" t="s">
        <v>73</v>
      </c>
      <c r="G675" t="s">
        <v>74</v>
      </c>
      <c r="H675" t="s">
        <v>58</v>
      </c>
      <c r="I675" t="s">
        <v>59</v>
      </c>
      <c r="J675" t="s">
        <v>60</v>
      </c>
      <c r="K675" t="s">
        <v>61</v>
      </c>
      <c r="L675" t="s">
        <v>1511</v>
      </c>
      <c r="M675" t="s">
        <v>63</v>
      </c>
      <c r="N675" t="s">
        <v>45</v>
      </c>
      <c r="O675" t="s">
        <v>64</v>
      </c>
      <c r="P675" t="s">
        <v>65</v>
      </c>
      <c r="Q675" t="s">
        <v>66</v>
      </c>
      <c r="R675" t="s">
        <v>84</v>
      </c>
      <c r="S675">
        <v>1</v>
      </c>
      <c r="T675" s="14">
        <v>53.64</v>
      </c>
      <c r="U675" s="7">
        <v>12</v>
      </c>
      <c r="V675" s="7">
        <v>22</v>
      </c>
      <c r="W675" s="14">
        <v>87.64</v>
      </c>
      <c r="X675" s="14">
        <v>178.8</v>
      </c>
      <c r="Y675" s="16">
        <v>10</v>
      </c>
      <c r="Z675" s="12">
        <v>160.91999999999999</v>
      </c>
      <c r="AA675" s="5">
        <v>73.28</v>
      </c>
      <c r="AB675" s="18">
        <v>45.54</v>
      </c>
      <c r="AC675" t="s">
        <v>85</v>
      </c>
      <c r="AD675" t="s">
        <v>51</v>
      </c>
      <c r="AE675" t="s">
        <v>126</v>
      </c>
      <c r="AF675">
        <v>5</v>
      </c>
      <c r="AG675" t="s">
        <v>53</v>
      </c>
    </row>
    <row r="676" spans="1:33">
      <c r="A676" t="s">
        <v>1512</v>
      </c>
      <c r="B676" s="10">
        <v>45695</v>
      </c>
      <c r="C676" s="3" t="s">
        <v>310</v>
      </c>
      <c r="D676" t="s">
        <v>35</v>
      </c>
      <c r="E676" t="s">
        <v>90</v>
      </c>
      <c r="F676" t="s">
        <v>91</v>
      </c>
      <c r="G676" t="s">
        <v>92</v>
      </c>
      <c r="H676" t="s">
        <v>133</v>
      </c>
      <c r="I676" t="s">
        <v>134</v>
      </c>
      <c r="J676" t="s">
        <v>135</v>
      </c>
      <c r="K676" t="s">
        <v>42</v>
      </c>
      <c r="L676" t="s">
        <v>1513</v>
      </c>
      <c r="M676" t="s">
        <v>63</v>
      </c>
      <c r="N676" t="s">
        <v>45</v>
      </c>
      <c r="O676" t="s">
        <v>189</v>
      </c>
      <c r="P676" t="s">
        <v>190</v>
      </c>
      <c r="Q676" t="s">
        <v>48</v>
      </c>
      <c r="R676" t="s">
        <v>67</v>
      </c>
      <c r="S676">
        <v>3</v>
      </c>
      <c r="T676" s="14">
        <v>47.7</v>
      </c>
      <c r="U676" s="7">
        <v>12</v>
      </c>
      <c r="V676" s="7">
        <v>22</v>
      </c>
      <c r="W676" s="14">
        <v>81.7</v>
      </c>
      <c r="X676" s="14">
        <v>159</v>
      </c>
      <c r="Y676" s="16">
        <v>0</v>
      </c>
      <c r="Z676" s="12">
        <v>477</v>
      </c>
      <c r="AA676" s="5">
        <v>231.9</v>
      </c>
      <c r="AB676" s="18">
        <v>48.62</v>
      </c>
      <c r="AC676" t="s">
        <v>104</v>
      </c>
      <c r="AD676" t="s">
        <v>86</v>
      </c>
      <c r="AE676" t="s">
        <v>52</v>
      </c>
      <c r="AF676">
        <v>5</v>
      </c>
      <c r="AG676" t="s">
        <v>53</v>
      </c>
    </row>
    <row r="677" spans="1:33">
      <c r="A677" t="s">
        <v>1514</v>
      </c>
      <c r="B677" s="10">
        <v>45892</v>
      </c>
      <c r="C677" s="3" t="s">
        <v>107</v>
      </c>
      <c r="D677" t="s">
        <v>71</v>
      </c>
      <c r="E677" t="s">
        <v>99</v>
      </c>
      <c r="F677" t="s">
        <v>73</v>
      </c>
      <c r="G677" t="s">
        <v>74</v>
      </c>
      <c r="H677" t="s">
        <v>75</v>
      </c>
      <c r="I677" t="s">
        <v>76</v>
      </c>
      <c r="J677" t="s">
        <v>77</v>
      </c>
      <c r="K677" t="s">
        <v>78</v>
      </c>
      <c r="L677" t="s">
        <v>1515</v>
      </c>
      <c r="M677" t="s">
        <v>63</v>
      </c>
      <c r="N677" t="s">
        <v>45</v>
      </c>
      <c r="O677" t="s">
        <v>64</v>
      </c>
      <c r="P677" t="s">
        <v>65</v>
      </c>
      <c r="Q677" t="s">
        <v>66</v>
      </c>
      <c r="R677" t="s">
        <v>84</v>
      </c>
      <c r="S677">
        <v>2</v>
      </c>
      <c r="T677" s="14">
        <v>53.64</v>
      </c>
      <c r="U677" s="7">
        <v>12</v>
      </c>
      <c r="V677" s="7">
        <v>22</v>
      </c>
      <c r="W677" s="14">
        <v>87.64</v>
      </c>
      <c r="X677" s="14">
        <v>178.8</v>
      </c>
      <c r="Y677" s="16">
        <v>15</v>
      </c>
      <c r="Z677" s="12">
        <v>303.95999999999998</v>
      </c>
      <c r="AA677" s="5">
        <v>128.68</v>
      </c>
      <c r="AB677" s="18">
        <v>42.33</v>
      </c>
      <c r="AC677" t="s">
        <v>50</v>
      </c>
      <c r="AD677" t="s">
        <v>51</v>
      </c>
      <c r="AE677" t="s">
        <v>68</v>
      </c>
      <c r="AF677">
        <v>4</v>
      </c>
      <c r="AG677" t="s">
        <v>53</v>
      </c>
    </row>
    <row r="678" spans="1:33">
      <c r="A678" t="s">
        <v>1516</v>
      </c>
      <c r="B678" s="10">
        <v>45790</v>
      </c>
      <c r="C678" s="3" t="s">
        <v>182</v>
      </c>
      <c r="D678" t="s">
        <v>156</v>
      </c>
      <c r="E678" t="s">
        <v>130</v>
      </c>
      <c r="F678" t="s">
        <v>131</v>
      </c>
      <c r="G678" t="s">
        <v>132</v>
      </c>
      <c r="H678" t="s">
        <v>133</v>
      </c>
      <c r="I678" t="s">
        <v>134</v>
      </c>
      <c r="J678" t="s">
        <v>135</v>
      </c>
      <c r="K678" t="s">
        <v>42</v>
      </c>
      <c r="L678" t="s">
        <v>1517</v>
      </c>
      <c r="M678" t="s">
        <v>63</v>
      </c>
      <c r="N678" t="s">
        <v>45</v>
      </c>
      <c r="O678" t="s">
        <v>162</v>
      </c>
      <c r="P678" t="s">
        <v>163</v>
      </c>
      <c r="Q678" t="s">
        <v>48</v>
      </c>
      <c r="R678" t="s">
        <v>67</v>
      </c>
      <c r="S678">
        <v>3</v>
      </c>
      <c r="T678" s="14">
        <v>74.7</v>
      </c>
      <c r="U678" s="7">
        <v>12</v>
      </c>
      <c r="V678" s="7">
        <v>22</v>
      </c>
      <c r="W678" s="14">
        <v>108.7</v>
      </c>
      <c r="X678" s="14">
        <v>249</v>
      </c>
      <c r="Y678" s="16">
        <v>5</v>
      </c>
      <c r="Z678" s="12">
        <v>709.65</v>
      </c>
      <c r="AA678" s="5">
        <v>383.55</v>
      </c>
      <c r="AB678" s="18">
        <v>54.05</v>
      </c>
      <c r="AC678" t="s">
        <v>85</v>
      </c>
      <c r="AD678" t="s">
        <v>51</v>
      </c>
      <c r="AE678" t="s">
        <v>68</v>
      </c>
      <c r="AF678">
        <v>3</v>
      </c>
      <c r="AG678" t="s">
        <v>53</v>
      </c>
    </row>
    <row r="679" spans="1:33">
      <c r="A679" t="s">
        <v>1518</v>
      </c>
      <c r="B679" s="10">
        <v>45996</v>
      </c>
      <c r="C679" s="3" t="s">
        <v>179</v>
      </c>
      <c r="D679" t="s">
        <v>35</v>
      </c>
      <c r="E679" t="s">
        <v>149</v>
      </c>
      <c r="F679" t="s">
        <v>37</v>
      </c>
      <c r="G679" t="s">
        <v>92</v>
      </c>
      <c r="H679" t="s">
        <v>142</v>
      </c>
      <c r="I679" t="s">
        <v>143</v>
      </c>
      <c r="J679" t="s">
        <v>144</v>
      </c>
      <c r="K679" t="s">
        <v>145</v>
      </c>
      <c r="L679" t="s">
        <v>1519</v>
      </c>
      <c r="M679" t="s">
        <v>44</v>
      </c>
      <c r="N679" t="s">
        <v>81</v>
      </c>
      <c r="O679" t="s">
        <v>94</v>
      </c>
      <c r="P679" t="s">
        <v>95</v>
      </c>
      <c r="Q679" t="s">
        <v>66</v>
      </c>
      <c r="R679" t="s">
        <v>67</v>
      </c>
      <c r="S679">
        <v>3</v>
      </c>
      <c r="T679" s="14">
        <v>65.7</v>
      </c>
      <c r="U679" s="7">
        <v>12</v>
      </c>
      <c r="V679" s="7">
        <v>22</v>
      </c>
      <c r="W679" s="14">
        <v>99.7</v>
      </c>
      <c r="X679" s="14">
        <v>219</v>
      </c>
      <c r="Y679" s="16">
        <v>0</v>
      </c>
      <c r="Z679" s="12">
        <v>657</v>
      </c>
      <c r="AA679" s="5">
        <v>357.9</v>
      </c>
      <c r="AB679" s="18">
        <v>54.47</v>
      </c>
      <c r="AC679" t="s">
        <v>111</v>
      </c>
      <c r="AD679" t="s">
        <v>86</v>
      </c>
      <c r="AE679" t="s">
        <v>105</v>
      </c>
      <c r="AF679">
        <v>5</v>
      </c>
      <c r="AG679" t="s">
        <v>53</v>
      </c>
    </row>
    <row r="680" spans="1:33">
      <c r="A680" t="s">
        <v>1520</v>
      </c>
      <c r="B680" s="10">
        <v>45872</v>
      </c>
      <c r="C680" s="3" t="s">
        <v>185</v>
      </c>
      <c r="D680" t="s">
        <v>89</v>
      </c>
      <c r="E680" t="s">
        <v>99</v>
      </c>
      <c r="F680" t="s">
        <v>73</v>
      </c>
      <c r="G680" t="s">
        <v>74</v>
      </c>
      <c r="H680" t="s">
        <v>58</v>
      </c>
      <c r="I680" t="s">
        <v>59</v>
      </c>
      <c r="J680" t="s">
        <v>60</v>
      </c>
      <c r="K680" t="s">
        <v>61</v>
      </c>
      <c r="L680" t="s">
        <v>1521</v>
      </c>
      <c r="M680" t="s">
        <v>63</v>
      </c>
      <c r="N680" t="s">
        <v>45</v>
      </c>
      <c r="O680" t="s">
        <v>452</v>
      </c>
      <c r="P680" t="s">
        <v>453</v>
      </c>
      <c r="Q680" t="s">
        <v>215</v>
      </c>
      <c r="R680" t="s">
        <v>49</v>
      </c>
      <c r="S680">
        <v>3</v>
      </c>
      <c r="T680" s="14">
        <v>138.18</v>
      </c>
      <c r="U680" s="7">
        <v>12</v>
      </c>
      <c r="V680" s="7">
        <v>22</v>
      </c>
      <c r="W680" s="14">
        <v>172.18</v>
      </c>
      <c r="X680" s="14">
        <v>460.6</v>
      </c>
      <c r="Y680" s="16">
        <v>10</v>
      </c>
      <c r="Z680" s="12">
        <v>1243.6199999999999</v>
      </c>
      <c r="AA680" s="5">
        <v>727.08</v>
      </c>
      <c r="AB680" s="18">
        <v>58.46</v>
      </c>
      <c r="AC680" t="s">
        <v>50</v>
      </c>
      <c r="AD680" t="s">
        <v>51</v>
      </c>
      <c r="AE680" t="s">
        <v>105</v>
      </c>
      <c r="AF680">
        <v>3</v>
      </c>
      <c r="AG680" t="s">
        <v>53</v>
      </c>
    </row>
    <row r="681" spans="1:33">
      <c r="A681" t="s">
        <v>1522</v>
      </c>
      <c r="B681" s="10">
        <v>45713</v>
      </c>
      <c r="C681" s="3" t="s">
        <v>219</v>
      </c>
      <c r="D681" t="s">
        <v>156</v>
      </c>
      <c r="E681" t="s">
        <v>90</v>
      </c>
      <c r="F681" t="s">
        <v>91</v>
      </c>
      <c r="G681" t="s">
        <v>92</v>
      </c>
      <c r="H681" t="s">
        <v>75</v>
      </c>
      <c r="I681" t="s">
        <v>76</v>
      </c>
      <c r="J681" t="s">
        <v>77</v>
      </c>
      <c r="K681" t="s">
        <v>78</v>
      </c>
      <c r="L681" t="s">
        <v>1523</v>
      </c>
      <c r="M681" t="s">
        <v>44</v>
      </c>
      <c r="N681" t="s">
        <v>110</v>
      </c>
      <c r="O681" t="s">
        <v>176</v>
      </c>
      <c r="P681" t="s">
        <v>177</v>
      </c>
      <c r="Q681" t="s">
        <v>66</v>
      </c>
      <c r="R681" t="s">
        <v>49</v>
      </c>
      <c r="S681">
        <v>1</v>
      </c>
      <c r="T681" s="14">
        <v>70.98</v>
      </c>
      <c r="U681" s="7">
        <v>12</v>
      </c>
      <c r="V681" s="7">
        <v>22</v>
      </c>
      <c r="W681" s="14">
        <v>104.98</v>
      </c>
      <c r="X681" s="14">
        <v>236.6</v>
      </c>
      <c r="Y681" s="16">
        <v>10</v>
      </c>
      <c r="Z681" s="12">
        <v>212.94</v>
      </c>
      <c r="AA681" s="5">
        <v>107.96</v>
      </c>
      <c r="AB681" s="18">
        <v>50.7</v>
      </c>
      <c r="AC681" t="s">
        <v>85</v>
      </c>
      <c r="AD681" t="s">
        <v>158</v>
      </c>
      <c r="AE681" t="s">
        <v>68</v>
      </c>
      <c r="AF681">
        <v>5</v>
      </c>
      <c r="AG681" t="s">
        <v>53</v>
      </c>
    </row>
    <row r="682" spans="1:33">
      <c r="A682" t="s">
        <v>1524</v>
      </c>
      <c r="B682" s="10">
        <v>45787</v>
      </c>
      <c r="C682" s="3" t="s">
        <v>88</v>
      </c>
      <c r="D682" t="s">
        <v>71</v>
      </c>
      <c r="E682" t="s">
        <v>130</v>
      </c>
      <c r="F682" t="s">
        <v>131</v>
      </c>
      <c r="G682" t="s">
        <v>132</v>
      </c>
      <c r="H682" t="s">
        <v>75</v>
      </c>
      <c r="I682" t="s">
        <v>76</v>
      </c>
      <c r="J682" t="s">
        <v>77</v>
      </c>
      <c r="K682" t="s">
        <v>78</v>
      </c>
      <c r="L682" t="s">
        <v>1525</v>
      </c>
      <c r="M682" t="s">
        <v>44</v>
      </c>
      <c r="N682" t="s">
        <v>81</v>
      </c>
      <c r="O682" t="s">
        <v>123</v>
      </c>
      <c r="P682" t="s">
        <v>124</v>
      </c>
      <c r="Q682" t="s">
        <v>125</v>
      </c>
      <c r="R682" t="s">
        <v>67</v>
      </c>
      <c r="S682">
        <v>1</v>
      </c>
      <c r="T682" s="14">
        <v>74.7</v>
      </c>
      <c r="U682" s="7">
        <v>12</v>
      </c>
      <c r="V682" s="7">
        <v>22</v>
      </c>
      <c r="W682" s="14">
        <v>108.7</v>
      </c>
      <c r="X682" s="14">
        <v>249</v>
      </c>
      <c r="Y682" s="16">
        <v>10</v>
      </c>
      <c r="Z682" s="12">
        <v>224.1</v>
      </c>
      <c r="AA682" s="5">
        <v>115.4</v>
      </c>
      <c r="AB682" s="18">
        <v>51.49</v>
      </c>
      <c r="AC682" t="s">
        <v>111</v>
      </c>
      <c r="AD682" t="s">
        <v>158</v>
      </c>
      <c r="AE682" t="s">
        <v>68</v>
      </c>
      <c r="AF682">
        <v>3</v>
      </c>
      <c r="AG682" t="s">
        <v>53</v>
      </c>
    </row>
    <row r="683" spans="1:33">
      <c r="A683" t="s">
        <v>1526</v>
      </c>
      <c r="B683" s="10">
        <v>45795</v>
      </c>
      <c r="C683" s="3" t="s">
        <v>310</v>
      </c>
      <c r="D683" t="s">
        <v>89</v>
      </c>
      <c r="E683" t="s">
        <v>130</v>
      </c>
      <c r="F683" t="s">
        <v>131</v>
      </c>
      <c r="G683" t="s">
        <v>132</v>
      </c>
      <c r="H683" t="s">
        <v>58</v>
      </c>
      <c r="I683" t="s">
        <v>59</v>
      </c>
      <c r="J683" t="s">
        <v>60</v>
      </c>
      <c r="K683" t="s">
        <v>61</v>
      </c>
      <c r="L683" t="s">
        <v>1527</v>
      </c>
      <c r="M683" t="s">
        <v>80</v>
      </c>
      <c r="N683" t="s">
        <v>81</v>
      </c>
      <c r="O683" t="s">
        <v>189</v>
      </c>
      <c r="P683" t="s">
        <v>190</v>
      </c>
      <c r="Q683" t="s">
        <v>48</v>
      </c>
      <c r="R683" t="s">
        <v>67</v>
      </c>
      <c r="S683">
        <v>3</v>
      </c>
      <c r="T683" s="14">
        <v>47.7</v>
      </c>
      <c r="U683" s="7">
        <v>12</v>
      </c>
      <c r="V683" s="7">
        <v>22</v>
      </c>
      <c r="W683" s="14">
        <v>81.7</v>
      </c>
      <c r="X683" s="14">
        <v>159</v>
      </c>
      <c r="Y683" s="16">
        <v>10</v>
      </c>
      <c r="Z683" s="12">
        <v>429.3</v>
      </c>
      <c r="AA683" s="5">
        <v>184.2</v>
      </c>
      <c r="AB683" s="18">
        <v>42.91</v>
      </c>
      <c r="AC683" t="s">
        <v>111</v>
      </c>
      <c r="AD683" t="s">
        <v>51</v>
      </c>
      <c r="AE683" t="s">
        <v>52</v>
      </c>
      <c r="AF683">
        <v>3</v>
      </c>
      <c r="AG683" t="s">
        <v>53</v>
      </c>
    </row>
    <row r="684" spans="1:33">
      <c r="A684" t="s">
        <v>1528</v>
      </c>
      <c r="B684" s="10">
        <v>45814</v>
      </c>
      <c r="C684" s="3" t="s">
        <v>155</v>
      </c>
      <c r="D684" t="s">
        <v>35</v>
      </c>
      <c r="E684" t="s">
        <v>174</v>
      </c>
      <c r="F684" t="s">
        <v>131</v>
      </c>
      <c r="G684" t="s">
        <v>132</v>
      </c>
      <c r="H684" t="s">
        <v>133</v>
      </c>
      <c r="I684" t="s">
        <v>134</v>
      </c>
      <c r="J684" t="s">
        <v>135</v>
      </c>
      <c r="K684" t="s">
        <v>42</v>
      </c>
      <c r="L684" t="s">
        <v>1529</v>
      </c>
      <c r="M684" t="s">
        <v>63</v>
      </c>
      <c r="N684" t="s">
        <v>81</v>
      </c>
      <c r="O684" t="s">
        <v>176</v>
      </c>
      <c r="P684" t="s">
        <v>177</v>
      </c>
      <c r="Q684" t="s">
        <v>66</v>
      </c>
      <c r="R684" t="s">
        <v>67</v>
      </c>
      <c r="S684">
        <v>3</v>
      </c>
      <c r="T684" s="14">
        <v>50.7</v>
      </c>
      <c r="U684" s="7">
        <v>12</v>
      </c>
      <c r="V684" s="7">
        <v>22</v>
      </c>
      <c r="W684" s="14">
        <v>84.7</v>
      </c>
      <c r="X684" s="14">
        <v>169</v>
      </c>
      <c r="Y684" s="16">
        <v>0</v>
      </c>
      <c r="Z684" s="12">
        <v>456.3</v>
      </c>
      <c r="AA684" s="5">
        <v>202.2</v>
      </c>
      <c r="AB684" s="18">
        <v>44.31</v>
      </c>
      <c r="AC684" t="s">
        <v>85</v>
      </c>
      <c r="AD684" t="s">
        <v>86</v>
      </c>
      <c r="AE684" t="s">
        <v>126</v>
      </c>
      <c r="AF684">
        <v>5</v>
      </c>
      <c r="AG684" t="s">
        <v>53</v>
      </c>
    </row>
    <row r="685" spans="1:33">
      <c r="A685" t="s">
        <v>1530</v>
      </c>
      <c r="B685" s="10">
        <v>45898</v>
      </c>
      <c r="C685" s="3" t="s">
        <v>148</v>
      </c>
      <c r="D685" t="s">
        <v>35</v>
      </c>
      <c r="E685" t="s">
        <v>99</v>
      </c>
      <c r="F685" t="s">
        <v>73</v>
      </c>
      <c r="G685" t="s">
        <v>74</v>
      </c>
      <c r="H685" t="s">
        <v>142</v>
      </c>
      <c r="I685" t="s">
        <v>143</v>
      </c>
      <c r="J685" t="s">
        <v>144</v>
      </c>
      <c r="K685" t="s">
        <v>145</v>
      </c>
      <c r="L685" t="s">
        <v>1531</v>
      </c>
      <c r="M685" t="s">
        <v>44</v>
      </c>
      <c r="N685" t="s">
        <v>110</v>
      </c>
      <c r="O685" t="s">
        <v>64</v>
      </c>
      <c r="P685" t="s">
        <v>65</v>
      </c>
      <c r="Q685" t="s">
        <v>66</v>
      </c>
      <c r="R685" t="s">
        <v>49</v>
      </c>
      <c r="S685">
        <v>1</v>
      </c>
      <c r="T685" s="14">
        <v>62.58</v>
      </c>
      <c r="U685" s="7">
        <v>12</v>
      </c>
      <c r="V685" s="7">
        <v>22</v>
      </c>
      <c r="W685" s="14">
        <v>96.58</v>
      </c>
      <c r="X685" s="14">
        <v>208.6</v>
      </c>
      <c r="Y685" s="16">
        <v>0</v>
      </c>
      <c r="Z685" s="12">
        <v>208.6</v>
      </c>
      <c r="AA685" s="5">
        <v>112.02</v>
      </c>
      <c r="AB685" s="18">
        <v>53.7</v>
      </c>
      <c r="AC685" t="s">
        <v>85</v>
      </c>
      <c r="AD685" t="s">
        <v>86</v>
      </c>
      <c r="AE685" t="s">
        <v>105</v>
      </c>
      <c r="AF685" t="s">
        <v>2124</v>
      </c>
      <c r="AG685" t="s">
        <v>53</v>
      </c>
    </row>
    <row r="686" spans="1:33">
      <c r="A686" t="s">
        <v>1532</v>
      </c>
      <c r="B686" s="10">
        <v>46011</v>
      </c>
      <c r="C686" s="3" t="s">
        <v>55</v>
      </c>
      <c r="D686" t="s">
        <v>71</v>
      </c>
      <c r="E686" t="s">
        <v>149</v>
      </c>
      <c r="F686" t="s">
        <v>37</v>
      </c>
      <c r="G686" t="s">
        <v>92</v>
      </c>
      <c r="H686" t="s">
        <v>133</v>
      </c>
      <c r="I686" t="s">
        <v>134</v>
      </c>
      <c r="J686" t="s">
        <v>135</v>
      </c>
      <c r="K686" t="s">
        <v>42</v>
      </c>
      <c r="L686" t="s">
        <v>1533</v>
      </c>
      <c r="M686" t="s">
        <v>63</v>
      </c>
      <c r="N686" t="s">
        <v>110</v>
      </c>
      <c r="O686" t="s">
        <v>213</v>
      </c>
      <c r="P686" t="s">
        <v>214</v>
      </c>
      <c r="Q686" t="s">
        <v>215</v>
      </c>
      <c r="R686" t="s">
        <v>49</v>
      </c>
      <c r="S686">
        <v>1</v>
      </c>
      <c r="T686" s="14">
        <v>125.58</v>
      </c>
      <c r="U686" s="7">
        <v>12</v>
      </c>
      <c r="V686" s="7">
        <v>22</v>
      </c>
      <c r="W686" s="14">
        <v>159.58000000000001</v>
      </c>
      <c r="X686" s="14">
        <v>418.6</v>
      </c>
      <c r="Y686" s="16">
        <v>15</v>
      </c>
      <c r="Z686" s="12">
        <v>355.81</v>
      </c>
      <c r="AA686" s="5">
        <v>196.23</v>
      </c>
      <c r="AB686" s="18">
        <v>55.15</v>
      </c>
      <c r="AC686" t="s">
        <v>50</v>
      </c>
      <c r="AD686" t="s">
        <v>158</v>
      </c>
      <c r="AE686" t="s">
        <v>52</v>
      </c>
      <c r="AF686">
        <v>4</v>
      </c>
      <c r="AG686" t="s">
        <v>53</v>
      </c>
    </row>
    <row r="687" spans="1:33">
      <c r="A687" t="s">
        <v>1534</v>
      </c>
      <c r="B687" s="10">
        <v>45975</v>
      </c>
      <c r="C687" s="3" t="s">
        <v>179</v>
      </c>
      <c r="D687" t="s">
        <v>35</v>
      </c>
      <c r="E687" t="s">
        <v>57</v>
      </c>
      <c r="F687" t="s">
        <v>37</v>
      </c>
      <c r="G687" t="s">
        <v>38</v>
      </c>
      <c r="H687" t="s">
        <v>142</v>
      </c>
      <c r="I687" t="s">
        <v>143</v>
      </c>
      <c r="J687" t="s">
        <v>144</v>
      </c>
      <c r="K687" t="s">
        <v>145</v>
      </c>
      <c r="L687" t="s">
        <v>1535</v>
      </c>
      <c r="M687" t="s">
        <v>63</v>
      </c>
      <c r="N687" t="s">
        <v>110</v>
      </c>
      <c r="O687" t="s">
        <v>82</v>
      </c>
      <c r="P687" t="s">
        <v>83</v>
      </c>
      <c r="Q687" t="s">
        <v>66</v>
      </c>
      <c r="R687" t="s">
        <v>67</v>
      </c>
      <c r="S687">
        <v>1</v>
      </c>
      <c r="T687" s="14">
        <v>71.7</v>
      </c>
      <c r="U687" s="7">
        <v>12</v>
      </c>
      <c r="V687" s="7">
        <v>22</v>
      </c>
      <c r="W687" s="14">
        <v>105.7</v>
      </c>
      <c r="X687" s="14">
        <v>239</v>
      </c>
      <c r="Y687" s="16">
        <v>5</v>
      </c>
      <c r="Z687" s="12">
        <v>227.05</v>
      </c>
      <c r="AA687" s="5">
        <v>121.35</v>
      </c>
      <c r="AB687" s="18">
        <v>53.45</v>
      </c>
      <c r="AC687" t="s">
        <v>111</v>
      </c>
      <c r="AD687" t="s">
        <v>158</v>
      </c>
      <c r="AE687" t="s">
        <v>68</v>
      </c>
      <c r="AF687">
        <v>5</v>
      </c>
      <c r="AG687" t="s">
        <v>53</v>
      </c>
    </row>
    <row r="688" spans="1:33">
      <c r="A688" t="s">
        <v>1536</v>
      </c>
      <c r="B688" s="10">
        <v>46002</v>
      </c>
      <c r="C688" s="3" t="s">
        <v>160</v>
      </c>
      <c r="D688" t="s">
        <v>56</v>
      </c>
      <c r="E688" t="s">
        <v>149</v>
      </c>
      <c r="F688" t="s">
        <v>37</v>
      </c>
      <c r="G688" t="s">
        <v>92</v>
      </c>
      <c r="H688" t="s">
        <v>58</v>
      </c>
      <c r="I688" t="s">
        <v>59</v>
      </c>
      <c r="J688" t="s">
        <v>60</v>
      </c>
      <c r="K688" t="s">
        <v>61</v>
      </c>
      <c r="L688" t="s">
        <v>1537</v>
      </c>
      <c r="M688" t="s">
        <v>80</v>
      </c>
      <c r="N688" t="s">
        <v>45</v>
      </c>
      <c r="O688" t="s">
        <v>94</v>
      </c>
      <c r="P688" t="s">
        <v>95</v>
      </c>
      <c r="Q688" t="s">
        <v>66</v>
      </c>
      <c r="R688" t="s">
        <v>84</v>
      </c>
      <c r="S688">
        <v>3</v>
      </c>
      <c r="T688" s="14">
        <v>78.84</v>
      </c>
      <c r="U688" s="7">
        <v>12</v>
      </c>
      <c r="V688" s="7">
        <v>22</v>
      </c>
      <c r="W688" s="14">
        <v>112.84</v>
      </c>
      <c r="X688" s="14">
        <v>262.8</v>
      </c>
      <c r="Y688" s="16">
        <v>5</v>
      </c>
      <c r="Z688" s="12">
        <v>748.98</v>
      </c>
      <c r="AA688" s="5">
        <v>410.46</v>
      </c>
      <c r="AB688" s="18">
        <v>54.8</v>
      </c>
      <c r="AC688" t="s">
        <v>85</v>
      </c>
      <c r="AD688" t="s">
        <v>51</v>
      </c>
      <c r="AE688" t="s">
        <v>96</v>
      </c>
      <c r="AF688">
        <v>5</v>
      </c>
      <c r="AG688" t="s">
        <v>53</v>
      </c>
    </row>
    <row r="689" spans="1:33">
      <c r="A689" t="s">
        <v>1538</v>
      </c>
      <c r="B689" s="10">
        <v>45798</v>
      </c>
      <c r="C689" s="3" t="s">
        <v>141</v>
      </c>
      <c r="D689" t="s">
        <v>129</v>
      </c>
      <c r="E689" t="s">
        <v>130</v>
      </c>
      <c r="F689" t="s">
        <v>131</v>
      </c>
      <c r="G689" t="s">
        <v>132</v>
      </c>
      <c r="H689" t="s">
        <v>75</v>
      </c>
      <c r="I689" t="s">
        <v>76</v>
      </c>
      <c r="J689" t="s">
        <v>77</v>
      </c>
      <c r="K689" t="s">
        <v>78</v>
      </c>
      <c r="L689" t="s">
        <v>1539</v>
      </c>
      <c r="M689" t="s">
        <v>80</v>
      </c>
      <c r="N689" t="s">
        <v>81</v>
      </c>
      <c r="O689" t="s">
        <v>137</v>
      </c>
      <c r="P689" t="s">
        <v>138</v>
      </c>
      <c r="Q689" t="s">
        <v>139</v>
      </c>
      <c r="R689" t="s">
        <v>84</v>
      </c>
      <c r="S689">
        <v>1</v>
      </c>
      <c r="T689" s="14">
        <v>71.64</v>
      </c>
      <c r="U689" s="7">
        <v>12</v>
      </c>
      <c r="V689" s="7">
        <v>22</v>
      </c>
      <c r="W689" s="14">
        <v>105.64</v>
      </c>
      <c r="X689" s="14">
        <v>238.8</v>
      </c>
      <c r="Y689" s="16">
        <v>0</v>
      </c>
      <c r="Z689" s="12">
        <v>238.8</v>
      </c>
      <c r="AA689" s="5">
        <v>133.16</v>
      </c>
      <c r="AB689" s="18">
        <v>55.76</v>
      </c>
      <c r="AC689" t="s">
        <v>111</v>
      </c>
      <c r="AD689" t="s">
        <v>158</v>
      </c>
      <c r="AE689" t="s">
        <v>52</v>
      </c>
      <c r="AF689">
        <v>5</v>
      </c>
      <c r="AG689" t="s">
        <v>53</v>
      </c>
    </row>
    <row r="690" spans="1:33">
      <c r="A690" t="s">
        <v>1540</v>
      </c>
      <c r="B690" s="10">
        <v>45820</v>
      </c>
      <c r="C690" s="3" t="s">
        <v>160</v>
      </c>
      <c r="D690" t="s">
        <v>56</v>
      </c>
      <c r="E690" t="s">
        <v>174</v>
      </c>
      <c r="F690" t="s">
        <v>131</v>
      </c>
      <c r="G690" t="s">
        <v>132</v>
      </c>
      <c r="H690" t="s">
        <v>115</v>
      </c>
      <c r="I690" t="s">
        <v>116</v>
      </c>
      <c r="J690" t="s">
        <v>117</v>
      </c>
      <c r="K690" t="s">
        <v>61</v>
      </c>
      <c r="L690" t="s">
        <v>1541</v>
      </c>
      <c r="M690" t="s">
        <v>44</v>
      </c>
      <c r="N690" t="s">
        <v>110</v>
      </c>
      <c r="O690" t="s">
        <v>123</v>
      </c>
      <c r="P690" t="s">
        <v>124</v>
      </c>
      <c r="Q690" t="s">
        <v>125</v>
      </c>
      <c r="R690" t="s">
        <v>67</v>
      </c>
      <c r="S690">
        <v>1</v>
      </c>
      <c r="T690" s="14">
        <v>74.7</v>
      </c>
      <c r="U690" s="7">
        <v>12</v>
      </c>
      <c r="V690" s="7">
        <v>22</v>
      </c>
      <c r="W690" s="14">
        <v>108.7</v>
      </c>
      <c r="X690" s="14">
        <v>249</v>
      </c>
      <c r="Y690" s="16">
        <v>5</v>
      </c>
      <c r="Z690" s="12">
        <v>236.55</v>
      </c>
      <c r="AA690" s="5">
        <v>127.85</v>
      </c>
      <c r="AB690" s="18">
        <v>54.05</v>
      </c>
      <c r="AC690" t="s">
        <v>111</v>
      </c>
      <c r="AD690" t="s">
        <v>86</v>
      </c>
      <c r="AE690" t="s">
        <v>105</v>
      </c>
      <c r="AF690">
        <v>5</v>
      </c>
      <c r="AG690" t="s">
        <v>53</v>
      </c>
    </row>
    <row r="691" spans="1:33">
      <c r="A691" t="s">
        <v>1542</v>
      </c>
      <c r="B691" s="10">
        <v>45936</v>
      </c>
      <c r="C691" s="3" t="s">
        <v>107</v>
      </c>
      <c r="D691" t="s">
        <v>206</v>
      </c>
      <c r="E691" t="s">
        <v>36</v>
      </c>
      <c r="F691" t="s">
        <v>37</v>
      </c>
      <c r="G691" t="s">
        <v>38</v>
      </c>
      <c r="H691" t="s">
        <v>75</v>
      </c>
      <c r="I691" t="s">
        <v>76</v>
      </c>
      <c r="J691" t="s">
        <v>77</v>
      </c>
      <c r="K691" t="s">
        <v>78</v>
      </c>
      <c r="L691" t="s">
        <v>1543</v>
      </c>
      <c r="M691" t="s">
        <v>44</v>
      </c>
      <c r="N691" t="s">
        <v>81</v>
      </c>
      <c r="O691" t="s">
        <v>94</v>
      </c>
      <c r="P691" t="s">
        <v>95</v>
      </c>
      <c r="Q691" t="s">
        <v>66</v>
      </c>
      <c r="R691" t="s">
        <v>84</v>
      </c>
      <c r="S691">
        <v>3</v>
      </c>
      <c r="T691" s="14">
        <v>78.84</v>
      </c>
      <c r="U691" s="7">
        <v>12</v>
      </c>
      <c r="V691" s="7">
        <v>22</v>
      </c>
      <c r="W691" s="14">
        <v>112.84</v>
      </c>
      <c r="X691" s="14">
        <v>262.8</v>
      </c>
      <c r="Y691" s="16">
        <v>0</v>
      </c>
      <c r="Z691" s="12">
        <v>788.4</v>
      </c>
      <c r="AA691" s="5">
        <v>449.88</v>
      </c>
      <c r="AB691" s="18">
        <v>57.06</v>
      </c>
      <c r="AC691" t="s">
        <v>104</v>
      </c>
      <c r="AD691" t="s">
        <v>86</v>
      </c>
      <c r="AE691" t="s">
        <v>126</v>
      </c>
      <c r="AF691">
        <v>5</v>
      </c>
      <c r="AG691" t="s">
        <v>53</v>
      </c>
    </row>
    <row r="692" spans="1:33">
      <c r="A692" t="s">
        <v>1544</v>
      </c>
      <c r="B692" s="10">
        <v>45758</v>
      </c>
      <c r="C692" s="3" t="s">
        <v>171</v>
      </c>
      <c r="D692" t="s">
        <v>35</v>
      </c>
      <c r="E692" t="s">
        <v>280</v>
      </c>
      <c r="F692" t="s">
        <v>131</v>
      </c>
      <c r="G692" t="s">
        <v>132</v>
      </c>
      <c r="H692" t="s">
        <v>115</v>
      </c>
      <c r="I692" t="s">
        <v>116</v>
      </c>
      <c r="J692" t="s">
        <v>117</v>
      </c>
      <c r="K692" t="s">
        <v>61</v>
      </c>
      <c r="L692" t="s">
        <v>1545</v>
      </c>
      <c r="M692" t="s">
        <v>63</v>
      </c>
      <c r="N692" t="s">
        <v>45</v>
      </c>
      <c r="O692" t="s">
        <v>176</v>
      </c>
      <c r="P692" t="s">
        <v>177</v>
      </c>
      <c r="Q692" t="s">
        <v>66</v>
      </c>
      <c r="R692" t="s">
        <v>49</v>
      </c>
      <c r="S692">
        <v>1</v>
      </c>
      <c r="T692" s="14">
        <v>70.98</v>
      </c>
      <c r="U692" s="7">
        <v>12</v>
      </c>
      <c r="V692" s="7">
        <v>22</v>
      </c>
      <c r="W692" s="14">
        <v>104.98</v>
      </c>
      <c r="X692" s="14">
        <v>236.6</v>
      </c>
      <c r="Y692" s="16">
        <v>5</v>
      </c>
      <c r="Z692" s="12">
        <v>224.77</v>
      </c>
      <c r="AA692" s="5">
        <v>119.79</v>
      </c>
      <c r="AB692" s="18">
        <v>53.29</v>
      </c>
      <c r="AC692" t="s">
        <v>111</v>
      </c>
      <c r="AD692" t="s">
        <v>158</v>
      </c>
      <c r="AE692" t="s">
        <v>105</v>
      </c>
      <c r="AF692">
        <v>4</v>
      </c>
      <c r="AG692" t="s">
        <v>53</v>
      </c>
    </row>
    <row r="693" spans="1:33">
      <c r="A693" t="s">
        <v>1546</v>
      </c>
      <c r="B693" s="10">
        <v>45813</v>
      </c>
      <c r="C693" s="3" t="s">
        <v>88</v>
      </c>
      <c r="D693" t="s">
        <v>56</v>
      </c>
      <c r="E693" t="s">
        <v>174</v>
      </c>
      <c r="F693" t="s">
        <v>131</v>
      </c>
      <c r="G693" t="s">
        <v>132</v>
      </c>
      <c r="H693" t="s">
        <v>133</v>
      </c>
      <c r="I693" t="s">
        <v>134</v>
      </c>
      <c r="J693" t="s">
        <v>135</v>
      </c>
      <c r="K693" t="s">
        <v>42</v>
      </c>
      <c r="L693" t="s">
        <v>1547</v>
      </c>
      <c r="M693" t="s">
        <v>44</v>
      </c>
      <c r="N693" t="s">
        <v>45</v>
      </c>
      <c r="O693" t="s">
        <v>162</v>
      </c>
      <c r="P693" t="s">
        <v>163</v>
      </c>
      <c r="Q693" t="s">
        <v>48</v>
      </c>
      <c r="R693" t="s">
        <v>49</v>
      </c>
      <c r="S693">
        <v>1</v>
      </c>
      <c r="T693" s="14">
        <v>104.58</v>
      </c>
      <c r="U693" s="7">
        <v>12</v>
      </c>
      <c r="V693" s="7">
        <v>22</v>
      </c>
      <c r="W693" s="14">
        <v>138.58000000000001</v>
      </c>
      <c r="X693" s="14">
        <v>348.6</v>
      </c>
      <c r="Y693" s="16">
        <v>0</v>
      </c>
      <c r="Z693" s="12">
        <v>348.6</v>
      </c>
      <c r="AA693" s="5">
        <v>210.02</v>
      </c>
      <c r="AB693" s="18">
        <v>60.25</v>
      </c>
      <c r="AC693" t="s">
        <v>50</v>
      </c>
      <c r="AD693" t="s">
        <v>51</v>
      </c>
      <c r="AE693" t="s">
        <v>105</v>
      </c>
      <c r="AF693">
        <v>5</v>
      </c>
      <c r="AG693" t="s">
        <v>53</v>
      </c>
    </row>
    <row r="694" spans="1:33">
      <c r="A694" t="s">
        <v>1548</v>
      </c>
      <c r="B694" s="10">
        <v>45803</v>
      </c>
      <c r="C694" s="3" t="s">
        <v>155</v>
      </c>
      <c r="D694" t="s">
        <v>206</v>
      </c>
      <c r="E694" t="s">
        <v>130</v>
      </c>
      <c r="F694" t="s">
        <v>131</v>
      </c>
      <c r="G694" t="s">
        <v>132</v>
      </c>
      <c r="H694" t="s">
        <v>39</v>
      </c>
      <c r="I694" t="s">
        <v>2143</v>
      </c>
      <c r="J694" t="s">
        <v>41</v>
      </c>
      <c r="K694" t="s">
        <v>42</v>
      </c>
      <c r="L694" t="s">
        <v>1549</v>
      </c>
      <c r="M694" t="s">
        <v>63</v>
      </c>
      <c r="N694" t="s">
        <v>81</v>
      </c>
      <c r="O694" t="s">
        <v>82</v>
      </c>
      <c r="P694" t="s">
        <v>83</v>
      </c>
      <c r="Q694" t="s">
        <v>66</v>
      </c>
      <c r="R694" t="s">
        <v>84</v>
      </c>
      <c r="S694">
        <v>1</v>
      </c>
      <c r="T694" s="14">
        <v>86.04</v>
      </c>
      <c r="U694" s="7">
        <v>12</v>
      </c>
      <c r="V694" s="7">
        <v>22</v>
      </c>
      <c r="W694" s="14">
        <v>120.04</v>
      </c>
      <c r="X694" s="14">
        <v>286.8</v>
      </c>
      <c r="Y694" s="16">
        <v>10</v>
      </c>
      <c r="Z694" s="12">
        <v>258.12</v>
      </c>
      <c r="AA694" s="5">
        <v>138.08000000000001</v>
      </c>
      <c r="AB694" s="18">
        <v>53.49</v>
      </c>
      <c r="AC694" t="s">
        <v>85</v>
      </c>
      <c r="AD694" t="s">
        <v>51</v>
      </c>
      <c r="AE694" t="s">
        <v>96</v>
      </c>
      <c r="AF694">
        <v>5</v>
      </c>
      <c r="AG694" t="s">
        <v>53</v>
      </c>
    </row>
    <row r="695" spans="1:33">
      <c r="A695" t="s">
        <v>1550</v>
      </c>
      <c r="B695" s="10">
        <v>45890</v>
      </c>
      <c r="C695" s="3" t="s">
        <v>128</v>
      </c>
      <c r="D695" t="s">
        <v>56</v>
      </c>
      <c r="E695" t="s">
        <v>99</v>
      </c>
      <c r="F695" t="s">
        <v>73</v>
      </c>
      <c r="G695" t="s">
        <v>74</v>
      </c>
      <c r="H695" t="s">
        <v>115</v>
      </c>
      <c r="I695" t="s">
        <v>116</v>
      </c>
      <c r="J695" t="s">
        <v>117</v>
      </c>
      <c r="K695" t="s">
        <v>61</v>
      </c>
      <c r="L695" t="s">
        <v>1551</v>
      </c>
      <c r="M695" t="s">
        <v>80</v>
      </c>
      <c r="N695" t="s">
        <v>110</v>
      </c>
      <c r="O695" t="s">
        <v>176</v>
      </c>
      <c r="P695" t="s">
        <v>177</v>
      </c>
      <c r="Q695" t="s">
        <v>66</v>
      </c>
      <c r="R695" t="s">
        <v>49</v>
      </c>
      <c r="S695">
        <v>1</v>
      </c>
      <c r="T695" s="14">
        <v>70.98</v>
      </c>
      <c r="U695" s="7">
        <v>12</v>
      </c>
      <c r="V695" s="7">
        <v>22</v>
      </c>
      <c r="W695" s="14">
        <v>104.98</v>
      </c>
      <c r="X695" s="14">
        <v>236.6</v>
      </c>
      <c r="Y695" s="16">
        <v>0</v>
      </c>
      <c r="Z695" s="12">
        <v>236.6</v>
      </c>
      <c r="AA695" s="5">
        <v>131.62</v>
      </c>
      <c r="AB695" s="18">
        <v>55.63</v>
      </c>
      <c r="AC695" t="s">
        <v>111</v>
      </c>
      <c r="AD695" t="s">
        <v>158</v>
      </c>
      <c r="AE695" t="s">
        <v>68</v>
      </c>
      <c r="AF695">
        <v>3</v>
      </c>
      <c r="AG695" t="s">
        <v>53</v>
      </c>
    </row>
    <row r="696" spans="1:33">
      <c r="A696" t="s">
        <v>1552</v>
      </c>
      <c r="B696" s="10">
        <v>45930</v>
      </c>
      <c r="C696" s="3" t="s">
        <v>310</v>
      </c>
      <c r="D696" t="s">
        <v>156</v>
      </c>
      <c r="E696" t="s">
        <v>72</v>
      </c>
      <c r="F696" t="s">
        <v>73</v>
      </c>
      <c r="G696" t="s">
        <v>74</v>
      </c>
      <c r="H696" t="s">
        <v>142</v>
      </c>
      <c r="I696" t="s">
        <v>143</v>
      </c>
      <c r="J696" t="s">
        <v>144</v>
      </c>
      <c r="K696" t="s">
        <v>145</v>
      </c>
      <c r="L696" t="s">
        <v>1553</v>
      </c>
      <c r="M696" t="s">
        <v>80</v>
      </c>
      <c r="N696" t="s">
        <v>45</v>
      </c>
      <c r="O696" t="s">
        <v>46</v>
      </c>
      <c r="P696" t="s">
        <v>47</v>
      </c>
      <c r="Q696" t="s">
        <v>48</v>
      </c>
      <c r="R696" t="s">
        <v>49</v>
      </c>
      <c r="S696">
        <v>1</v>
      </c>
      <c r="T696" s="14">
        <v>108.78</v>
      </c>
      <c r="U696" s="7">
        <v>12</v>
      </c>
      <c r="V696" s="7">
        <v>22</v>
      </c>
      <c r="W696" s="14">
        <v>142.78</v>
      </c>
      <c r="X696" s="14">
        <v>362.6</v>
      </c>
      <c r="Y696" s="16">
        <v>5</v>
      </c>
      <c r="Z696" s="12">
        <v>344.47</v>
      </c>
      <c r="AA696" s="5">
        <v>201.69</v>
      </c>
      <c r="AB696" s="18">
        <v>58.55</v>
      </c>
      <c r="AC696" t="s">
        <v>111</v>
      </c>
      <c r="AD696" t="s">
        <v>51</v>
      </c>
      <c r="AE696" t="s">
        <v>105</v>
      </c>
      <c r="AF696">
        <v>4</v>
      </c>
      <c r="AG696" t="s">
        <v>53</v>
      </c>
    </row>
    <row r="697" spans="1:33">
      <c r="A697" t="s">
        <v>1554</v>
      </c>
      <c r="B697" s="10">
        <v>45976</v>
      </c>
      <c r="C697" s="3" t="s">
        <v>219</v>
      </c>
      <c r="D697" t="s">
        <v>71</v>
      </c>
      <c r="E697" t="s">
        <v>57</v>
      </c>
      <c r="F697" t="s">
        <v>37</v>
      </c>
      <c r="G697" t="s">
        <v>38</v>
      </c>
      <c r="H697" t="s">
        <v>39</v>
      </c>
      <c r="I697" t="s">
        <v>2143</v>
      </c>
      <c r="J697" t="s">
        <v>41</v>
      </c>
      <c r="K697" t="s">
        <v>42</v>
      </c>
      <c r="L697" t="s">
        <v>1555</v>
      </c>
      <c r="M697" t="s">
        <v>63</v>
      </c>
      <c r="N697" t="s">
        <v>110</v>
      </c>
      <c r="O697" t="s">
        <v>452</v>
      </c>
      <c r="P697" t="s">
        <v>453</v>
      </c>
      <c r="Q697" t="s">
        <v>215</v>
      </c>
      <c r="R697" t="s">
        <v>49</v>
      </c>
      <c r="S697">
        <v>3</v>
      </c>
      <c r="T697" s="14">
        <v>138.18</v>
      </c>
      <c r="U697" s="7">
        <v>12</v>
      </c>
      <c r="V697" s="7">
        <v>22</v>
      </c>
      <c r="W697" s="14">
        <v>172.18</v>
      </c>
      <c r="X697" s="14">
        <v>460.6</v>
      </c>
      <c r="Y697" s="16">
        <v>10</v>
      </c>
      <c r="Z697" s="12">
        <v>1243.6199999999999</v>
      </c>
      <c r="AA697" s="5">
        <v>727.08</v>
      </c>
      <c r="AB697" s="18">
        <v>58.46</v>
      </c>
      <c r="AC697" t="s">
        <v>50</v>
      </c>
      <c r="AD697" t="s">
        <v>158</v>
      </c>
      <c r="AE697" t="s">
        <v>105</v>
      </c>
      <c r="AF697">
        <v>5</v>
      </c>
      <c r="AG697" t="s">
        <v>53</v>
      </c>
    </row>
    <row r="698" spans="1:33">
      <c r="A698" t="s">
        <v>1556</v>
      </c>
      <c r="B698" s="10">
        <v>45754</v>
      </c>
      <c r="C698" s="3" t="s">
        <v>98</v>
      </c>
      <c r="D698" t="s">
        <v>206</v>
      </c>
      <c r="E698" t="s">
        <v>280</v>
      </c>
      <c r="F698" t="s">
        <v>131</v>
      </c>
      <c r="G698" t="s">
        <v>132</v>
      </c>
      <c r="H698" t="s">
        <v>75</v>
      </c>
      <c r="I698" t="s">
        <v>76</v>
      </c>
      <c r="J698" t="s">
        <v>77</v>
      </c>
      <c r="K698" t="s">
        <v>78</v>
      </c>
      <c r="L698" t="s">
        <v>1557</v>
      </c>
      <c r="M698" t="s">
        <v>44</v>
      </c>
      <c r="N698" t="s">
        <v>45</v>
      </c>
      <c r="O698" t="s">
        <v>94</v>
      </c>
      <c r="P698" t="s">
        <v>95</v>
      </c>
      <c r="Q698" t="s">
        <v>66</v>
      </c>
      <c r="R698" t="s">
        <v>84</v>
      </c>
      <c r="S698">
        <v>2</v>
      </c>
      <c r="T698" s="14">
        <v>78.84</v>
      </c>
      <c r="U698" s="7">
        <v>12</v>
      </c>
      <c r="V698" s="7">
        <v>22</v>
      </c>
      <c r="W698" s="14">
        <v>112.84</v>
      </c>
      <c r="X698" s="14">
        <v>262.8</v>
      </c>
      <c r="Y698" s="16">
        <v>5</v>
      </c>
      <c r="Z698" s="12">
        <v>499.32</v>
      </c>
      <c r="AA698" s="5">
        <v>273.64</v>
      </c>
      <c r="AB698" s="18">
        <v>54.8</v>
      </c>
      <c r="AC698" t="s">
        <v>111</v>
      </c>
      <c r="AD698" t="s">
        <v>86</v>
      </c>
      <c r="AE698" t="s">
        <v>126</v>
      </c>
      <c r="AF698">
        <v>5</v>
      </c>
      <c r="AG698" t="s">
        <v>53</v>
      </c>
    </row>
    <row r="699" spans="1:33">
      <c r="A699" t="s">
        <v>1558</v>
      </c>
      <c r="B699" s="10">
        <v>46009</v>
      </c>
      <c r="C699" s="3" t="s">
        <v>70</v>
      </c>
      <c r="D699" t="s">
        <v>56</v>
      </c>
      <c r="E699" t="s">
        <v>149</v>
      </c>
      <c r="F699" t="s">
        <v>37</v>
      </c>
      <c r="G699" t="s">
        <v>92</v>
      </c>
      <c r="H699" t="s">
        <v>58</v>
      </c>
      <c r="I699" t="s">
        <v>59</v>
      </c>
      <c r="J699" t="s">
        <v>60</v>
      </c>
      <c r="K699" t="s">
        <v>61</v>
      </c>
      <c r="L699" t="s">
        <v>1559</v>
      </c>
      <c r="M699" t="s">
        <v>63</v>
      </c>
      <c r="N699" t="s">
        <v>110</v>
      </c>
      <c r="O699" t="s">
        <v>176</v>
      </c>
      <c r="P699" t="s">
        <v>177</v>
      </c>
      <c r="Q699" t="s">
        <v>66</v>
      </c>
      <c r="R699" t="s">
        <v>49</v>
      </c>
      <c r="S699">
        <v>1</v>
      </c>
      <c r="T699" s="14">
        <v>70.98</v>
      </c>
      <c r="U699" s="7">
        <v>12</v>
      </c>
      <c r="V699" s="7">
        <v>22</v>
      </c>
      <c r="W699" s="14">
        <v>104.98</v>
      </c>
      <c r="X699" s="14">
        <v>236.6</v>
      </c>
      <c r="Y699" s="16">
        <v>0</v>
      </c>
      <c r="Z699" s="12">
        <v>236.6</v>
      </c>
      <c r="AA699" s="5">
        <v>131.62</v>
      </c>
      <c r="AB699" s="18">
        <v>55.63</v>
      </c>
      <c r="AC699" t="s">
        <v>85</v>
      </c>
      <c r="AD699" t="s">
        <v>158</v>
      </c>
      <c r="AE699" t="s">
        <v>96</v>
      </c>
      <c r="AF699">
        <v>5</v>
      </c>
      <c r="AG699" t="s">
        <v>53</v>
      </c>
    </row>
    <row r="700" spans="1:33">
      <c r="A700" t="s">
        <v>1560</v>
      </c>
      <c r="B700" s="10">
        <v>45672</v>
      </c>
      <c r="C700" s="3" t="s">
        <v>182</v>
      </c>
      <c r="D700" t="s">
        <v>129</v>
      </c>
      <c r="E700" t="s">
        <v>152</v>
      </c>
      <c r="F700" t="s">
        <v>91</v>
      </c>
      <c r="G700" t="s">
        <v>92</v>
      </c>
      <c r="H700" t="s">
        <v>75</v>
      </c>
      <c r="I700" t="s">
        <v>76</v>
      </c>
      <c r="J700" t="s">
        <v>77</v>
      </c>
      <c r="K700" t="s">
        <v>78</v>
      </c>
      <c r="L700" t="s">
        <v>1561</v>
      </c>
      <c r="M700" t="s">
        <v>44</v>
      </c>
      <c r="N700" t="s">
        <v>81</v>
      </c>
      <c r="O700" t="s">
        <v>162</v>
      </c>
      <c r="P700" t="s">
        <v>163</v>
      </c>
      <c r="Q700" t="s">
        <v>48</v>
      </c>
      <c r="R700" t="s">
        <v>67</v>
      </c>
      <c r="S700">
        <v>1</v>
      </c>
      <c r="T700" s="14">
        <v>74.7</v>
      </c>
      <c r="U700" s="7">
        <v>12</v>
      </c>
      <c r="V700" s="7">
        <v>22</v>
      </c>
      <c r="W700" s="14">
        <v>108.7</v>
      </c>
      <c r="X700" s="14">
        <v>249</v>
      </c>
      <c r="Y700" s="16">
        <v>5</v>
      </c>
      <c r="Z700" s="12">
        <v>236.55</v>
      </c>
      <c r="AA700" s="5">
        <v>127.85</v>
      </c>
      <c r="AB700" s="18">
        <v>54.05</v>
      </c>
      <c r="AC700" t="s">
        <v>50</v>
      </c>
      <c r="AD700" t="s">
        <v>158</v>
      </c>
      <c r="AE700" t="s">
        <v>126</v>
      </c>
      <c r="AF700">
        <v>5</v>
      </c>
      <c r="AG700" t="s">
        <v>53</v>
      </c>
    </row>
    <row r="701" spans="1:33">
      <c r="A701" t="s">
        <v>1562</v>
      </c>
      <c r="B701" s="10">
        <v>45849</v>
      </c>
      <c r="C701" s="3" t="s">
        <v>155</v>
      </c>
      <c r="D701" t="s">
        <v>35</v>
      </c>
      <c r="E701" t="s">
        <v>114</v>
      </c>
      <c r="F701" t="s">
        <v>73</v>
      </c>
      <c r="G701" t="s">
        <v>74</v>
      </c>
      <c r="H701" t="s">
        <v>115</v>
      </c>
      <c r="I701" t="s">
        <v>116</v>
      </c>
      <c r="J701" t="s">
        <v>117</v>
      </c>
      <c r="K701" t="s">
        <v>61</v>
      </c>
      <c r="L701" t="s">
        <v>1563</v>
      </c>
      <c r="M701" t="s">
        <v>63</v>
      </c>
      <c r="N701" t="s">
        <v>81</v>
      </c>
      <c r="O701" t="s">
        <v>119</v>
      </c>
      <c r="P701" t="s">
        <v>120</v>
      </c>
      <c r="Q701" t="s">
        <v>103</v>
      </c>
      <c r="R701" t="s">
        <v>84</v>
      </c>
      <c r="S701">
        <v>3</v>
      </c>
      <c r="T701" s="14">
        <v>46.44</v>
      </c>
      <c r="U701" s="7">
        <v>12</v>
      </c>
      <c r="V701" s="7">
        <v>22</v>
      </c>
      <c r="W701" s="14">
        <v>80.44</v>
      </c>
      <c r="X701" s="14">
        <v>154.80000000000001</v>
      </c>
      <c r="Y701" s="16">
        <v>0</v>
      </c>
      <c r="Z701" s="12">
        <v>464.4</v>
      </c>
      <c r="AA701" s="5">
        <v>223.08</v>
      </c>
      <c r="AB701" s="18">
        <v>48.04</v>
      </c>
      <c r="AC701" t="s">
        <v>50</v>
      </c>
      <c r="AD701" t="s">
        <v>158</v>
      </c>
      <c r="AE701" t="s">
        <v>105</v>
      </c>
      <c r="AF701">
        <v>3</v>
      </c>
      <c r="AG701" t="s">
        <v>53</v>
      </c>
    </row>
    <row r="702" spans="1:33">
      <c r="A702" t="s">
        <v>1564</v>
      </c>
      <c r="B702" s="10">
        <v>46022</v>
      </c>
      <c r="C702" s="3" t="s">
        <v>339</v>
      </c>
      <c r="D702" t="s">
        <v>129</v>
      </c>
      <c r="E702" t="s">
        <v>149</v>
      </c>
      <c r="F702" t="s">
        <v>37</v>
      </c>
      <c r="G702" t="s">
        <v>92</v>
      </c>
      <c r="H702" t="s">
        <v>58</v>
      </c>
      <c r="I702" t="s">
        <v>59</v>
      </c>
      <c r="J702" t="s">
        <v>60</v>
      </c>
      <c r="K702" t="s">
        <v>61</v>
      </c>
      <c r="L702" t="s">
        <v>1565</v>
      </c>
      <c r="M702" t="s">
        <v>80</v>
      </c>
      <c r="N702" t="s">
        <v>110</v>
      </c>
      <c r="O702" t="s">
        <v>82</v>
      </c>
      <c r="P702" t="s">
        <v>83</v>
      </c>
      <c r="Q702" t="s">
        <v>66</v>
      </c>
      <c r="R702" t="s">
        <v>49</v>
      </c>
      <c r="S702">
        <v>3</v>
      </c>
      <c r="T702" s="14">
        <v>100.38</v>
      </c>
      <c r="U702" s="7">
        <v>12</v>
      </c>
      <c r="V702" s="7">
        <v>22</v>
      </c>
      <c r="W702" s="14">
        <v>134.38</v>
      </c>
      <c r="X702" s="14">
        <v>334.6</v>
      </c>
      <c r="Y702" s="16">
        <v>5</v>
      </c>
      <c r="Z702" s="12">
        <v>953.61</v>
      </c>
      <c r="AA702" s="5">
        <v>550.47</v>
      </c>
      <c r="AB702" s="18">
        <v>57.72</v>
      </c>
      <c r="AC702" t="s">
        <v>111</v>
      </c>
      <c r="AD702" t="s">
        <v>158</v>
      </c>
      <c r="AE702" t="s">
        <v>68</v>
      </c>
      <c r="AF702">
        <v>4</v>
      </c>
      <c r="AG702" t="s">
        <v>53</v>
      </c>
    </row>
    <row r="703" spans="1:33">
      <c r="A703" t="s">
        <v>1566</v>
      </c>
      <c r="B703" s="10">
        <v>45761</v>
      </c>
      <c r="C703" s="3" t="s">
        <v>339</v>
      </c>
      <c r="D703" t="s">
        <v>206</v>
      </c>
      <c r="E703" t="s">
        <v>280</v>
      </c>
      <c r="F703" t="s">
        <v>131</v>
      </c>
      <c r="G703" t="s">
        <v>132</v>
      </c>
      <c r="H703" t="s">
        <v>75</v>
      </c>
      <c r="I703" t="s">
        <v>76</v>
      </c>
      <c r="J703" t="s">
        <v>77</v>
      </c>
      <c r="K703" t="s">
        <v>78</v>
      </c>
      <c r="L703" t="s">
        <v>1567</v>
      </c>
      <c r="M703" t="s">
        <v>80</v>
      </c>
      <c r="N703" t="s">
        <v>110</v>
      </c>
      <c r="O703" t="s">
        <v>64</v>
      </c>
      <c r="P703" t="s">
        <v>65</v>
      </c>
      <c r="Q703" t="s">
        <v>66</v>
      </c>
      <c r="R703" t="s">
        <v>67</v>
      </c>
      <c r="S703">
        <v>1</v>
      </c>
      <c r="T703" s="14">
        <v>44.7</v>
      </c>
      <c r="U703" s="7">
        <v>12</v>
      </c>
      <c r="V703" s="7">
        <v>22</v>
      </c>
      <c r="W703" s="14">
        <v>78.7</v>
      </c>
      <c r="X703" s="14">
        <v>149</v>
      </c>
      <c r="Y703" s="16">
        <v>10</v>
      </c>
      <c r="Z703" s="12">
        <v>134.1</v>
      </c>
      <c r="AA703" s="5">
        <v>55.4</v>
      </c>
      <c r="AB703" s="18">
        <v>41.31</v>
      </c>
      <c r="AC703" t="s">
        <v>111</v>
      </c>
      <c r="AD703" t="s">
        <v>51</v>
      </c>
      <c r="AE703" t="s">
        <v>126</v>
      </c>
      <c r="AF703">
        <v>4</v>
      </c>
      <c r="AG703" t="s">
        <v>53</v>
      </c>
    </row>
    <row r="704" spans="1:33">
      <c r="A704" t="s">
        <v>1568</v>
      </c>
      <c r="B704" s="10">
        <v>45683</v>
      </c>
      <c r="C704" s="3" t="s">
        <v>194</v>
      </c>
      <c r="D704" t="s">
        <v>89</v>
      </c>
      <c r="E704" t="s">
        <v>152</v>
      </c>
      <c r="F704" t="s">
        <v>91</v>
      </c>
      <c r="G704" t="s">
        <v>92</v>
      </c>
      <c r="H704" t="s">
        <v>39</v>
      </c>
      <c r="I704" t="s">
        <v>2143</v>
      </c>
      <c r="J704" t="s">
        <v>41</v>
      </c>
      <c r="K704" t="s">
        <v>42</v>
      </c>
      <c r="L704" t="s">
        <v>1569</v>
      </c>
      <c r="M704" t="s">
        <v>80</v>
      </c>
      <c r="N704" t="s">
        <v>45</v>
      </c>
      <c r="O704" t="s">
        <v>82</v>
      </c>
      <c r="P704" t="s">
        <v>83</v>
      </c>
      <c r="Q704" t="s">
        <v>66</v>
      </c>
      <c r="R704" t="s">
        <v>84</v>
      </c>
      <c r="S704">
        <v>2</v>
      </c>
      <c r="T704" s="14">
        <v>86.04</v>
      </c>
      <c r="U704" s="7">
        <v>12</v>
      </c>
      <c r="V704" s="7">
        <v>22</v>
      </c>
      <c r="W704" s="14">
        <v>120.04</v>
      </c>
      <c r="X704" s="14">
        <v>286.8</v>
      </c>
      <c r="Y704" s="16">
        <v>10</v>
      </c>
      <c r="Z704" s="12">
        <v>516.24</v>
      </c>
      <c r="AA704" s="5">
        <v>276.16000000000003</v>
      </c>
      <c r="AB704" s="18">
        <v>53.49</v>
      </c>
      <c r="AC704" t="s">
        <v>50</v>
      </c>
      <c r="AD704" t="s">
        <v>158</v>
      </c>
      <c r="AE704" t="s">
        <v>68</v>
      </c>
      <c r="AF704">
        <v>4</v>
      </c>
      <c r="AG704" t="s">
        <v>53</v>
      </c>
    </row>
    <row r="705" spans="1:33">
      <c r="A705" t="s">
        <v>1570</v>
      </c>
      <c r="B705" s="10">
        <v>45810</v>
      </c>
      <c r="C705" s="3" t="s">
        <v>182</v>
      </c>
      <c r="D705" t="s">
        <v>206</v>
      </c>
      <c r="E705" t="s">
        <v>174</v>
      </c>
      <c r="F705" t="s">
        <v>131</v>
      </c>
      <c r="G705" t="s">
        <v>132</v>
      </c>
      <c r="H705" t="s">
        <v>142</v>
      </c>
      <c r="I705" t="s">
        <v>143</v>
      </c>
      <c r="J705" t="s">
        <v>144</v>
      </c>
      <c r="K705" t="s">
        <v>145</v>
      </c>
      <c r="L705" t="s">
        <v>1571</v>
      </c>
      <c r="M705" t="s">
        <v>63</v>
      </c>
      <c r="N705" t="s">
        <v>110</v>
      </c>
      <c r="O705" t="s">
        <v>275</v>
      </c>
      <c r="P705" t="s">
        <v>276</v>
      </c>
      <c r="Q705" t="s">
        <v>125</v>
      </c>
      <c r="R705" t="s">
        <v>67</v>
      </c>
      <c r="S705">
        <v>3</v>
      </c>
      <c r="T705" s="14">
        <v>68.7</v>
      </c>
      <c r="U705" s="7">
        <v>12</v>
      </c>
      <c r="V705" s="7">
        <v>22</v>
      </c>
      <c r="W705" s="14">
        <v>102.7</v>
      </c>
      <c r="X705" s="14">
        <v>229</v>
      </c>
      <c r="Y705" s="16">
        <v>0</v>
      </c>
      <c r="Z705" s="12">
        <v>687</v>
      </c>
      <c r="AA705" s="5">
        <v>378.9</v>
      </c>
      <c r="AB705" s="18">
        <v>55.15</v>
      </c>
      <c r="AC705" t="s">
        <v>85</v>
      </c>
      <c r="AD705" t="s">
        <v>86</v>
      </c>
      <c r="AE705" t="s">
        <v>68</v>
      </c>
      <c r="AF705">
        <v>5</v>
      </c>
      <c r="AG705" t="s">
        <v>53</v>
      </c>
    </row>
    <row r="706" spans="1:33">
      <c r="A706" t="s">
        <v>1572</v>
      </c>
      <c r="B706" s="10">
        <v>45780</v>
      </c>
      <c r="C706" s="3" t="s">
        <v>70</v>
      </c>
      <c r="D706" t="s">
        <v>71</v>
      </c>
      <c r="E706" t="s">
        <v>130</v>
      </c>
      <c r="F706" t="s">
        <v>131</v>
      </c>
      <c r="G706" t="s">
        <v>132</v>
      </c>
      <c r="H706" t="s">
        <v>115</v>
      </c>
      <c r="I706" t="s">
        <v>116</v>
      </c>
      <c r="J706" t="s">
        <v>117</v>
      </c>
      <c r="K706" t="s">
        <v>61</v>
      </c>
      <c r="L706" t="s">
        <v>1573</v>
      </c>
      <c r="M706" t="s">
        <v>63</v>
      </c>
      <c r="N706" t="s">
        <v>110</v>
      </c>
      <c r="O706" t="s">
        <v>189</v>
      </c>
      <c r="P706" t="s">
        <v>190</v>
      </c>
      <c r="Q706" t="s">
        <v>48</v>
      </c>
      <c r="R706" t="s">
        <v>49</v>
      </c>
      <c r="S706">
        <v>1</v>
      </c>
      <c r="T706" s="14">
        <v>66.78</v>
      </c>
      <c r="U706" s="7">
        <v>12</v>
      </c>
      <c r="V706" s="7">
        <v>22</v>
      </c>
      <c r="W706" s="14">
        <v>100.78</v>
      </c>
      <c r="X706" s="14">
        <v>222.6</v>
      </c>
      <c r="Y706" s="16">
        <v>15</v>
      </c>
      <c r="Z706" s="12">
        <v>189.21</v>
      </c>
      <c r="AA706" s="5">
        <v>88.43</v>
      </c>
      <c r="AB706" s="18">
        <v>46.74</v>
      </c>
      <c r="AC706" t="s">
        <v>111</v>
      </c>
      <c r="AD706" t="s">
        <v>51</v>
      </c>
      <c r="AE706" t="s">
        <v>126</v>
      </c>
      <c r="AF706">
        <v>5</v>
      </c>
      <c r="AG706" t="s">
        <v>53</v>
      </c>
    </row>
    <row r="707" spans="1:33">
      <c r="A707" t="s">
        <v>1574</v>
      </c>
      <c r="B707" s="10">
        <v>45780</v>
      </c>
      <c r="C707" s="3" t="s">
        <v>199</v>
      </c>
      <c r="D707" t="s">
        <v>71</v>
      </c>
      <c r="E707" t="s">
        <v>130</v>
      </c>
      <c r="F707" t="s">
        <v>131</v>
      </c>
      <c r="G707" t="s">
        <v>132</v>
      </c>
      <c r="H707" t="s">
        <v>133</v>
      </c>
      <c r="I707" t="s">
        <v>134</v>
      </c>
      <c r="J707" t="s">
        <v>135</v>
      </c>
      <c r="K707" t="s">
        <v>42</v>
      </c>
      <c r="L707" t="s">
        <v>1575</v>
      </c>
      <c r="M707" t="s">
        <v>44</v>
      </c>
      <c r="N707" t="s">
        <v>45</v>
      </c>
      <c r="O707" t="s">
        <v>94</v>
      </c>
      <c r="P707" t="s">
        <v>95</v>
      </c>
      <c r="Q707" t="s">
        <v>66</v>
      </c>
      <c r="R707" t="s">
        <v>67</v>
      </c>
      <c r="S707">
        <v>1</v>
      </c>
      <c r="T707" s="14">
        <v>65.7</v>
      </c>
      <c r="U707" s="7">
        <v>12</v>
      </c>
      <c r="V707" s="7">
        <v>22</v>
      </c>
      <c r="W707" s="14">
        <v>99.7</v>
      </c>
      <c r="X707" s="14">
        <v>219</v>
      </c>
      <c r="Y707" s="16">
        <v>10</v>
      </c>
      <c r="Z707" s="12">
        <v>197.1</v>
      </c>
      <c r="AA707" s="5">
        <v>97.4</v>
      </c>
      <c r="AB707" s="18">
        <v>49.42</v>
      </c>
      <c r="AC707" t="s">
        <v>104</v>
      </c>
      <c r="AD707" t="s">
        <v>86</v>
      </c>
      <c r="AE707" t="s">
        <v>126</v>
      </c>
      <c r="AF707">
        <v>4</v>
      </c>
      <c r="AG707" t="s">
        <v>53</v>
      </c>
    </row>
    <row r="708" spans="1:33">
      <c r="A708" t="s">
        <v>1576</v>
      </c>
      <c r="B708" s="10">
        <v>45886</v>
      </c>
      <c r="C708" s="3" t="s">
        <v>155</v>
      </c>
      <c r="D708" t="s">
        <v>89</v>
      </c>
      <c r="E708" t="s">
        <v>99</v>
      </c>
      <c r="F708" t="s">
        <v>73</v>
      </c>
      <c r="G708" t="s">
        <v>74</v>
      </c>
      <c r="H708" t="s">
        <v>142</v>
      </c>
      <c r="I708" t="s">
        <v>143</v>
      </c>
      <c r="J708" t="s">
        <v>144</v>
      </c>
      <c r="K708" t="s">
        <v>145</v>
      </c>
      <c r="L708" t="s">
        <v>1577</v>
      </c>
      <c r="M708" t="s">
        <v>44</v>
      </c>
      <c r="N708" t="s">
        <v>110</v>
      </c>
      <c r="O708" t="s">
        <v>82</v>
      </c>
      <c r="P708" t="s">
        <v>83</v>
      </c>
      <c r="Q708" t="s">
        <v>66</v>
      </c>
      <c r="R708" t="s">
        <v>49</v>
      </c>
      <c r="S708">
        <v>2</v>
      </c>
      <c r="T708" s="14">
        <v>100.38</v>
      </c>
      <c r="U708" s="7">
        <v>12</v>
      </c>
      <c r="V708" s="7">
        <v>22</v>
      </c>
      <c r="W708" s="14">
        <v>134.38</v>
      </c>
      <c r="X708" s="14">
        <v>334.6</v>
      </c>
      <c r="Y708" s="16">
        <v>10</v>
      </c>
      <c r="Z708" s="12">
        <v>602.28</v>
      </c>
      <c r="AA708" s="5">
        <v>333.52</v>
      </c>
      <c r="AB708" s="18">
        <v>55.38</v>
      </c>
      <c r="AC708" t="s">
        <v>85</v>
      </c>
      <c r="AD708" t="s">
        <v>86</v>
      </c>
      <c r="AE708" t="s">
        <v>105</v>
      </c>
      <c r="AF708">
        <v>4</v>
      </c>
      <c r="AG708" t="s">
        <v>53</v>
      </c>
    </row>
    <row r="709" spans="1:33">
      <c r="A709" t="s">
        <v>1578</v>
      </c>
      <c r="B709" s="10">
        <v>45781</v>
      </c>
      <c r="C709" s="3" t="s">
        <v>107</v>
      </c>
      <c r="D709" t="s">
        <v>89</v>
      </c>
      <c r="E709" t="s">
        <v>130</v>
      </c>
      <c r="F709" t="s">
        <v>131</v>
      </c>
      <c r="G709" t="s">
        <v>132</v>
      </c>
      <c r="H709" t="s">
        <v>115</v>
      </c>
      <c r="I709" t="s">
        <v>116</v>
      </c>
      <c r="J709" t="s">
        <v>117</v>
      </c>
      <c r="K709" t="s">
        <v>61</v>
      </c>
      <c r="L709" t="s">
        <v>1579</v>
      </c>
      <c r="M709" t="s">
        <v>80</v>
      </c>
      <c r="N709" t="s">
        <v>81</v>
      </c>
      <c r="O709" t="s">
        <v>82</v>
      </c>
      <c r="P709" t="s">
        <v>83</v>
      </c>
      <c r="Q709" t="s">
        <v>66</v>
      </c>
      <c r="R709" t="s">
        <v>67</v>
      </c>
      <c r="S709">
        <v>3</v>
      </c>
      <c r="T709" s="14">
        <v>71.7</v>
      </c>
      <c r="U709" s="7">
        <v>12</v>
      </c>
      <c r="V709" s="7">
        <v>22</v>
      </c>
      <c r="W709" s="14">
        <v>105.7</v>
      </c>
      <c r="X709" s="14">
        <v>239</v>
      </c>
      <c r="Y709" s="16">
        <v>10</v>
      </c>
      <c r="Z709" s="12">
        <v>645.29999999999995</v>
      </c>
      <c r="AA709" s="5">
        <v>328.2</v>
      </c>
      <c r="AB709" s="18">
        <v>50.86</v>
      </c>
      <c r="AC709" t="s">
        <v>104</v>
      </c>
      <c r="AD709" t="s">
        <v>51</v>
      </c>
      <c r="AE709" t="s">
        <v>96</v>
      </c>
      <c r="AF709">
        <v>5</v>
      </c>
      <c r="AG709" t="s">
        <v>53</v>
      </c>
    </row>
    <row r="710" spans="1:33">
      <c r="A710" t="s">
        <v>1580</v>
      </c>
      <c r="B710" s="10">
        <v>45695</v>
      </c>
      <c r="C710" s="3" t="s">
        <v>339</v>
      </c>
      <c r="D710" t="s">
        <v>35</v>
      </c>
      <c r="E710" t="s">
        <v>90</v>
      </c>
      <c r="F710" t="s">
        <v>91</v>
      </c>
      <c r="G710" t="s">
        <v>92</v>
      </c>
      <c r="H710" t="s">
        <v>58</v>
      </c>
      <c r="I710" t="s">
        <v>59</v>
      </c>
      <c r="J710" t="s">
        <v>60</v>
      </c>
      <c r="K710" t="s">
        <v>61</v>
      </c>
      <c r="L710" t="s">
        <v>1581</v>
      </c>
      <c r="M710" t="s">
        <v>44</v>
      </c>
      <c r="N710" t="s">
        <v>110</v>
      </c>
      <c r="O710" t="s">
        <v>94</v>
      </c>
      <c r="P710" t="s">
        <v>95</v>
      </c>
      <c r="Q710" t="s">
        <v>66</v>
      </c>
      <c r="R710" t="s">
        <v>49</v>
      </c>
      <c r="S710">
        <v>1</v>
      </c>
      <c r="T710" s="14">
        <v>91.98</v>
      </c>
      <c r="U710" s="7">
        <v>12</v>
      </c>
      <c r="V710" s="7">
        <v>22</v>
      </c>
      <c r="W710" s="14">
        <v>125.98</v>
      </c>
      <c r="X710" s="14">
        <v>306.60000000000002</v>
      </c>
      <c r="Y710" s="16">
        <v>5</v>
      </c>
      <c r="Z710" s="12">
        <v>291.27</v>
      </c>
      <c r="AA710" s="5">
        <v>165.29</v>
      </c>
      <c r="AB710" s="18">
        <v>56.75</v>
      </c>
      <c r="AC710" t="s">
        <v>111</v>
      </c>
      <c r="AD710" t="s">
        <v>51</v>
      </c>
      <c r="AE710" t="s">
        <v>126</v>
      </c>
      <c r="AF710">
        <v>4</v>
      </c>
      <c r="AG710" t="s">
        <v>53</v>
      </c>
    </row>
    <row r="711" spans="1:33">
      <c r="A711" t="s">
        <v>1582</v>
      </c>
      <c r="B711" s="10">
        <v>45778</v>
      </c>
      <c r="C711" s="3" t="s">
        <v>310</v>
      </c>
      <c r="D711" t="s">
        <v>56</v>
      </c>
      <c r="E711" t="s">
        <v>130</v>
      </c>
      <c r="F711" t="s">
        <v>131</v>
      </c>
      <c r="G711" t="s">
        <v>132</v>
      </c>
      <c r="H711" t="s">
        <v>115</v>
      </c>
      <c r="I711" t="s">
        <v>116</v>
      </c>
      <c r="J711" t="s">
        <v>117</v>
      </c>
      <c r="K711" t="s">
        <v>61</v>
      </c>
      <c r="L711" t="s">
        <v>1583</v>
      </c>
      <c r="M711" t="s">
        <v>44</v>
      </c>
      <c r="N711" t="s">
        <v>81</v>
      </c>
      <c r="O711" t="s">
        <v>189</v>
      </c>
      <c r="P711" t="s">
        <v>190</v>
      </c>
      <c r="Q711" t="s">
        <v>48</v>
      </c>
      <c r="R711" t="s">
        <v>49</v>
      </c>
      <c r="S711">
        <v>1</v>
      </c>
      <c r="T711" s="14">
        <v>66.78</v>
      </c>
      <c r="U711" s="7">
        <v>12</v>
      </c>
      <c r="V711" s="7">
        <v>22</v>
      </c>
      <c r="W711" s="14">
        <v>100.78</v>
      </c>
      <c r="X711" s="14">
        <v>222.6</v>
      </c>
      <c r="Y711" s="16">
        <v>0</v>
      </c>
      <c r="Z711" s="12">
        <v>222.6</v>
      </c>
      <c r="AA711" s="5">
        <v>121.82</v>
      </c>
      <c r="AB711" s="18">
        <v>54.73</v>
      </c>
      <c r="AC711" t="s">
        <v>104</v>
      </c>
      <c r="AD711" t="s">
        <v>51</v>
      </c>
      <c r="AE711" t="s">
        <v>126</v>
      </c>
      <c r="AF711">
        <v>5</v>
      </c>
      <c r="AG711" t="s">
        <v>53</v>
      </c>
    </row>
    <row r="712" spans="1:33">
      <c r="A712" t="s">
        <v>1584</v>
      </c>
      <c r="B712" s="10">
        <v>45749</v>
      </c>
      <c r="C712" s="3" t="s">
        <v>70</v>
      </c>
      <c r="D712" t="s">
        <v>129</v>
      </c>
      <c r="E712" t="s">
        <v>280</v>
      </c>
      <c r="F712" t="s">
        <v>131</v>
      </c>
      <c r="G712" t="s">
        <v>132</v>
      </c>
      <c r="H712" t="s">
        <v>39</v>
      </c>
      <c r="I712" t="s">
        <v>2143</v>
      </c>
      <c r="J712" t="s">
        <v>41</v>
      </c>
      <c r="K712" t="s">
        <v>42</v>
      </c>
      <c r="L712" t="s">
        <v>1585</v>
      </c>
      <c r="M712" t="s">
        <v>44</v>
      </c>
      <c r="N712" t="s">
        <v>45</v>
      </c>
      <c r="O712" t="s">
        <v>46</v>
      </c>
      <c r="P712" t="s">
        <v>47</v>
      </c>
      <c r="Q712" t="s">
        <v>48</v>
      </c>
      <c r="R712" t="s">
        <v>49</v>
      </c>
      <c r="S712">
        <v>3</v>
      </c>
      <c r="T712" s="14">
        <v>108.78</v>
      </c>
      <c r="U712" s="7">
        <v>12</v>
      </c>
      <c r="V712" s="7">
        <v>22</v>
      </c>
      <c r="W712" s="14">
        <v>142.78</v>
      </c>
      <c r="X712" s="14">
        <v>362.6</v>
      </c>
      <c r="Y712" s="16">
        <v>5</v>
      </c>
      <c r="Z712" s="12">
        <v>1033.4100000000001</v>
      </c>
      <c r="AA712" s="5">
        <v>605.07000000000005</v>
      </c>
      <c r="AB712" s="18">
        <v>58.55</v>
      </c>
      <c r="AC712" t="s">
        <v>111</v>
      </c>
      <c r="AD712" t="s">
        <v>51</v>
      </c>
      <c r="AE712" t="s">
        <v>96</v>
      </c>
      <c r="AF712">
        <v>5</v>
      </c>
      <c r="AG712" t="s">
        <v>53</v>
      </c>
    </row>
    <row r="713" spans="1:33">
      <c r="A713" t="s">
        <v>1586</v>
      </c>
      <c r="B713" s="10">
        <v>45933</v>
      </c>
      <c r="C713" s="3" t="s">
        <v>171</v>
      </c>
      <c r="D713" t="s">
        <v>35</v>
      </c>
      <c r="E713" t="s">
        <v>36</v>
      </c>
      <c r="F713" t="s">
        <v>37</v>
      </c>
      <c r="G713" t="s">
        <v>38</v>
      </c>
      <c r="H713" t="s">
        <v>58</v>
      </c>
      <c r="I713" t="s">
        <v>59</v>
      </c>
      <c r="J713" t="s">
        <v>60</v>
      </c>
      <c r="K713" t="s">
        <v>61</v>
      </c>
      <c r="L713" t="s">
        <v>1587</v>
      </c>
      <c r="M713" t="s">
        <v>80</v>
      </c>
      <c r="N713" t="s">
        <v>81</v>
      </c>
      <c r="O713" t="s">
        <v>94</v>
      </c>
      <c r="P713" t="s">
        <v>95</v>
      </c>
      <c r="Q713" t="s">
        <v>66</v>
      </c>
      <c r="R713" t="s">
        <v>49</v>
      </c>
      <c r="S713">
        <v>1</v>
      </c>
      <c r="T713" s="14">
        <v>91.98</v>
      </c>
      <c r="U713" s="7">
        <v>12</v>
      </c>
      <c r="V713" s="7">
        <v>22</v>
      </c>
      <c r="W713" s="14">
        <v>125.98</v>
      </c>
      <c r="X713" s="14">
        <v>306.60000000000002</v>
      </c>
      <c r="Y713" s="16">
        <v>0</v>
      </c>
      <c r="Z713" s="12">
        <v>306.60000000000002</v>
      </c>
      <c r="AA713" s="5">
        <v>180.62</v>
      </c>
      <c r="AB713" s="18">
        <v>58.91</v>
      </c>
      <c r="AC713" t="s">
        <v>85</v>
      </c>
      <c r="AD713" t="s">
        <v>158</v>
      </c>
      <c r="AE713" t="s">
        <v>105</v>
      </c>
      <c r="AF713">
        <v>4</v>
      </c>
      <c r="AG713" t="s">
        <v>53</v>
      </c>
    </row>
    <row r="714" spans="1:33">
      <c r="A714" t="s">
        <v>1588</v>
      </c>
      <c r="B714" s="10">
        <v>45911</v>
      </c>
      <c r="C714" s="3" t="s">
        <v>185</v>
      </c>
      <c r="D714" t="s">
        <v>56</v>
      </c>
      <c r="E714" t="s">
        <v>72</v>
      </c>
      <c r="F714" t="s">
        <v>73</v>
      </c>
      <c r="G714" t="s">
        <v>74</v>
      </c>
      <c r="H714" t="s">
        <v>133</v>
      </c>
      <c r="I714" t="s">
        <v>134</v>
      </c>
      <c r="J714" t="s">
        <v>135</v>
      </c>
      <c r="K714" t="s">
        <v>42</v>
      </c>
      <c r="L714" t="s">
        <v>1589</v>
      </c>
      <c r="M714" t="s">
        <v>63</v>
      </c>
      <c r="N714" t="s">
        <v>110</v>
      </c>
      <c r="O714" t="s">
        <v>64</v>
      </c>
      <c r="P714" t="s">
        <v>65</v>
      </c>
      <c r="Q714" t="s">
        <v>66</v>
      </c>
      <c r="R714" t="s">
        <v>49</v>
      </c>
      <c r="S714">
        <v>1</v>
      </c>
      <c r="T714" s="14">
        <v>62.58</v>
      </c>
      <c r="U714" s="7">
        <v>12</v>
      </c>
      <c r="V714" s="7">
        <v>22</v>
      </c>
      <c r="W714" s="14">
        <v>96.58</v>
      </c>
      <c r="X714" s="14">
        <v>208.6</v>
      </c>
      <c r="Y714" s="16">
        <v>10</v>
      </c>
      <c r="Z714" s="12">
        <v>187.74</v>
      </c>
      <c r="AA714" s="5">
        <v>91.16</v>
      </c>
      <c r="AB714" s="18">
        <v>48.56</v>
      </c>
      <c r="AC714" t="s">
        <v>2145</v>
      </c>
      <c r="AD714" t="s">
        <v>86</v>
      </c>
      <c r="AE714" t="s">
        <v>68</v>
      </c>
      <c r="AF714">
        <v>5</v>
      </c>
      <c r="AG714" t="s">
        <v>53</v>
      </c>
    </row>
    <row r="715" spans="1:33">
      <c r="A715" t="s">
        <v>1590</v>
      </c>
      <c r="B715" s="10">
        <v>45982</v>
      </c>
      <c r="C715" s="3" t="s">
        <v>107</v>
      </c>
      <c r="D715" t="s">
        <v>35</v>
      </c>
      <c r="E715" t="s">
        <v>57</v>
      </c>
      <c r="F715" t="s">
        <v>37</v>
      </c>
      <c r="G715" t="s">
        <v>38</v>
      </c>
      <c r="H715" t="s">
        <v>115</v>
      </c>
      <c r="I715" t="s">
        <v>116</v>
      </c>
      <c r="J715" t="s">
        <v>117</v>
      </c>
      <c r="K715" t="s">
        <v>61</v>
      </c>
      <c r="L715" t="s">
        <v>1591</v>
      </c>
      <c r="M715" t="s">
        <v>44</v>
      </c>
      <c r="N715" t="s">
        <v>45</v>
      </c>
      <c r="O715" t="s">
        <v>94</v>
      </c>
      <c r="P715" t="s">
        <v>95</v>
      </c>
      <c r="Q715" t="s">
        <v>66</v>
      </c>
      <c r="R715" t="s">
        <v>49</v>
      </c>
      <c r="S715">
        <v>2</v>
      </c>
      <c r="T715" s="14">
        <v>91.98</v>
      </c>
      <c r="U715" s="7">
        <v>12</v>
      </c>
      <c r="V715" s="7">
        <v>22</v>
      </c>
      <c r="W715" s="14">
        <v>125.98</v>
      </c>
      <c r="X715" s="14">
        <v>306.60000000000002</v>
      </c>
      <c r="Y715" s="16">
        <v>5</v>
      </c>
      <c r="Z715" s="12">
        <v>582.54</v>
      </c>
      <c r="AA715" s="5">
        <v>330.58</v>
      </c>
      <c r="AB715" s="18">
        <v>56.75</v>
      </c>
      <c r="AC715" t="s">
        <v>111</v>
      </c>
      <c r="AD715" t="s">
        <v>158</v>
      </c>
      <c r="AE715" t="s">
        <v>68</v>
      </c>
      <c r="AF715">
        <v>4</v>
      </c>
      <c r="AG715" t="s">
        <v>53</v>
      </c>
    </row>
    <row r="716" spans="1:33">
      <c r="A716" t="s">
        <v>1592</v>
      </c>
      <c r="B716" s="10">
        <v>45796</v>
      </c>
      <c r="C716" s="3" t="s">
        <v>107</v>
      </c>
      <c r="D716" t="s">
        <v>206</v>
      </c>
      <c r="E716" t="s">
        <v>130</v>
      </c>
      <c r="F716" t="s">
        <v>131</v>
      </c>
      <c r="G716" t="s">
        <v>132</v>
      </c>
      <c r="H716" t="s">
        <v>142</v>
      </c>
      <c r="I716" t="s">
        <v>143</v>
      </c>
      <c r="J716" t="s">
        <v>144</v>
      </c>
      <c r="K716" t="s">
        <v>145</v>
      </c>
      <c r="L716" t="s">
        <v>1593</v>
      </c>
      <c r="M716" t="s">
        <v>63</v>
      </c>
      <c r="N716" t="s">
        <v>110</v>
      </c>
      <c r="O716" t="s">
        <v>176</v>
      </c>
      <c r="P716" t="s">
        <v>177</v>
      </c>
      <c r="Q716" t="s">
        <v>66</v>
      </c>
      <c r="R716" t="s">
        <v>49</v>
      </c>
      <c r="S716">
        <v>2</v>
      </c>
      <c r="T716" s="14">
        <v>70.98</v>
      </c>
      <c r="U716" s="7">
        <v>12</v>
      </c>
      <c r="V716" s="7">
        <v>22</v>
      </c>
      <c r="W716" s="14">
        <v>104.98</v>
      </c>
      <c r="X716" s="14">
        <v>236.6</v>
      </c>
      <c r="Y716" s="16">
        <v>5</v>
      </c>
      <c r="Z716" s="12">
        <v>449.54</v>
      </c>
      <c r="AA716" s="5">
        <v>239.58</v>
      </c>
      <c r="AB716" s="18">
        <v>53.29</v>
      </c>
      <c r="AC716" t="s">
        <v>85</v>
      </c>
      <c r="AD716" t="s">
        <v>158</v>
      </c>
      <c r="AE716" t="s">
        <v>68</v>
      </c>
      <c r="AF716">
        <v>5</v>
      </c>
      <c r="AG716" t="s">
        <v>53</v>
      </c>
    </row>
    <row r="717" spans="1:33">
      <c r="A717" t="s">
        <v>1594</v>
      </c>
      <c r="B717" s="10">
        <v>45832</v>
      </c>
      <c r="C717" s="3" t="s">
        <v>148</v>
      </c>
      <c r="D717" t="s">
        <v>156</v>
      </c>
      <c r="E717" t="s">
        <v>174</v>
      </c>
      <c r="F717" t="s">
        <v>131</v>
      </c>
      <c r="G717" t="s">
        <v>132</v>
      </c>
      <c r="H717" t="s">
        <v>133</v>
      </c>
      <c r="I717" t="s">
        <v>134</v>
      </c>
      <c r="J717" t="s">
        <v>135</v>
      </c>
      <c r="K717" t="s">
        <v>42</v>
      </c>
      <c r="L717" t="s">
        <v>1595</v>
      </c>
      <c r="M717" t="s">
        <v>80</v>
      </c>
      <c r="N717" t="s">
        <v>81</v>
      </c>
      <c r="O717" t="s">
        <v>162</v>
      </c>
      <c r="P717" t="s">
        <v>163</v>
      </c>
      <c r="Q717" t="s">
        <v>48</v>
      </c>
      <c r="R717" t="s">
        <v>49</v>
      </c>
      <c r="S717">
        <v>1</v>
      </c>
      <c r="T717" s="14">
        <v>104.58</v>
      </c>
      <c r="U717" s="7">
        <v>12</v>
      </c>
      <c r="V717" s="7">
        <v>22</v>
      </c>
      <c r="W717" s="14">
        <v>138.58000000000001</v>
      </c>
      <c r="X717" s="14">
        <v>348.6</v>
      </c>
      <c r="Y717" s="16">
        <v>10</v>
      </c>
      <c r="Z717" s="12">
        <v>313.74</v>
      </c>
      <c r="AA717" s="5">
        <v>175.16</v>
      </c>
      <c r="AB717" s="18">
        <v>55.83</v>
      </c>
      <c r="AC717" t="s">
        <v>50</v>
      </c>
      <c r="AD717" t="s">
        <v>86</v>
      </c>
      <c r="AE717" t="s">
        <v>105</v>
      </c>
      <c r="AF717">
        <v>4</v>
      </c>
      <c r="AG717" t="s">
        <v>53</v>
      </c>
    </row>
    <row r="718" spans="1:33">
      <c r="A718" t="s">
        <v>1596</v>
      </c>
      <c r="B718" s="10">
        <v>45826</v>
      </c>
      <c r="C718" s="3" t="s">
        <v>307</v>
      </c>
      <c r="D718" t="s">
        <v>129</v>
      </c>
      <c r="E718" t="s">
        <v>174</v>
      </c>
      <c r="F718" t="s">
        <v>131</v>
      </c>
      <c r="G718" t="s">
        <v>132</v>
      </c>
      <c r="H718" t="s">
        <v>115</v>
      </c>
      <c r="I718" t="s">
        <v>116</v>
      </c>
      <c r="J718" t="s">
        <v>117</v>
      </c>
      <c r="K718" t="s">
        <v>61</v>
      </c>
      <c r="L718" t="s">
        <v>1597</v>
      </c>
      <c r="M718" t="s">
        <v>80</v>
      </c>
      <c r="N718" t="s">
        <v>110</v>
      </c>
      <c r="O718" t="s">
        <v>189</v>
      </c>
      <c r="P718" t="s">
        <v>190</v>
      </c>
      <c r="Q718" t="s">
        <v>48</v>
      </c>
      <c r="R718" t="s">
        <v>49</v>
      </c>
      <c r="S718">
        <v>3</v>
      </c>
      <c r="T718" s="14">
        <v>66.78</v>
      </c>
      <c r="U718" s="7">
        <v>12</v>
      </c>
      <c r="V718" s="7">
        <v>22</v>
      </c>
      <c r="W718" s="14">
        <v>100.78</v>
      </c>
      <c r="X718" s="14">
        <v>222.6</v>
      </c>
      <c r="Y718" s="16">
        <v>0</v>
      </c>
      <c r="Z718" s="12">
        <v>667.8</v>
      </c>
      <c r="AA718" s="5">
        <v>365.46</v>
      </c>
      <c r="AB718" s="18">
        <v>54.73</v>
      </c>
      <c r="AC718" t="s">
        <v>104</v>
      </c>
      <c r="AD718" t="s">
        <v>51</v>
      </c>
      <c r="AE718" t="s">
        <v>126</v>
      </c>
      <c r="AF718">
        <v>5</v>
      </c>
      <c r="AG718" t="s">
        <v>53</v>
      </c>
    </row>
    <row r="719" spans="1:33">
      <c r="A719" t="s">
        <v>1598</v>
      </c>
      <c r="B719" s="10">
        <v>45950</v>
      </c>
      <c r="C719" s="3" t="s">
        <v>128</v>
      </c>
      <c r="D719" t="s">
        <v>206</v>
      </c>
      <c r="E719" t="s">
        <v>36</v>
      </c>
      <c r="F719" t="s">
        <v>37</v>
      </c>
      <c r="G719" t="s">
        <v>38</v>
      </c>
      <c r="H719" t="s">
        <v>39</v>
      </c>
      <c r="I719" t="s">
        <v>2143</v>
      </c>
      <c r="J719" t="s">
        <v>41</v>
      </c>
      <c r="K719" t="s">
        <v>42</v>
      </c>
      <c r="L719" t="s">
        <v>1599</v>
      </c>
      <c r="M719" t="s">
        <v>63</v>
      </c>
      <c r="N719" t="s">
        <v>45</v>
      </c>
      <c r="O719" t="s">
        <v>94</v>
      </c>
      <c r="P719" t="s">
        <v>95</v>
      </c>
      <c r="Q719" t="s">
        <v>66</v>
      </c>
      <c r="R719" t="s">
        <v>84</v>
      </c>
      <c r="S719">
        <v>2</v>
      </c>
      <c r="T719" s="14">
        <v>78.84</v>
      </c>
      <c r="U719" s="7">
        <v>12</v>
      </c>
      <c r="V719" s="7">
        <v>22</v>
      </c>
      <c r="W719" s="14">
        <v>112.84</v>
      </c>
      <c r="X719" s="14">
        <v>262.8</v>
      </c>
      <c r="Y719" s="16">
        <v>10</v>
      </c>
      <c r="Z719" s="12">
        <v>473.04</v>
      </c>
      <c r="AA719" s="5">
        <v>247.36</v>
      </c>
      <c r="AB719" s="18">
        <v>52.29</v>
      </c>
      <c r="AC719" t="s">
        <v>85</v>
      </c>
      <c r="AD719" t="s">
        <v>51</v>
      </c>
      <c r="AE719" t="s">
        <v>105</v>
      </c>
      <c r="AF719">
        <v>4</v>
      </c>
      <c r="AG719" t="s">
        <v>53</v>
      </c>
    </row>
    <row r="720" spans="1:33">
      <c r="A720" t="s">
        <v>1600</v>
      </c>
      <c r="B720" s="10">
        <v>45691</v>
      </c>
      <c r="C720" s="3" t="s">
        <v>194</v>
      </c>
      <c r="D720" t="s">
        <v>206</v>
      </c>
      <c r="E720" t="s">
        <v>90</v>
      </c>
      <c r="F720" t="s">
        <v>91</v>
      </c>
      <c r="G720" t="s">
        <v>92</v>
      </c>
      <c r="H720" t="s">
        <v>133</v>
      </c>
      <c r="I720" t="s">
        <v>134</v>
      </c>
      <c r="J720" t="s">
        <v>135</v>
      </c>
      <c r="K720" t="s">
        <v>42</v>
      </c>
      <c r="L720" t="s">
        <v>1601</v>
      </c>
      <c r="M720" t="s">
        <v>44</v>
      </c>
      <c r="N720" t="s">
        <v>45</v>
      </c>
      <c r="O720" t="s">
        <v>94</v>
      </c>
      <c r="P720" t="s">
        <v>95</v>
      </c>
      <c r="Q720" t="s">
        <v>66</v>
      </c>
      <c r="R720" t="s">
        <v>49</v>
      </c>
      <c r="S720">
        <v>1</v>
      </c>
      <c r="T720" s="14">
        <v>91.98</v>
      </c>
      <c r="U720" s="7">
        <v>12</v>
      </c>
      <c r="V720" s="7">
        <v>22</v>
      </c>
      <c r="W720" s="14">
        <v>125.98</v>
      </c>
      <c r="X720" s="14">
        <v>306.60000000000002</v>
      </c>
      <c r="Y720" s="16">
        <v>0</v>
      </c>
      <c r="Z720" s="12">
        <v>306.60000000000002</v>
      </c>
      <c r="AA720" s="5">
        <v>180.62</v>
      </c>
      <c r="AB720" s="18">
        <v>58.91</v>
      </c>
      <c r="AC720" t="s">
        <v>111</v>
      </c>
      <c r="AD720" t="s">
        <v>158</v>
      </c>
      <c r="AE720" t="s">
        <v>52</v>
      </c>
      <c r="AF720" t="s">
        <v>2124</v>
      </c>
      <c r="AG720" t="s">
        <v>53</v>
      </c>
    </row>
    <row r="721" spans="1:33">
      <c r="A721" t="s">
        <v>1602</v>
      </c>
      <c r="B721" s="10">
        <v>45881</v>
      </c>
      <c r="C721" s="3" t="s">
        <v>128</v>
      </c>
      <c r="D721" t="s">
        <v>156</v>
      </c>
      <c r="E721" t="s">
        <v>99</v>
      </c>
      <c r="F721" t="s">
        <v>73</v>
      </c>
      <c r="G721" t="s">
        <v>74</v>
      </c>
      <c r="H721" t="s">
        <v>58</v>
      </c>
      <c r="I721" t="s">
        <v>59</v>
      </c>
      <c r="J721" t="s">
        <v>60</v>
      </c>
      <c r="K721" t="s">
        <v>61</v>
      </c>
      <c r="L721" t="s">
        <v>1603</v>
      </c>
      <c r="M721" t="s">
        <v>63</v>
      </c>
      <c r="N721" t="s">
        <v>81</v>
      </c>
      <c r="O721" t="s">
        <v>94</v>
      </c>
      <c r="P721" t="s">
        <v>95</v>
      </c>
      <c r="Q721" t="s">
        <v>66</v>
      </c>
      <c r="R721" t="s">
        <v>49</v>
      </c>
      <c r="S721">
        <v>1</v>
      </c>
      <c r="T721" s="14">
        <v>91.98</v>
      </c>
      <c r="U721" s="7">
        <v>12</v>
      </c>
      <c r="V721" s="7">
        <v>22</v>
      </c>
      <c r="W721" s="14">
        <v>125.98</v>
      </c>
      <c r="X721" s="14">
        <v>306.60000000000002</v>
      </c>
      <c r="Y721" s="16">
        <v>5</v>
      </c>
      <c r="Z721" s="12">
        <v>291.27</v>
      </c>
      <c r="AA721" s="5">
        <v>165.29</v>
      </c>
      <c r="AB721" s="18">
        <v>56.75</v>
      </c>
      <c r="AC721" t="s">
        <v>104</v>
      </c>
      <c r="AD721" t="s">
        <v>158</v>
      </c>
      <c r="AE721" t="s">
        <v>96</v>
      </c>
      <c r="AF721">
        <v>5</v>
      </c>
      <c r="AG721" t="s">
        <v>53</v>
      </c>
    </row>
    <row r="722" spans="1:33">
      <c r="A722" t="s">
        <v>1604</v>
      </c>
      <c r="B722" s="10">
        <v>45810</v>
      </c>
      <c r="C722" s="3" t="s">
        <v>107</v>
      </c>
      <c r="D722" t="s">
        <v>206</v>
      </c>
      <c r="E722" t="s">
        <v>174</v>
      </c>
      <c r="F722" t="s">
        <v>131</v>
      </c>
      <c r="G722" t="s">
        <v>132</v>
      </c>
      <c r="H722" t="s">
        <v>115</v>
      </c>
      <c r="I722" t="s">
        <v>116</v>
      </c>
      <c r="J722" t="s">
        <v>117</v>
      </c>
      <c r="K722" t="s">
        <v>61</v>
      </c>
      <c r="L722" t="s">
        <v>1605</v>
      </c>
      <c r="M722" t="s">
        <v>63</v>
      </c>
      <c r="N722" t="s">
        <v>110</v>
      </c>
      <c r="O722" t="s">
        <v>168</v>
      </c>
      <c r="P722" t="s">
        <v>169</v>
      </c>
      <c r="Q722" t="s">
        <v>139</v>
      </c>
      <c r="R722" t="s">
        <v>84</v>
      </c>
      <c r="S722">
        <v>3</v>
      </c>
      <c r="T722" s="14">
        <v>57.24</v>
      </c>
      <c r="U722" s="7">
        <v>12</v>
      </c>
      <c r="V722" s="7">
        <v>22</v>
      </c>
      <c r="W722" s="14">
        <v>91.240000000000009</v>
      </c>
      <c r="X722" s="14">
        <v>190.8</v>
      </c>
      <c r="Y722" s="16">
        <v>5</v>
      </c>
      <c r="Z722" s="12">
        <v>543.78</v>
      </c>
      <c r="AA722" s="5">
        <v>270.06</v>
      </c>
      <c r="AB722" s="18">
        <v>49.66</v>
      </c>
      <c r="AC722" t="s">
        <v>50</v>
      </c>
      <c r="AD722" t="s">
        <v>51</v>
      </c>
      <c r="AE722" t="s">
        <v>96</v>
      </c>
      <c r="AF722">
        <v>3</v>
      </c>
      <c r="AG722" t="s">
        <v>53</v>
      </c>
    </row>
    <row r="723" spans="1:33">
      <c r="A723" t="s">
        <v>1606</v>
      </c>
      <c r="B723" s="10">
        <v>45865</v>
      </c>
      <c r="C723" s="3" t="s">
        <v>390</v>
      </c>
      <c r="D723" t="s">
        <v>89</v>
      </c>
      <c r="E723" t="s">
        <v>114</v>
      </c>
      <c r="F723" t="s">
        <v>73</v>
      </c>
      <c r="G723" t="s">
        <v>74</v>
      </c>
      <c r="H723" t="s">
        <v>133</v>
      </c>
      <c r="I723" t="s">
        <v>134</v>
      </c>
      <c r="J723" t="s">
        <v>135</v>
      </c>
      <c r="K723" t="s">
        <v>42</v>
      </c>
      <c r="L723" t="s">
        <v>1607</v>
      </c>
      <c r="M723" t="s">
        <v>44</v>
      </c>
      <c r="N723" t="s">
        <v>81</v>
      </c>
      <c r="O723" t="s">
        <v>189</v>
      </c>
      <c r="P723" t="s">
        <v>190</v>
      </c>
      <c r="Q723" t="s">
        <v>48</v>
      </c>
      <c r="R723" t="s">
        <v>49</v>
      </c>
      <c r="S723">
        <v>2</v>
      </c>
      <c r="T723" s="14">
        <v>66.78</v>
      </c>
      <c r="U723" s="7">
        <v>12</v>
      </c>
      <c r="V723" s="7">
        <v>22</v>
      </c>
      <c r="W723" s="14">
        <v>100.78</v>
      </c>
      <c r="X723" s="14">
        <v>222.6</v>
      </c>
      <c r="Y723" s="16">
        <v>10</v>
      </c>
      <c r="Z723" s="12">
        <v>400.68</v>
      </c>
      <c r="AA723" s="5">
        <v>199.12</v>
      </c>
      <c r="AB723" s="18">
        <v>49.7</v>
      </c>
      <c r="AC723" t="s">
        <v>104</v>
      </c>
      <c r="AD723" t="s">
        <v>51</v>
      </c>
      <c r="AE723" t="s">
        <v>52</v>
      </c>
      <c r="AF723">
        <v>5</v>
      </c>
      <c r="AG723" t="s">
        <v>53</v>
      </c>
    </row>
    <row r="724" spans="1:33">
      <c r="A724" t="s">
        <v>1608</v>
      </c>
      <c r="B724" s="10">
        <v>45728</v>
      </c>
      <c r="C724" s="3" t="s">
        <v>155</v>
      </c>
      <c r="D724" t="s">
        <v>129</v>
      </c>
      <c r="E724" t="s">
        <v>108</v>
      </c>
      <c r="F724" t="s">
        <v>91</v>
      </c>
      <c r="G724" t="s">
        <v>38</v>
      </c>
      <c r="H724" t="s">
        <v>142</v>
      </c>
      <c r="I724" t="s">
        <v>143</v>
      </c>
      <c r="J724" t="s">
        <v>144</v>
      </c>
      <c r="K724" t="s">
        <v>145</v>
      </c>
      <c r="L724" t="s">
        <v>1609</v>
      </c>
      <c r="M724" t="s">
        <v>63</v>
      </c>
      <c r="N724" t="s">
        <v>45</v>
      </c>
      <c r="O724" t="s">
        <v>94</v>
      </c>
      <c r="P724" t="s">
        <v>95</v>
      </c>
      <c r="Q724" t="s">
        <v>66</v>
      </c>
      <c r="R724" t="s">
        <v>84</v>
      </c>
      <c r="S724">
        <v>2</v>
      </c>
      <c r="T724" s="14">
        <v>78.84</v>
      </c>
      <c r="U724" s="7">
        <v>12</v>
      </c>
      <c r="V724" s="7">
        <v>22</v>
      </c>
      <c r="W724" s="14">
        <v>112.84</v>
      </c>
      <c r="X724" s="14">
        <v>262.8</v>
      </c>
      <c r="Y724" s="16">
        <v>0</v>
      </c>
      <c r="Z724" s="12">
        <v>525.6</v>
      </c>
      <c r="AA724" s="5">
        <v>299.92</v>
      </c>
      <c r="AB724" s="18">
        <v>57.06</v>
      </c>
      <c r="AC724" t="s">
        <v>50</v>
      </c>
      <c r="AD724" t="s">
        <v>86</v>
      </c>
      <c r="AE724" t="s">
        <v>96</v>
      </c>
      <c r="AF724">
        <v>3</v>
      </c>
      <c r="AG724" t="s">
        <v>53</v>
      </c>
    </row>
    <row r="725" spans="1:33">
      <c r="A725" t="s">
        <v>1610</v>
      </c>
      <c r="B725" s="10">
        <v>45969</v>
      </c>
      <c r="C725" s="3" t="s">
        <v>171</v>
      </c>
      <c r="D725" t="s">
        <v>71</v>
      </c>
      <c r="E725" t="s">
        <v>57</v>
      </c>
      <c r="F725" t="s">
        <v>37</v>
      </c>
      <c r="G725" t="s">
        <v>38</v>
      </c>
      <c r="H725" t="s">
        <v>39</v>
      </c>
      <c r="I725" t="s">
        <v>2143</v>
      </c>
      <c r="J725" t="s">
        <v>41</v>
      </c>
      <c r="K725" t="s">
        <v>42</v>
      </c>
      <c r="L725" t="s">
        <v>1611</v>
      </c>
      <c r="M725" t="s">
        <v>44</v>
      </c>
      <c r="N725" t="s">
        <v>81</v>
      </c>
      <c r="O725" t="s">
        <v>101</v>
      </c>
      <c r="P725" t="s">
        <v>102</v>
      </c>
      <c r="Q725" t="s">
        <v>103</v>
      </c>
      <c r="R725" t="s">
        <v>84</v>
      </c>
      <c r="S725">
        <v>2</v>
      </c>
      <c r="T725" s="14">
        <v>53.64</v>
      </c>
      <c r="U725" s="7">
        <v>12</v>
      </c>
      <c r="V725" s="7">
        <v>22</v>
      </c>
      <c r="W725" s="14">
        <v>87.64</v>
      </c>
      <c r="X725" s="14">
        <v>178.8</v>
      </c>
      <c r="Y725" s="16">
        <v>10</v>
      </c>
      <c r="Z725" s="12">
        <v>321.83999999999997</v>
      </c>
      <c r="AA725" s="5">
        <v>146.56</v>
      </c>
      <c r="AB725" s="18">
        <v>45.54</v>
      </c>
      <c r="AC725" t="s">
        <v>104</v>
      </c>
      <c r="AD725" t="s">
        <v>86</v>
      </c>
      <c r="AE725" t="s">
        <v>96</v>
      </c>
      <c r="AF725">
        <v>5</v>
      </c>
      <c r="AG725" t="s">
        <v>53</v>
      </c>
    </row>
    <row r="726" spans="1:33">
      <c r="A726" t="s">
        <v>1612</v>
      </c>
      <c r="B726" s="10">
        <v>45850</v>
      </c>
      <c r="C726" s="3" t="s">
        <v>70</v>
      </c>
      <c r="D726" t="s">
        <v>71</v>
      </c>
      <c r="E726" t="s">
        <v>114</v>
      </c>
      <c r="F726" t="s">
        <v>73</v>
      </c>
      <c r="G726" t="s">
        <v>74</v>
      </c>
      <c r="H726" t="s">
        <v>39</v>
      </c>
      <c r="I726" t="s">
        <v>2143</v>
      </c>
      <c r="J726" t="s">
        <v>41</v>
      </c>
      <c r="K726" t="s">
        <v>42</v>
      </c>
      <c r="L726" t="s">
        <v>1613</v>
      </c>
      <c r="M726" t="s">
        <v>63</v>
      </c>
      <c r="N726" t="s">
        <v>81</v>
      </c>
      <c r="O726" t="s">
        <v>119</v>
      </c>
      <c r="P726" t="s">
        <v>120</v>
      </c>
      <c r="Q726" t="s">
        <v>103</v>
      </c>
      <c r="R726" t="s">
        <v>84</v>
      </c>
      <c r="S726">
        <v>3</v>
      </c>
      <c r="T726" s="14">
        <v>46.44</v>
      </c>
      <c r="U726" s="7">
        <v>12</v>
      </c>
      <c r="V726" s="7">
        <v>22</v>
      </c>
      <c r="W726" s="14">
        <v>80.44</v>
      </c>
      <c r="X726" s="14">
        <v>154.80000000000001</v>
      </c>
      <c r="Y726" s="16">
        <v>15</v>
      </c>
      <c r="Z726" s="12">
        <v>394.74</v>
      </c>
      <c r="AA726" s="5">
        <v>153.41999999999999</v>
      </c>
      <c r="AB726" s="18">
        <v>38.869999999999997</v>
      </c>
      <c r="AC726" t="s">
        <v>104</v>
      </c>
      <c r="AD726" t="s">
        <v>86</v>
      </c>
      <c r="AE726" t="s">
        <v>68</v>
      </c>
      <c r="AF726">
        <v>5</v>
      </c>
      <c r="AG726" t="s">
        <v>53</v>
      </c>
    </row>
    <row r="727" spans="1:33">
      <c r="A727" t="s">
        <v>1614</v>
      </c>
      <c r="B727" s="10">
        <v>46019</v>
      </c>
      <c r="C727" s="3" t="s">
        <v>219</v>
      </c>
      <c r="D727" t="s">
        <v>89</v>
      </c>
      <c r="E727" t="s">
        <v>149</v>
      </c>
      <c r="F727" t="s">
        <v>37</v>
      </c>
      <c r="G727" t="s">
        <v>92</v>
      </c>
      <c r="H727" t="s">
        <v>75</v>
      </c>
      <c r="I727" t="s">
        <v>76</v>
      </c>
      <c r="J727" t="s">
        <v>77</v>
      </c>
      <c r="K727" t="s">
        <v>78</v>
      </c>
      <c r="L727" t="s">
        <v>1615</v>
      </c>
      <c r="M727" t="s">
        <v>63</v>
      </c>
      <c r="N727" t="s">
        <v>45</v>
      </c>
      <c r="O727" t="s">
        <v>64</v>
      </c>
      <c r="P727" t="s">
        <v>65</v>
      </c>
      <c r="Q727" t="s">
        <v>66</v>
      </c>
      <c r="R727" t="s">
        <v>67</v>
      </c>
      <c r="S727">
        <v>3</v>
      </c>
      <c r="T727" s="14">
        <v>44.7</v>
      </c>
      <c r="U727" s="7">
        <v>12</v>
      </c>
      <c r="V727" s="7">
        <v>22</v>
      </c>
      <c r="W727" s="14">
        <v>78.7</v>
      </c>
      <c r="X727" s="14">
        <v>149</v>
      </c>
      <c r="Y727" s="16">
        <v>15</v>
      </c>
      <c r="Z727" s="12">
        <v>379.95</v>
      </c>
      <c r="AA727" s="5">
        <v>143.85</v>
      </c>
      <c r="AB727" s="18">
        <v>37.86</v>
      </c>
      <c r="AC727" t="s">
        <v>104</v>
      </c>
      <c r="AD727" t="s">
        <v>51</v>
      </c>
      <c r="AE727" t="s">
        <v>105</v>
      </c>
      <c r="AF727">
        <v>4</v>
      </c>
      <c r="AG727" t="s">
        <v>53</v>
      </c>
    </row>
    <row r="728" spans="1:33">
      <c r="A728" t="s">
        <v>1616</v>
      </c>
      <c r="B728" s="10">
        <v>45706</v>
      </c>
      <c r="C728" s="3" t="s">
        <v>211</v>
      </c>
      <c r="D728" t="s">
        <v>156</v>
      </c>
      <c r="E728" t="s">
        <v>90</v>
      </c>
      <c r="F728" t="s">
        <v>91</v>
      </c>
      <c r="G728" t="s">
        <v>92</v>
      </c>
      <c r="H728" t="s">
        <v>133</v>
      </c>
      <c r="I728" t="s">
        <v>134</v>
      </c>
      <c r="J728" t="s">
        <v>135</v>
      </c>
      <c r="K728" t="s">
        <v>42</v>
      </c>
      <c r="L728" t="s">
        <v>1617</v>
      </c>
      <c r="M728" t="s">
        <v>44</v>
      </c>
      <c r="N728" t="s">
        <v>45</v>
      </c>
      <c r="O728" t="s">
        <v>82</v>
      </c>
      <c r="P728" t="s">
        <v>83</v>
      </c>
      <c r="Q728" t="s">
        <v>66</v>
      </c>
      <c r="R728" t="s">
        <v>67</v>
      </c>
      <c r="S728">
        <v>3</v>
      </c>
      <c r="T728" s="14">
        <v>71.7</v>
      </c>
      <c r="U728" s="7">
        <v>12</v>
      </c>
      <c r="V728" s="7">
        <v>22</v>
      </c>
      <c r="W728" s="14">
        <v>105.7</v>
      </c>
      <c r="X728" s="14">
        <v>239</v>
      </c>
      <c r="Y728" s="16">
        <v>0</v>
      </c>
      <c r="Z728" s="12">
        <v>717</v>
      </c>
      <c r="AA728" s="5">
        <v>399.9</v>
      </c>
      <c r="AB728" s="18">
        <v>55.77</v>
      </c>
      <c r="AC728" t="s">
        <v>85</v>
      </c>
      <c r="AD728" t="s">
        <v>51</v>
      </c>
      <c r="AE728" t="s">
        <v>52</v>
      </c>
      <c r="AF728">
        <v>5</v>
      </c>
      <c r="AG728" t="s">
        <v>53</v>
      </c>
    </row>
    <row r="729" spans="1:33">
      <c r="A729" t="s">
        <v>1618</v>
      </c>
      <c r="B729" s="10">
        <v>45828</v>
      </c>
      <c r="C729" s="3" t="s">
        <v>182</v>
      </c>
      <c r="D729" t="s">
        <v>35</v>
      </c>
      <c r="E729" t="s">
        <v>174</v>
      </c>
      <c r="F729" t="s">
        <v>131</v>
      </c>
      <c r="G729" t="s">
        <v>132</v>
      </c>
      <c r="H729" t="s">
        <v>115</v>
      </c>
      <c r="I729" t="s">
        <v>116</v>
      </c>
      <c r="J729" t="s">
        <v>117</v>
      </c>
      <c r="K729" t="s">
        <v>61</v>
      </c>
      <c r="L729" t="s">
        <v>1619</v>
      </c>
      <c r="M729" t="s">
        <v>80</v>
      </c>
      <c r="N729" t="s">
        <v>45</v>
      </c>
      <c r="O729" t="s">
        <v>176</v>
      </c>
      <c r="P729" t="s">
        <v>177</v>
      </c>
      <c r="Q729" t="s">
        <v>66</v>
      </c>
      <c r="R729" t="s">
        <v>49</v>
      </c>
      <c r="S729">
        <v>2</v>
      </c>
      <c r="T729" s="14">
        <v>70.98</v>
      </c>
      <c r="U729" s="7">
        <v>12</v>
      </c>
      <c r="V729" s="7">
        <v>22</v>
      </c>
      <c r="W729" s="14">
        <v>104.98</v>
      </c>
      <c r="X729" s="14">
        <v>236.6</v>
      </c>
      <c r="Y729" s="16">
        <v>10</v>
      </c>
      <c r="Z729" s="12">
        <v>425.88</v>
      </c>
      <c r="AA729" s="5">
        <v>215.92</v>
      </c>
      <c r="AB729" s="18">
        <v>50.7</v>
      </c>
      <c r="AC729" t="s">
        <v>104</v>
      </c>
      <c r="AD729" t="s">
        <v>158</v>
      </c>
      <c r="AE729" t="s">
        <v>96</v>
      </c>
      <c r="AF729">
        <v>4</v>
      </c>
      <c r="AG729" t="s">
        <v>53</v>
      </c>
    </row>
    <row r="730" spans="1:33">
      <c r="A730" t="s">
        <v>1620</v>
      </c>
      <c r="B730" s="10">
        <v>45897</v>
      </c>
      <c r="C730" s="3" t="s">
        <v>128</v>
      </c>
      <c r="D730" t="s">
        <v>56</v>
      </c>
      <c r="E730" t="s">
        <v>99</v>
      </c>
      <c r="F730" t="s">
        <v>73</v>
      </c>
      <c r="G730" t="s">
        <v>74</v>
      </c>
      <c r="H730" t="s">
        <v>115</v>
      </c>
      <c r="I730" t="s">
        <v>116</v>
      </c>
      <c r="J730" t="s">
        <v>117</v>
      </c>
      <c r="K730" t="s">
        <v>61</v>
      </c>
      <c r="L730" t="s">
        <v>1621</v>
      </c>
      <c r="M730" t="s">
        <v>63</v>
      </c>
      <c r="N730" t="s">
        <v>45</v>
      </c>
      <c r="O730" t="s">
        <v>101</v>
      </c>
      <c r="P730" t="s">
        <v>102</v>
      </c>
      <c r="Q730" t="s">
        <v>103</v>
      </c>
      <c r="R730" t="s">
        <v>49</v>
      </c>
      <c r="S730">
        <v>3</v>
      </c>
      <c r="T730" s="14">
        <v>62.58</v>
      </c>
      <c r="U730" s="7">
        <v>12</v>
      </c>
      <c r="V730" s="7">
        <v>22</v>
      </c>
      <c r="W730" s="14">
        <v>96.58</v>
      </c>
      <c r="X730" s="14">
        <v>208.6</v>
      </c>
      <c r="Y730" s="16">
        <v>0</v>
      </c>
      <c r="Z730" s="12">
        <v>625.79999999999995</v>
      </c>
      <c r="AA730" s="5">
        <v>336.06</v>
      </c>
      <c r="AB730" s="18">
        <v>53.7</v>
      </c>
      <c r="AC730" t="s">
        <v>104</v>
      </c>
      <c r="AD730" t="s">
        <v>158</v>
      </c>
      <c r="AE730" t="s">
        <v>96</v>
      </c>
      <c r="AF730">
        <v>5</v>
      </c>
      <c r="AG730" t="s">
        <v>53</v>
      </c>
    </row>
    <row r="731" spans="1:33">
      <c r="A731" t="s">
        <v>1622</v>
      </c>
      <c r="B731" s="10">
        <v>45964</v>
      </c>
      <c r="C731" s="3" t="s">
        <v>219</v>
      </c>
      <c r="D731" t="s">
        <v>206</v>
      </c>
      <c r="E731" t="s">
        <v>57</v>
      </c>
      <c r="F731" t="s">
        <v>37</v>
      </c>
      <c r="G731" t="s">
        <v>38</v>
      </c>
      <c r="H731" t="s">
        <v>115</v>
      </c>
      <c r="I731" t="s">
        <v>116</v>
      </c>
      <c r="J731" t="s">
        <v>117</v>
      </c>
      <c r="K731" t="s">
        <v>61</v>
      </c>
      <c r="L731" t="s">
        <v>1623</v>
      </c>
      <c r="M731" t="s">
        <v>80</v>
      </c>
      <c r="N731" t="s">
        <v>110</v>
      </c>
      <c r="O731" t="s">
        <v>94</v>
      </c>
      <c r="P731" t="s">
        <v>95</v>
      </c>
      <c r="Q731" t="s">
        <v>66</v>
      </c>
      <c r="R731" t="s">
        <v>67</v>
      </c>
      <c r="S731">
        <v>1</v>
      </c>
      <c r="T731" s="14">
        <v>65.7</v>
      </c>
      <c r="U731" s="7">
        <v>12</v>
      </c>
      <c r="V731" s="7">
        <v>22</v>
      </c>
      <c r="W731" s="14">
        <v>99.7</v>
      </c>
      <c r="X731" s="14">
        <v>219</v>
      </c>
      <c r="Y731" s="16">
        <v>0</v>
      </c>
      <c r="Z731" s="12">
        <v>219</v>
      </c>
      <c r="AA731" s="5">
        <v>119.3</v>
      </c>
      <c r="AB731" s="18">
        <v>54.47</v>
      </c>
      <c r="AC731" t="s">
        <v>50</v>
      </c>
      <c r="AD731" t="s">
        <v>51</v>
      </c>
      <c r="AE731" t="s">
        <v>68</v>
      </c>
      <c r="AF731">
        <v>5</v>
      </c>
      <c r="AG731" t="s">
        <v>53</v>
      </c>
    </row>
    <row r="732" spans="1:33">
      <c r="A732" t="s">
        <v>1624</v>
      </c>
      <c r="B732" s="10">
        <v>45734</v>
      </c>
      <c r="C732" s="3" t="s">
        <v>171</v>
      </c>
      <c r="D732" t="s">
        <v>156</v>
      </c>
      <c r="E732" t="s">
        <v>108</v>
      </c>
      <c r="F732" t="s">
        <v>91</v>
      </c>
      <c r="G732" t="s">
        <v>38</v>
      </c>
      <c r="H732" t="s">
        <v>75</v>
      </c>
      <c r="I732" t="s">
        <v>76</v>
      </c>
      <c r="J732" t="s">
        <v>77</v>
      </c>
      <c r="K732" t="s">
        <v>78</v>
      </c>
      <c r="L732" t="s">
        <v>1625</v>
      </c>
      <c r="M732" t="s">
        <v>80</v>
      </c>
      <c r="N732" t="s">
        <v>45</v>
      </c>
      <c r="O732" t="s">
        <v>82</v>
      </c>
      <c r="P732" t="s">
        <v>83</v>
      </c>
      <c r="Q732" t="s">
        <v>66</v>
      </c>
      <c r="R732" t="s">
        <v>84</v>
      </c>
      <c r="S732">
        <v>1</v>
      </c>
      <c r="T732" s="14">
        <v>86.04</v>
      </c>
      <c r="U732" s="7">
        <v>12</v>
      </c>
      <c r="V732" s="7">
        <v>22</v>
      </c>
      <c r="W732" s="14">
        <v>120.04</v>
      </c>
      <c r="X732" s="14">
        <v>286.8</v>
      </c>
      <c r="Y732" s="16">
        <v>0</v>
      </c>
      <c r="Z732" s="12">
        <v>286.8</v>
      </c>
      <c r="AA732" s="5">
        <v>166.76</v>
      </c>
      <c r="AB732" s="18">
        <v>58.15</v>
      </c>
      <c r="AC732" t="s">
        <v>50</v>
      </c>
      <c r="AD732" t="s">
        <v>86</v>
      </c>
      <c r="AE732" t="s">
        <v>96</v>
      </c>
      <c r="AF732">
        <v>5</v>
      </c>
      <c r="AG732" t="s">
        <v>53</v>
      </c>
    </row>
    <row r="733" spans="1:33">
      <c r="A733" t="s">
        <v>1626</v>
      </c>
      <c r="B733" s="10">
        <v>45802</v>
      </c>
      <c r="C733" s="3" t="s">
        <v>107</v>
      </c>
      <c r="D733" t="s">
        <v>89</v>
      </c>
      <c r="E733" t="s">
        <v>130</v>
      </c>
      <c r="F733" t="s">
        <v>131</v>
      </c>
      <c r="G733" t="s">
        <v>132</v>
      </c>
      <c r="H733" t="s">
        <v>142</v>
      </c>
      <c r="I733" t="s">
        <v>143</v>
      </c>
      <c r="J733" t="s">
        <v>144</v>
      </c>
      <c r="K733" t="s">
        <v>145</v>
      </c>
      <c r="L733" t="s">
        <v>1627</v>
      </c>
      <c r="M733" t="s">
        <v>80</v>
      </c>
      <c r="N733" t="s">
        <v>110</v>
      </c>
      <c r="O733" t="s">
        <v>137</v>
      </c>
      <c r="P733" t="s">
        <v>138</v>
      </c>
      <c r="Q733" t="s">
        <v>139</v>
      </c>
      <c r="R733" t="s">
        <v>84</v>
      </c>
      <c r="S733">
        <v>3</v>
      </c>
      <c r="T733" s="14">
        <v>71.64</v>
      </c>
      <c r="U733" s="7">
        <v>12</v>
      </c>
      <c r="V733" s="7">
        <v>22</v>
      </c>
      <c r="W733" s="14">
        <v>105.64</v>
      </c>
      <c r="X733" s="14">
        <v>238.8</v>
      </c>
      <c r="Y733" s="16">
        <v>10</v>
      </c>
      <c r="Z733" s="12">
        <v>644.76</v>
      </c>
      <c r="AA733" s="5">
        <v>327.84</v>
      </c>
      <c r="AB733" s="18">
        <v>50.85</v>
      </c>
      <c r="AC733" t="s">
        <v>111</v>
      </c>
      <c r="AD733" t="s">
        <v>51</v>
      </c>
      <c r="AE733" t="s">
        <v>126</v>
      </c>
      <c r="AF733">
        <v>5</v>
      </c>
      <c r="AG733" t="s">
        <v>53</v>
      </c>
    </row>
    <row r="734" spans="1:33">
      <c r="A734" t="s">
        <v>1628</v>
      </c>
      <c r="B734" s="10">
        <v>45745</v>
      </c>
      <c r="C734" s="3" t="s">
        <v>55</v>
      </c>
      <c r="D734" t="s">
        <v>71</v>
      </c>
      <c r="E734" t="s">
        <v>108</v>
      </c>
      <c r="F734" t="s">
        <v>91</v>
      </c>
      <c r="G734" t="s">
        <v>38</v>
      </c>
      <c r="H734" t="s">
        <v>39</v>
      </c>
      <c r="I734" t="s">
        <v>2143</v>
      </c>
      <c r="J734" t="s">
        <v>41</v>
      </c>
      <c r="K734" t="s">
        <v>42</v>
      </c>
      <c r="L734" t="s">
        <v>1629</v>
      </c>
      <c r="M734" t="s">
        <v>44</v>
      </c>
      <c r="N734" t="s">
        <v>110</v>
      </c>
      <c r="O734" t="s">
        <v>452</v>
      </c>
      <c r="P734" t="s">
        <v>453</v>
      </c>
      <c r="Q734" t="s">
        <v>215</v>
      </c>
      <c r="R734" t="s">
        <v>67</v>
      </c>
      <c r="S734">
        <v>3</v>
      </c>
      <c r="T734" s="14">
        <v>98.7</v>
      </c>
      <c r="U734" s="7">
        <v>12</v>
      </c>
      <c r="V734" s="7">
        <v>22</v>
      </c>
      <c r="W734" s="14">
        <v>132.69999999999999</v>
      </c>
      <c r="X734" s="14">
        <v>329</v>
      </c>
      <c r="Y734" s="16">
        <v>15</v>
      </c>
      <c r="Z734" s="12">
        <v>838.95</v>
      </c>
      <c r="AA734" s="5">
        <v>440.85</v>
      </c>
      <c r="AB734" s="18">
        <v>52.55</v>
      </c>
      <c r="AC734" t="s">
        <v>111</v>
      </c>
      <c r="AD734" t="s">
        <v>51</v>
      </c>
      <c r="AE734" t="s">
        <v>126</v>
      </c>
      <c r="AF734">
        <v>4</v>
      </c>
      <c r="AG734" t="s">
        <v>53</v>
      </c>
    </row>
    <row r="735" spans="1:33">
      <c r="A735" t="s">
        <v>1630</v>
      </c>
      <c r="B735" s="10">
        <v>45990</v>
      </c>
      <c r="C735" s="3" t="s">
        <v>70</v>
      </c>
      <c r="D735" t="s">
        <v>71</v>
      </c>
      <c r="E735" t="s">
        <v>57</v>
      </c>
      <c r="F735" t="s">
        <v>37</v>
      </c>
      <c r="G735" t="s">
        <v>38</v>
      </c>
      <c r="H735" t="s">
        <v>115</v>
      </c>
      <c r="I735" t="s">
        <v>116</v>
      </c>
      <c r="J735" t="s">
        <v>117</v>
      </c>
      <c r="K735" t="s">
        <v>61</v>
      </c>
      <c r="L735" t="s">
        <v>1631</v>
      </c>
      <c r="M735" t="s">
        <v>80</v>
      </c>
      <c r="N735" t="s">
        <v>81</v>
      </c>
      <c r="O735" t="s">
        <v>94</v>
      </c>
      <c r="P735" t="s">
        <v>95</v>
      </c>
      <c r="Q735" t="s">
        <v>66</v>
      </c>
      <c r="R735" t="s">
        <v>49</v>
      </c>
      <c r="S735">
        <v>2</v>
      </c>
      <c r="T735" s="14">
        <v>91.98</v>
      </c>
      <c r="U735" s="7">
        <v>12</v>
      </c>
      <c r="V735" s="7">
        <v>22</v>
      </c>
      <c r="W735" s="14">
        <v>125.98</v>
      </c>
      <c r="X735" s="14">
        <v>306.60000000000002</v>
      </c>
      <c r="Y735" s="16">
        <v>10</v>
      </c>
      <c r="Z735" s="12">
        <v>551.88</v>
      </c>
      <c r="AA735" s="5">
        <v>299.92</v>
      </c>
      <c r="AB735" s="18">
        <v>54.35</v>
      </c>
      <c r="AC735" t="s">
        <v>85</v>
      </c>
      <c r="AD735" t="s">
        <v>51</v>
      </c>
      <c r="AE735" t="s">
        <v>96</v>
      </c>
      <c r="AF735">
        <v>5</v>
      </c>
      <c r="AG735" t="s">
        <v>53</v>
      </c>
    </row>
    <row r="736" spans="1:33">
      <c r="A736" t="s">
        <v>1632</v>
      </c>
      <c r="B736" s="10">
        <v>45949</v>
      </c>
      <c r="C736" s="3" t="s">
        <v>182</v>
      </c>
      <c r="D736" t="s">
        <v>89</v>
      </c>
      <c r="E736" t="s">
        <v>36</v>
      </c>
      <c r="F736" t="s">
        <v>37</v>
      </c>
      <c r="G736" t="s">
        <v>38</v>
      </c>
      <c r="H736" t="s">
        <v>75</v>
      </c>
      <c r="I736" t="s">
        <v>76</v>
      </c>
      <c r="J736" t="s">
        <v>77</v>
      </c>
      <c r="K736" t="s">
        <v>78</v>
      </c>
      <c r="L736" t="s">
        <v>1633</v>
      </c>
      <c r="M736" t="s">
        <v>63</v>
      </c>
      <c r="N736" t="s">
        <v>110</v>
      </c>
      <c r="O736" t="s">
        <v>213</v>
      </c>
      <c r="P736" t="s">
        <v>214</v>
      </c>
      <c r="Q736" t="s">
        <v>215</v>
      </c>
      <c r="R736" t="s">
        <v>49</v>
      </c>
      <c r="S736">
        <v>1</v>
      </c>
      <c r="T736" s="14">
        <v>125.58</v>
      </c>
      <c r="U736" s="7">
        <v>12</v>
      </c>
      <c r="V736" s="7">
        <v>22</v>
      </c>
      <c r="W736" s="14">
        <v>159.58000000000001</v>
      </c>
      <c r="X736" s="14">
        <v>418.6</v>
      </c>
      <c r="Y736" s="16">
        <v>15</v>
      </c>
      <c r="Z736" s="12">
        <v>355.81</v>
      </c>
      <c r="AA736" s="5">
        <v>196.23</v>
      </c>
      <c r="AB736" s="18">
        <v>55.15</v>
      </c>
      <c r="AC736" t="s">
        <v>111</v>
      </c>
      <c r="AD736" t="s">
        <v>51</v>
      </c>
      <c r="AE736" t="s">
        <v>68</v>
      </c>
      <c r="AF736">
        <v>5</v>
      </c>
      <c r="AG736" t="s">
        <v>53</v>
      </c>
    </row>
    <row r="737" spans="1:33">
      <c r="A737" t="s">
        <v>1634</v>
      </c>
      <c r="B737" s="10">
        <v>45692</v>
      </c>
      <c r="C737" s="3" t="s">
        <v>194</v>
      </c>
      <c r="D737" t="s">
        <v>156</v>
      </c>
      <c r="E737" t="s">
        <v>90</v>
      </c>
      <c r="F737" t="s">
        <v>91</v>
      </c>
      <c r="G737" t="s">
        <v>92</v>
      </c>
      <c r="H737" t="s">
        <v>58</v>
      </c>
      <c r="I737" t="s">
        <v>59</v>
      </c>
      <c r="J737" t="s">
        <v>60</v>
      </c>
      <c r="K737" t="s">
        <v>61</v>
      </c>
      <c r="L737" t="s">
        <v>1635</v>
      </c>
      <c r="M737" t="s">
        <v>44</v>
      </c>
      <c r="N737" t="s">
        <v>110</v>
      </c>
      <c r="O737" t="s">
        <v>64</v>
      </c>
      <c r="P737" t="s">
        <v>65</v>
      </c>
      <c r="Q737" t="s">
        <v>66</v>
      </c>
      <c r="R737" t="s">
        <v>67</v>
      </c>
      <c r="S737">
        <v>2</v>
      </c>
      <c r="T737" s="14">
        <v>44.7</v>
      </c>
      <c r="U737" s="7">
        <v>12</v>
      </c>
      <c r="V737" s="7">
        <v>22</v>
      </c>
      <c r="W737" s="14">
        <v>78.7</v>
      </c>
      <c r="X737" s="14">
        <v>149</v>
      </c>
      <c r="Y737" s="16">
        <v>0</v>
      </c>
      <c r="Z737" s="12">
        <v>298</v>
      </c>
      <c r="AA737" s="5">
        <v>140.6</v>
      </c>
      <c r="AB737" s="18">
        <v>47.18</v>
      </c>
      <c r="AC737" t="s">
        <v>104</v>
      </c>
      <c r="AD737" t="s">
        <v>86</v>
      </c>
      <c r="AE737" t="s">
        <v>105</v>
      </c>
      <c r="AF737">
        <v>4</v>
      </c>
      <c r="AG737" t="s">
        <v>53</v>
      </c>
    </row>
    <row r="738" spans="1:33">
      <c r="A738" t="s">
        <v>1636</v>
      </c>
      <c r="B738" s="10">
        <v>45898</v>
      </c>
      <c r="C738" s="3" t="s">
        <v>113</v>
      </c>
      <c r="D738" t="s">
        <v>35</v>
      </c>
      <c r="E738" t="s">
        <v>99</v>
      </c>
      <c r="F738" t="s">
        <v>73</v>
      </c>
      <c r="G738" t="s">
        <v>74</v>
      </c>
      <c r="H738" t="s">
        <v>75</v>
      </c>
      <c r="I738" t="s">
        <v>76</v>
      </c>
      <c r="J738" t="s">
        <v>77</v>
      </c>
      <c r="K738" t="s">
        <v>78</v>
      </c>
      <c r="L738" t="s">
        <v>1637</v>
      </c>
      <c r="M738" t="s">
        <v>80</v>
      </c>
      <c r="N738" t="s">
        <v>45</v>
      </c>
      <c r="O738" t="s">
        <v>176</v>
      </c>
      <c r="P738" t="s">
        <v>177</v>
      </c>
      <c r="Q738" t="s">
        <v>66</v>
      </c>
      <c r="R738" t="s">
        <v>49</v>
      </c>
      <c r="S738">
        <v>3</v>
      </c>
      <c r="T738" s="14">
        <v>70.98</v>
      </c>
      <c r="U738" s="7">
        <v>12</v>
      </c>
      <c r="V738" s="7">
        <v>22</v>
      </c>
      <c r="W738" s="14">
        <v>104.98</v>
      </c>
      <c r="X738" s="14">
        <v>236.6</v>
      </c>
      <c r="Y738" s="16">
        <v>0</v>
      </c>
      <c r="Z738" s="12">
        <v>709.8</v>
      </c>
      <c r="AA738" s="5">
        <v>394.86</v>
      </c>
      <c r="AB738" s="18">
        <v>55.63</v>
      </c>
      <c r="AC738" t="s">
        <v>111</v>
      </c>
      <c r="AD738" t="s">
        <v>86</v>
      </c>
      <c r="AE738" t="s">
        <v>52</v>
      </c>
      <c r="AF738">
        <v>5</v>
      </c>
      <c r="AG738" t="s">
        <v>53</v>
      </c>
    </row>
    <row r="739" spans="1:33">
      <c r="A739" t="s">
        <v>1638</v>
      </c>
      <c r="B739" s="10">
        <v>45835</v>
      </c>
      <c r="C739" s="3" t="s">
        <v>390</v>
      </c>
      <c r="D739" t="s">
        <v>35</v>
      </c>
      <c r="E739" t="s">
        <v>174</v>
      </c>
      <c r="F739" t="s">
        <v>131</v>
      </c>
      <c r="G739" t="s">
        <v>132</v>
      </c>
      <c r="H739" t="s">
        <v>39</v>
      </c>
      <c r="I739" t="s">
        <v>2143</v>
      </c>
      <c r="J739" t="s">
        <v>41</v>
      </c>
      <c r="K739" t="s">
        <v>42</v>
      </c>
      <c r="L739" t="s">
        <v>1639</v>
      </c>
      <c r="M739" t="s">
        <v>63</v>
      </c>
      <c r="N739" t="s">
        <v>81</v>
      </c>
      <c r="O739" t="s">
        <v>162</v>
      </c>
      <c r="P739" t="s">
        <v>163</v>
      </c>
      <c r="Q739" t="s">
        <v>48</v>
      </c>
      <c r="R739" t="s">
        <v>84</v>
      </c>
      <c r="S739">
        <v>2</v>
      </c>
      <c r="T739" s="14">
        <v>89.64</v>
      </c>
      <c r="U739" s="7">
        <v>12</v>
      </c>
      <c r="V739" s="7">
        <v>22</v>
      </c>
      <c r="W739" s="14">
        <v>123.64</v>
      </c>
      <c r="X739" s="14">
        <v>298.8</v>
      </c>
      <c r="Y739" s="16">
        <v>5</v>
      </c>
      <c r="Z739" s="12">
        <v>567.72</v>
      </c>
      <c r="AA739" s="5">
        <v>320.44</v>
      </c>
      <c r="AB739" s="18">
        <v>56.44</v>
      </c>
      <c r="AC739" t="s">
        <v>85</v>
      </c>
      <c r="AD739" t="s">
        <v>158</v>
      </c>
      <c r="AE739" t="s">
        <v>68</v>
      </c>
      <c r="AF739">
        <v>4</v>
      </c>
      <c r="AG739" t="s">
        <v>53</v>
      </c>
    </row>
    <row r="740" spans="1:33">
      <c r="A740" t="s">
        <v>1640</v>
      </c>
      <c r="B740" s="10">
        <v>45952</v>
      </c>
      <c r="C740" s="3" t="s">
        <v>141</v>
      </c>
      <c r="D740" t="s">
        <v>129</v>
      </c>
      <c r="E740" t="s">
        <v>36</v>
      </c>
      <c r="F740" t="s">
        <v>37</v>
      </c>
      <c r="G740" t="s">
        <v>38</v>
      </c>
      <c r="H740" t="s">
        <v>115</v>
      </c>
      <c r="I740" t="s">
        <v>116</v>
      </c>
      <c r="J740" t="s">
        <v>117</v>
      </c>
      <c r="K740" t="s">
        <v>61</v>
      </c>
      <c r="L740" t="s">
        <v>1641</v>
      </c>
      <c r="M740" t="s">
        <v>80</v>
      </c>
      <c r="N740" t="s">
        <v>45</v>
      </c>
      <c r="O740" t="s">
        <v>168</v>
      </c>
      <c r="P740" t="s">
        <v>169</v>
      </c>
      <c r="Q740" t="s">
        <v>139</v>
      </c>
      <c r="R740" t="s">
        <v>67</v>
      </c>
      <c r="S740">
        <v>1</v>
      </c>
      <c r="T740" s="14">
        <v>47.7</v>
      </c>
      <c r="U740" s="7">
        <v>12</v>
      </c>
      <c r="V740" s="7">
        <v>22</v>
      </c>
      <c r="W740" s="14">
        <v>81.7</v>
      </c>
      <c r="X740" s="14">
        <v>159</v>
      </c>
      <c r="Y740" s="16">
        <v>0</v>
      </c>
      <c r="Z740" s="12">
        <v>159</v>
      </c>
      <c r="AA740" s="5">
        <v>77.3</v>
      </c>
      <c r="AB740" s="18">
        <v>48.62</v>
      </c>
      <c r="AC740" t="s">
        <v>111</v>
      </c>
      <c r="AD740" t="s">
        <v>158</v>
      </c>
      <c r="AE740" t="s">
        <v>126</v>
      </c>
      <c r="AF740">
        <v>3</v>
      </c>
      <c r="AG740" t="s">
        <v>53</v>
      </c>
    </row>
    <row r="741" spans="1:33">
      <c r="A741" t="s">
        <v>1642</v>
      </c>
      <c r="B741" s="10">
        <v>45909</v>
      </c>
      <c r="C741" s="3" t="s">
        <v>34</v>
      </c>
      <c r="D741" t="s">
        <v>156</v>
      </c>
      <c r="E741" t="s">
        <v>72</v>
      </c>
      <c r="F741" t="s">
        <v>73</v>
      </c>
      <c r="G741" t="s">
        <v>74</v>
      </c>
      <c r="H741" t="s">
        <v>115</v>
      </c>
      <c r="I741" t="s">
        <v>116</v>
      </c>
      <c r="J741" t="s">
        <v>117</v>
      </c>
      <c r="K741" t="s">
        <v>61</v>
      </c>
      <c r="L741" t="s">
        <v>1643</v>
      </c>
      <c r="M741" t="s">
        <v>44</v>
      </c>
      <c r="N741" t="s">
        <v>45</v>
      </c>
      <c r="O741" t="s">
        <v>275</v>
      </c>
      <c r="P741" t="s">
        <v>276</v>
      </c>
      <c r="Q741" t="s">
        <v>125</v>
      </c>
      <c r="R741" t="s">
        <v>84</v>
      </c>
      <c r="S741">
        <v>3</v>
      </c>
      <c r="T741" s="14">
        <v>82.44</v>
      </c>
      <c r="U741" s="7">
        <v>12</v>
      </c>
      <c r="V741" s="7">
        <v>22</v>
      </c>
      <c r="W741" s="14">
        <v>116.44</v>
      </c>
      <c r="X741" s="14">
        <v>274.8</v>
      </c>
      <c r="Y741" s="16">
        <v>10</v>
      </c>
      <c r="Z741" s="12">
        <v>741.96</v>
      </c>
      <c r="AA741" s="5">
        <v>392.64</v>
      </c>
      <c r="AB741" s="18">
        <v>52.92</v>
      </c>
      <c r="AC741" t="s">
        <v>2145</v>
      </c>
      <c r="AD741" t="s">
        <v>51</v>
      </c>
      <c r="AE741" t="s">
        <v>68</v>
      </c>
      <c r="AF741">
        <v>3</v>
      </c>
      <c r="AG741" t="s">
        <v>53</v>
      </c>
    </row>
    <row r="742" spans="1:33">
      <c r="A742" t="s">
        <v>1644</v>
      </c>
      <c r="B742" s="10">
        <v>45943</v>
      </c>
      <c r="C742" s="3" t="s">
        <v>88</v>
      </c>
      <c r="D742" t="s">
        <v>206</v>
      </c>
      <c r="E742" t="s">
        <v>36</v>
      </c>
      <c r="F742" t="s">
        <v>37</v>
      </c>
      <c r="G742" t="s">
        <v>38</v>
      </c>
      <c r="H742" t="s">
        <v>115</v>
      </c>
      <c r="I742" t="s">
        <v>116</v>
      </c>
      <c r="J742" t="s">
        <v>117</v>
      </c>
      <c r="K742" t="s">
        <v>61</v>
      </c>
      <c r="L742" t="s">
        <v>1645</v>
      </c>
      <c r="M742" t="s">
        <v>63</v>
      </c>
      <c r="N742" t="s">
        <v>45</v>
      </c>
      <c r="O742" t="s">
        <v>162</v>
      </c>
      <c r="P742" t="s">
        <v>163</v>
      </c>
      <c r="Q742" t="s">
        <v>48</v>
      </c>
      <c r="R742" t="s">
        <v>67</v>
      </c>
      <c r="S742">
        <v>1</v>
      </c>
      <c r="T742" s="14">
        <v>74.7</v>
      </c>
      <c r="U742" s="7">
        <v>12</v>
      </c>
      <c r="V742" s="7">
        <v>22</v>
      </c>
      <c r="W742" s="14">
        <v>108.7</v>
      </c>
      <c r="X742" s="14">
        <v>249</v>
      </c>
      <c r="Y742" s="16">
        <v>5</v>
      </c>
      <c r="Z742" s="12">
        <v>236.55</v>
      </c>
      <c r="AA742" s="5">
        <v>127.85</v>
      </c>
      <c r="AB742" s="18">
        <v>54.05</v>
      </c>
      <c r="AC742" t="s">
        <v>50</v>
      </c>
      <c r="AD742" t="s">
        <v>51</v>
      </c>
      <c r="AE742" t="s">
        <v>68</v>
      </c>
      <c r="AF742">
        <v>5</v>
      </c>
      <c r="AG742" t="s">
        <v>53</v>
      </c>
    </row>
    <row r="743" spans="1:33">
      <c r="A743" t="s">
        <v>1646</v>
      </c>
      <c r="B743" s="10">
        <v>45926</v>
      </c>
      <c r="C743" s="3" t="s">
        <v>182</v>
      </c>
      <c r="D743" t="s">
        <v>35</v>
      </c>
      <c r="E743" t="s">
        <v>72</v>
      </c>
      <c r="F743" t="s">
        <v>73</v>
      </c>
      <c r="G743" t="s">
        <v>74</v>
      </c>
      <c r="H743" t="s">
        <v>142</v>
      </c>
      <c r="I743" t="s">
        <v>143</v>
      </c>
      <c r="J743" t="s">
        <v>144</v>
      </c>
      <c r="K743" t="s">
        <v>145</v>
      </c>
      <c r="L743" t="s">
        <v>1647</v>
      </c>
      <c r="M743" t="s">
        <v>44</v>
      </c>
      <c r="N743" t="s">
        <v>45</v>
      </c>
      <c r="O743" t="s">
        <v>162</v>
      </c>
      <c r="P743" t="s">
        <v>163</v>
      </c>
      <c r="Q743" t="s">
        <v>48</v>
      </c>
      <c r="R743" t="s">
        <v>84</v>
      </c>
      <c r="S743">
        <v>2</v>
      </c>
      <c r="T743" s="14">
        <v>89.64</v>
      </c>
      <c r="U743" s="7">
        <v>12</v>
      </c>
      <c r="V743" s="7">
        <v>22</v>
      </c>
      <c r="W743" s="14">
        <v>123.64</v>
      </c>
      <c r="X743" s="14">
        <v>298.8</v>
      </c>
      <c r="Y743" s="16">
        <v>10</v>
      </c>
      <c r="Z743" s="12">
        <v>537.84</v>
      </c>
      <c r="AA743" s="5">
        <v>290.56</v>
      </c>
      <c r="AB743" s="18">
        <v>54.02</v>
      </c>
      <c r="AC743" t="s">
        <v>50</v>
      </c>
      <c r="AD743" t="s">
        <v>86</v>
      </c>
      <c r="AE743" t="s">
        <v>68</v>
      </c>
      <c r="AF743">
        <v>4</v>
      </c>
      <c r="AG743" t="s">
        <v>53</v>
      </c>
    </row>
    <row r="744" spans="1:33">
      <c r="A744" t="s">
        <v>1648</v>
      </c>
      <c r="B744" s="10">
        <v>45759</v>
      </c>
      <c r="C744" s="3" t="s">
        <v>307</v>
      </c>
      <c r="D744" t="s">
        <v>71</v>
      </c>
      <c r="E744" t="s">
        <v>280</v>
      </c>
      <c r="F744" t="s">
        <v>131</v>
      </c>
      <c r="G744" t="s">
        <v>132</v>
      </c>
      <c r="H744" t="s">
        <v>142</v>
      </c>
      <c r="I744" t="s">
        <v>143</v>
      </c>
      <c r="J744" t="s">
        <v>144</v>
      </c>
      <c r="K744" t="s">
        <v>145</v>
      </c>
      <c r="L744" t="s">
        <v>1649</v>
      </c>
      <c r="M744" t="s">
        <v>63</v>
      </c>
      <c r="N744" t="s">
        <v>81</v>
      </c>
      <c r="O744" t="s">
        <v>275</v>
      </c>
      <c r="P744" t="s">
        <v>276</v>
      </c>
      <c r="Q744" t="s">
        <v>125</v>
      </c>
      <c r="R744" t="s">
        <v>84</v>
      </c>
      <c r="S744">
        <v>3</v>
      </c>
      <c r="T744" s="14">
        <v>82.44</v>
      </c>
      <c r="U744" s="7">
        <v>12</v>
      </c>
      <c r="V744" s="7">
        <v>22</v>
      </c>
      <c r="W744" s="14">
        <v>116.44</v>
      </c>
      <c r="X744" s="14">
        <v>274.8</v>
      </c>
      <c r="Y744" s="16">
        <v>15</v>
      </c>
      <c r="Z744" s="12">
        <v>700.74</v>
      </c>
      <c r="AA744" s="5">
        <v>351.42</v>
      </c>
      <c r="AB744" s="18">
        <v>50.15</v>
      </c>
      <c r="AC744" t="s">
        <v>104</v>
      </c>
      <c r="AD744" t="s">
        <v>158</v>
      </c>
      <c r="AE744" t="s">
        <v>96</v>
      </c>
      <c r="AF744">
        <v>4</v>
      </c>
      <c r="AG744" t="s">
        <v>53</v>
      </c>
    </row>
    <row r="745" spans="1:33">
      <c r="A745" t="s">
        <v>1650</v>
      </c>
      <c r="B745" s="10">
        <v>45775</v>
      </c>
      <c r="C745" s="3" t="s">
        <v>55</v>
      </c>
      <c r="D745" t="s">
        <v>206</v>
      </c>
      <c r="E745" t="s">
        <v>280</v>
      </c>
      <c r="F745" t="s">
        <v>131</v>
      </c>
      <c r="G745" t="s">
        <v>132</v>
      </c>
      <c r="H745" t="s">
        <v>58</v>
      </c>
      <c r="I745" t="s">
        <v>59</v>
      </c>
      <c r="J745" t="s">
        <v>60</v>
      </c>
      <c r="K745" t="s">
        <v>61</v>
      </c>
      <c r="L745" t="s">
        <v>1651</v>
      </c>
      <c r="M745" t="s">
        <v>80</v>
      </c>
      <c r="N745" t="s">
        <v>81</v>
      </c>
      <c r="O745" t="s">
        <v>94</v>
      </c>
      <c r="P745" t="s">
        <v>95</v>
      </c>
      <c r="Q745" t="s">
        <v>66</v>
      </c>
      <c r="R745" t="s">
        <v>84</v>
      </c>
      <c r="S745">
        <v>1</v>
      </c>
      <c r="T745" s="14">
        <v>78.84</v>
      </c>
      <c r="U745" s="7">
        <v>12</v>
      </c>
      <c r="V745" s="7">
        <v>22</v>
      </c>
      <c r="W745" s="14">
        <v>112.84</v>
      </c>
      <c r="X745" s="14">
        <v>262.8</v>
      </c>
      <c r="Y745" s="16">
        <v>5</v>
      </c>
      <c r="Z745" s="12">
        <v>249.66</v>
      </c>
      <c r="AA745" s="5">
        <v>136.82</v>
      </c>
      <c r="AB745" s="18">
        <v>54.8</v>
      </c>
      <c r="AC745" t="s">
        <v>111</v>
      </c>
      <c r="AD745" t="s">
        <v>158</v>
      </c>
      <c r="AE745" t="s">
        <v>126</v>
      </c>
      <c r="AF745">
        <v>3</v>
      </c>
      <c r="AG745" t="s">
        <v>53</v>
      </c>
    </row>
    <row r="746" spans="1:33">
      <c r="A746" t="s">
        <v>1652</v>
      </c>
      <c r="B746" s="10">
        <v>45680</v>
      </c>
      <c r="C746" s="3" t="s">
        <v>128</v>
      </c>
      <c r="D746" t="s">
        <v>56</v>
      </c>
      <c r="E746" t="s">
        <v>152</v>
      </c>
      <c r="F746" t="s">
        <v>91</v>
      </c>
      <c r="G746" t="s">
        <v>92</v>
      </c>
      <c r="H746" t="s">
        <v>75</v>
      </c>
      <c r="I746" t="s">
        <v>76</v>
      </c>
      <c r="J746" t="s">
        <v>77</v>
      </c>
      <c r="K746" t="s">
        <v>78</v>
      </c>
      <c r="L746" t="s">
        <v>1653</v>
      </c>
      <c r="M746" t="s">
        <v>44</v>
      </c>
      <c r="N746" t="s">
        <v>110</v>
      </c>
      <c r="O746" t="s">
        <v>64</v>
      </c>
      <c r="P746" t="s">
        <v>65</v>
      </c>
      <c r="Q746" t="s">
        <v>66</v>
      </c>
      <c r="R746" t="s">
        <v>67</v>
      </c>
      <c r="S746">
        <v>2</v>
      </c>
      <c r="T746" s="14">
        <v>44.7</v>
      </c>
      <c r="U746" s="7">
        <v>12</v>
      </c>
      <c r="V746" s="7">
        <v>22</v>
      </c>
      <c r="W746" s="14">
        <v>78.7</v>
      </c>
      <c r="X746" s="14">
        <v>149</v>
      </c>
      <c r="Y746" s="16">
        <v>0</v>
      </c>
      <c r="Z746" s="12">
        <v>298</v>
      </c>
      <c r="AA746" s="5">
        <v>140.6</v>
      </c>
      <c r="AB746" s="18">
        <v>47.18</v>
      </c>
      <c r="AC746" t="s">
        <v>104</v>
      </c>
      <c r="AD746" t="s">
        <v>51</v>
      </c>
      <c r="AE746" t="s">
        <v>52</v>
      </c>
      <c r="AF746">
        <v>5</v>
      </c>
      <c r="AG746" t="s">
        <v>53</v>
      </c>
    </row>
    <row r="747" spans="1:33">
      <c r="A747" t="s">
        <v>1654</v>
      </c>
      <c r="B747" s="10">
        <v>45733</v>
      </c>
      <c r="C747" s="3" t="s">
        <v>199</v>
      </c>
      <c r="D747" t="s">
        <v>206</v>
      </c>
      <c r="E747" t="s">
        <v>108</v>
      </c>
      <c r="F747" t="s">
        <v>91</v>
      </c>
      <c r="G747" t="s">
        <v>38</v>
      </c>
      <c r="H747" t="s">
        <v>58</v>
      </c>
      <c r="I747" t="s">
        <v>59</v>
      </c>
      <c r="J747" t="s">
        <v>60</v>
      </c>
      <c r="K747" t="s">
        <v>61</v>
      </c>
      <c r="L747" t="s">
        <v>1655</v>
      </c>
      <c r="M747" t="s">
        <v>80</v>
      </c>
      <c r="N747" t="s">
        <v>81</v>
      </c>
      <c r="O747" t="s">
        <v>189</v>
      </c>
      <c r="P747" t="s">
        <v>190</v>
      </c>
      <c r="Q747" t="s">
        <v>48</v>
      </c>
      <c r="R747" t="s">
        <v>84</v>
      </c>
      <c r="S747">
        <v>1</v>
      </c>
      <c r="T747" s="14">
        <v>57.24</v>
      </c>
      <c r="U747" s="7">
        <v>12</v>
      </c>
      <c r="V747" s="7">
        <v>22</v>
      </c>
      <c r="W747" s="14">
        <v>91.240000000000009</v>
      </c>
      <c r="X747" s="14">
        <v>190.8</v>
      </c>
      <c r="Y747" s="16">
        <v>10</v>
      </c>
      <c r="Z747" s="12">
        <v>171.72</v>
      </c>
      <c r="AA747" s="5">
        <v>80.48</v>
      </c>
      <c r="AB747" s="18">
        <v>46.87</v>
      </c>
      <c r="AC747" t="s">
        <v>85</v>
      </c>
      <c r="AD747" t="s">
        <v>158</v>
      </c>
      <c r="AE747" t="s">
        <v>52</v>
      </c>
      <c r="AF747">
        <v>5</v>
      </c>
      <c r="AG747" t="s">
        <v>53</v>
      </c>
    </row>
    <row r="748" spans="1:33">
      <c r="A748" t="s">
        <v>1656</v>
      </c>
      <c r="B748" s="10">
        <v>45948</v>
      </c>
      <c r="C748" s="3" t="s">
        <v>390</v>
      </c>
      <c r="D748" t="s">
        <v>71</v>
      </c>
      <c r="E748" t="s">
        <v>36</v>
      </c>
      <c r="F748" t="s">
        <v>37</v>
      </c>
      <c r="G748" t="s">
        <v>38</v>
      </c>
      <c r="H748" t="s">
        <v>39</v>
      </c>
      <c r="I748" t="s">
        <v>2143</v>
      </c>
      <c r="J748" t="s">
        <v>41</v>
      </c>
      <c r="K748" t="s">
        <v>42</v>
      </c>
      <c r="L748" t="s">
        <v>1657</v>
      </c>
      <c r="M748" t="s">
        <v>80</v>
      </c>
      <c r="N748" t="s">
        <v>45</v>
      </c>
      <c r="O748" t="s">
        <v>189</v>
      </c>
      <c r="P748" t="s">
        <v>190</v>
      </c>
      <c r="Q748" t="s">
        <v>48</v>
      </c>
      <c r="R748" t="s">
        <v>49</v>
      </c>
      <c r="S748">
        <v>3</v>
      </c>
      <c r="T748" s="14">
        <v>66.78</v>
      </c>
      <c r="U748" s="7">
        <v>12</v>
      </c>
      <c r="V748" s="7">
        <v>22</v>
      </c>
      <c r="W748" s="14">
        <v>100.78</v>
      </c>
      <c r="X748" s="14">
        <v>222.6</v>
      </c>
      <c r="Y748" s="16">
        <v>15</v>
      </c>
      <c r="Z748" s="12">
        <v>567.63</v>
      </c>
      <c r="AA748" s="5">
        <v>265.29000000000002</v>
      </c>
      <c r="AB748" s="18">
        <v>46.74</v>
      </c>
      <c r="AC748" t="s">
        <v>50</v>
      </c>
      <c r="AD748" t="s">
        <v>86</v>
      </c>
      <c r="AE748" t="s">
        <v>105</v>
      </c>
      <c r="AF748">
        <v>5</v>
      </c>
      <c r="AG748" t="s">
        <v>53</v>
      </c>
    </row>
    <row r="749" spans="1:33">
      <c r="A749" t="s">
        <v>1658</v>
      </c>
      <c r="B749" s="10">
        <v>45894</v>
      </c>
      <c r="C749" s="3" t="s">
        <v>307</v>
      </c>
      <c r="D749" t="s">
        <v>206</v>
      </c>
      <c r="E749" t="s">
        <v>99</v>
      </c>
      <c r="F749" t="s">
        <v>73</v>
      </c>
      <c r="G749" t="s">
        <v>74</v>
      </c>
      <c r="H749" t="s">
        <v>75</v>
      </c>
      <c r="I749" t="s">
        <v>76</v>
      </c>
      <c r="J749" t="s">
        <v>77</v>
      </c>
      <c r="K749" t="s">
        <v>78</v>
      </c>
      <c r="L749" t="s">
        <v>1659</v>
      </c>
      <c r="M749" t="s">
        <v>44</v>
      </c>
      <c r="N749" t="s">
        <v>45</v>
      </c>
      <c r="O749" t="s">
        <v>189</v>
      </c>
      <c r="P749" t="s">
        <v>190</v>
      </c>
      <c r="Q749" t="s">
        <v>48</v>
      </c>
      <c r="R749" t="s">
        <v>84</v>
      </c>
      <c r="S749">
        <v>2</v>
      </c>
      <c r="T749" s="14">
        <v>57.24</v>
      </c>
      <c r="U749" s="7">
        <v>12</v>
      </c>
      <c r="V749" s="7">
        <v>22</v>
      </c>
      <c r="W749" s="14">
        <v>91.240000000000009</v>
      </c>
      <c r="X749" s="14">
        <v>190.8</v>
      </c>
      <c r="Y749" s="16">
        <v>5</v>
      </c>
      <c r="Z749" s="12">
        <v>362.52</v>
      </c>
      <c r="AA749" s="5">
        <v>180.04</v>
      </c>
      <c r="AB749" s="18">
        <v>49.66</v>
      </c>
      <c r="AC749" t="s">
        <v>104</v>
      </c>
      <c r="AD749" t="s">
        <v>51</v>
      </c>
      <c r="AE749" t="s">
        <v>96</v>
      </c>
      <c r="AF749">
        <v>3</v>
      </c>
      <c r="AG749" t="s">
        <v>53</v>
      </c>
    </row>
    <row r="750" spans="1:33">
      <c r="A750" t="s">
        <v>1660</v>
      </c>
      <c r="B750" s="10">
        <v>45676</v>
      </c>
      <c r="C750" s="3" t="s">
        <v>88</v>
      </c>
      <c r="D750" t="s">
        <v>89</v>
      </c>
      <c r="E750" t="s">
        <v>152</v>
      </c>
      <c r="F750" t="s">
        <v>91</v>
      </c>
      <c r="G750" t="s">
        <v>92</v>
      </c>
      <c r="H750" t="s">
        <v>75</v>
      </c>
      <c r="I750" t="s">
        <v>76</v>
      </c>
      <c r="J750" t="s">
        <v>77</v>
      </c>
      <c r="K750" t="s">
        <v>78</v>
      </c>
      <c r="L750" t="s">
        <v>1661</v>
      </c>
      <c r="M750" t="s">
        <v>80</v>
      </c>
      <c r="N750" t="s">
        <v>81</v>
      </c>
      <c r="O750" t="s">
        <v>189</v>
      </c>
      <c r="P750" t="s">
        <v>190</v>
      </c>
      <c r="Q750" t="s">
        <v>48</v>
      </c>
      <c r="R750" t="s">
        <v>84</v>
      </c>
      <c r="S750">
        <v>4</v>
      </c>
      <c r="T750" s="14">
        <v>57.24</v>
      </c>
      <c r="U750" s="7">
        <v>12</v>
      </c>
      <c r="V750" s="7">
        <v>22</v>
      </c>
      <c r="W750" s="14">
        <v>91.240000000000009</v>
      </c>
      <c r="X750" s="14">
        <v>190.8</v>
      </c>
      <c r="Y750" s="16">
        <v>15</v>
      </c>
      <c r="Z750" s="12">
        <v>648.72</v>
      </c>
      <c r="AA750" s="5">
        <v>283.76</v>
      </c>
      <c r="AB750" s="18">
        <v>43.74</v>
      </c>
      <c r="AC750" t="s">
        <v>85</v>
      </c>
      <c r="AD750" t="s">
        <v>158</v>
      </c>
      <c r="AE750" t="s">
        <v>52</v>
      </c>
      <c r="AF750">
        <v>5</v>
      </c>
      <c r="AG750" t="s">
        <v>53</v>
      </c>
    </row>
    <row r="751" spans="1:33">
      <c r="A751" t="s">
        <v>1662</v>
      </c>
      <c r="B751" s="10">
        <v>45995</v>
      </c>
      <c r="C751" s="3" t="s">
        <v>70</v>
      </c>
      <c r="D751" t="s">
        <v>56</v>
      </c>
      <c r="E751" t="s">
        <v>149</v>
      </c>
      <c r="F751" t="s">
        <v>37</v>
      </c>
      <c r="G751" t="s">
        <v>92</v>
      </c>
      <c r="H751" t="s">
        <v>39</v>
      </c>
      <c r="I751" t="s">
        <v>2143</v>
      </c>
      <c r="J751" t="s">
        <v>41</v>
      </c>
      <c r="K751" t="s">
        <v>42</v>
      </c>
      <c r="L751" t="s">
        <v>1663</v>
      </c>
      <c r="M751" t="s">
        <v>63</v>
      </c>
      <c r="N751" t="s">
        <v>81</v>
      </c>
      <c r="O751" t="s">
        <v>64</v>
      </c>
      <c r="P751" t="s">
        <v>65</v>
      </c>
      <c r="Q751" t="s">
        <v>66</v>
      </c>
      <c r="R751" t="s">
        <v>67</v>
      </c>
      <c r="S751">
        <v>3</v>
      </c>
      <c r="T751" s="14">
        <v>44.7</v>
      </c>
      <c r="U751" s="7">
        <v>12</v>
      </c>
      <c r="V751" s="7">
        <v>22</v>
      </c>
      <c r="W751" s="14">
        <v>78.7</v>
      </c>
      <c r="X751" s="14">
        <v>149</v>
      </c>
      <c r="Y751" s="16">
        <v>0</v>
      </c>
      <c r="Z751" s="12">
        <v>447</v>
      </c>
      <c r="AA751" s="5">
        <v>210.9</v>
      </c>
      <c r="AB751" s="18">
        <v>47.18</v>
      </c>
      <c r="AC751" t="s">
        <v>85</v>
      </c>
      <c r="AD751" t="s">
        <v>51</v>
      </c>
      <c r="AE751" t="s">
        <v>52</v>
      </c>
      <c r="AF751">
        <v>5</v>
      </c>
      <c r="AG751" t="s">
        <v>53</v>
      </c>
    </row>
    <row r="752" spans="1:33">
      <c r="A752" t="s">
        <v>1664</v>
      </c>
      <c r="B752" s="10">
        <v>45670</v>
      </c>
      <c r="C752" s="3" t="s">
        <v>199</v>
      </c>
      <c r="D752" t="s">
        <v>206</v>
      </c>
      <c r="E752" t="s">
        <v>152</v>
      </c>
      <c r="F752" t="s">
        <v>91</v>
      </c>
      <c r="G752" t="s">
        <v>92</v>
      </c>
      <c r="H752" t="s">
        <v>115</v>
      </c>
      <c r="I752" t="s">
        <v>116</v>
      </c>
      <c r="J752" t="s">
        <v>117</v>
      </c>
      <c r="K752" t="s">
        <v>61</v>
      </c>
      <c r="L752" t="s">
        <v>1665</v>
      </c>
      <c r="M752" t="s">
        <v>44</v>
      </c>
      <c r="N752" t="s">
        <v>45</v>
      </c>
      <c r="O752" t="s">
        <v>94</v>
      </c>
      <c r="P752" t="s">
        <v>95</v>
      </c>
      <c r="Q752" t="s">
        <v>66</v>
      </c>
      <c r="R752" t="s">
        <v>49</v>
      </c>
      <c r="S752">
        <v>1</v>
      </c>
      <c r="T752" s="14">
        <v>91.98</v>
      </c>
      <c r="U752" s="7">
        <v>12</v>
      </c>
      <c r="V752" s="7">
        <v>22</v>
      </c>
      <c r="W752" s="14">
        <v>125.98</v>
      </c>
      <c r="X752" s="14">
        <v>306.60000000000002</v>
      </c>
      <c r="Y752" s="16">
        <v>0</v>
      </c>
      <c r="Z752" s="12">
        <v>306.60000000000002</v>
      </c>
      <c r="AA752" s="5">
        <v>180.62</v>
      </c>
      <c r="AB752" s="18">
        <v>58.91</v>
      </c>
      <c r="AC752" t="s">
        <v>104</v>
      </c>
      <c r="AD752" t="s">
        <v>51</v>
      </c>
      <c r="AE752" t="s">
        <v>96</v>
      </c>
      <c r="AF752">
        <v>4</v>
      </c>
      <c r="AG752" t="s">
        <v>53</v>
      </c>
    </row>
    <row r="753" spans="1:33">
      <c r="A753" t="s">
        <v>1666</v>
      </c>
      <c r="B753" s="10">
        <v>45682</v>
      </c>
      <c r="C753" s="3" t="s">
        <v>113</v>
      </c>
      <c r="D753" t="s">
        <v>71</v>
      </c>
      <c r="E753" t="s">
        <v>152</v>
      </c>
      <c r="F753" t="s">
        <v>91</v>
      </c>
      <c r="G753" t="s">
        <v>92</v>
      </c>
      <c r="H753" t="s">
        <v>142</v>
      </c>
      <c r="I753" t="s">
        <v>143</v>
      </c>
      <c r="J753" t="s">
        <v>144</v>
      </c>
      <c r="K753" t="s">
        <v>145</v>
      </c>
      <c r="L753" t="s">
        <v>1667</v>
      </c>
      <c r="M753" t="s">
        <v>63</v>
      </c>
      <c r="N753" t="s">
        <v>45</v>
      </c>
      <c r="O753" t="s">
        <v>452</v>
      </c>
      <c r="P753" t="s">
        <v>453</v>
      </c>
      <c r="Q753" t="s">
        <v>215</v>
      </c>
      <c r="R753" t="s">
        <v>49</v>
      </c>
      <c r="S753">
        <v>2</v>
      </c>
      <c r="T753" s="14">
        <v>138.18</v>
      </c>
      <c r="U753" s="7">
        <v>12</v>
      </c>
      <c r="V753" s="7">
        <v>22</v>
      </c>
      <c r="W753" s="14">
        <v>172.18</v>
      </c>
      <c r="X753" s="14">
        <v>460.6</v>
      </c>
      <c r="Y753" s="16">
        <v>15</v>
      </c>
      <c r="Z753" s="12">
        <v>783.02</v>
      </c>
      <c r="AA753" s="5">
        <v>438.66</v>
      </c>
      <c r="AB753" s="18">
        <v>56.02</v>
      </c>
      <c r="AC753" t="s">
        <v>111</v>
      </c>
      <c r="AD753" t="s">
        <v>86</v>
      </c>
      <c r="AE753" t="s">
        <v>52</v>
      </c>
      <c r="AF753">
        <v>4</v>
      </c>
      <c r="AG753" t="s">
        <v>53</v>
      </c>
    </row>
    <row r="754" spans="1:33">
      <c r="A754" t="s">
        <v>1668</v>
      </c>
      <c r="B754" s="10">
        <v>45740</v>
      </c>
      <c r="C754" s="3" t="s">
        <v>185</v>
      </c>
      <c r="D754" t="s">
        <v>206</v>
      </c>
      <c r="E754" t="s">
        <v>108</v>
      </c>
      <c r="F754" t="s">
        <v>91</v>
      </c>
      <c r="G754" t="s">
        <v>38</v>
      </c>
      <c r="H754" t="s">
        <v>115</v>
      </c>
      <c r="I754" t="s">
        <v>116</v>
      </c>
      <c r="J754" t="s">
        <v>117</v>
      </c>
      <c r="K754" t="s">
        <v>61</v>
      </c>
      <c r="L754" t="s">
        <v>1669</v>
      </c>
      <c r="M754" t="s">
        <v>44</v>
      </c>
      <c r="N754" t="s">
        <v>110</v>
      </c>
      <c r="O754" t="s">
        <v>94</v>
      </c>
      <c r="P754" t="s">
        <v>95</v>
      </c>
      <c r="Q754" t="s">
        <v>66</v>
      </c>
      <c r="R754" t="s">
        <v>67</v>
      </c>
      <c r="S754">
        <v>2</v>
      </c>
      <c r="T754" s="14">
        <v>65.7</v>
      </c>
      <c r="U754" s="7">
        <v>12</v>
      </c>
      <c r="V754" s="7">
        <v>22</v>
      </c>
      <c r="W754" s="14">
        <v>99.7</v>
      </c>
      <c r="X754" s="14">
        <v>219</v>
      </c>
      <c r="Y754" s="16">
        <v>0</v>
      </c>
      <c r="Z754" s="12">
        <v>438</v>
      </c>
      <c r="AA754" s="5">
        <v>238.6</v>
      </c>
      <c r="AB754" s="18">
        <v>54.47</v>
      </c>
      <c r="AC754" t="s">
        <v>104</v>
      </c>
      <c r="AD754" t="s">
        <v>86</v>
      </c>
      <c r="AE754" t="s">
        <v>126</v>
      </c>
      <c r="AF754">
        <v>4</v>
      </c>
      <c r="AG754" t="s">
        <v>53</v>
      </c>
    </row>
    <row r="755" spans="1:33">
      <c r="A755" t="s">
        <v>1670</v>
      </c>
      <c r="B755" s="10">
        <v>46013</v>
      </c>
      <c r="C755" s="3" t="s">
        <v>211</v>
      </c>
      <c r="D755" t="s">
        <v>206</v>
      </c>
      <c r="E755" t="s">
        <v>149</v>
      </c>
      <c r="F755" t="s">
        <v>37</v>
      </c>
      <c r="G755" t="s">
        <v>92</v>
      </c>
      <c r="H755" t="s">
        <v>58</v>
      </c>
      <c r="I755" t="s">
        <v>59</v>
      </c>
      <c r="J755" t="s">
        <v>60</v>
      </c>
      <c r="K755" t="s">
        <v>61</v>
      </c>
      <c r="L755" t="s">
        <v>1671</v>
      </c>
      <c r="M755" t="s">
        <v>80</v>
      </c>
      <c r="N755" t="s">
        <v>81</v>
      </c>
      <c r="O755" t="s">
        <v>168</v>
      </c>
      <c r="P755" t="s">
        <v>169</v>
      </c>
      <c r="Q755" t="s">
        <v>139</v>
      </c>
      <c r="R755" t="s">
        <v>67</v>
      </c>
      <c r="S755">
        <v>2</v>
      </c>
      <c r="T755" s="14">
        <v>47.7</v>
      </c>
      <c r="U755" s="7">
        <v>12</v>
      </c>
      <c r="V755" s="7">
        <v>22</v>
      </c>
      <c r="W755" s="14">
        <v>81.7</v>
      </c>
      <c r="X755" s="14">
        <v>159</v>
      </c>
      <c r="Y755" s="16">
        <v>0</v>
      </c>
      <c r="Z755" s="12">
        <v>318</v>
      </c>
      <c r="AA755" s="5">
        <v>154.6</v>
      </c>
      <c r="AB755" s="18">
        <v>48.62</v>
      </c>
      <c r="AC755" t="s">
        <v>111</v>
      </c>
      <c r="AD755" t="s">
        <v>86</v>
      </c>
      <c r="AE755" t="s">
        <v>52</v>
      </c>
      <c r="AF755">
        <v>4</v>
      </c>
      <c r="AG755" t="s">
        <v>53</v>
      </c>
    </row>
    <row r="756" spans="1:33">
      <c r="A756" t="s">
        <v>1672</v>
      </c>
      <c r="B756" s="10">
        <v>45955</v>
      </c>
      <c r="C756" s="3" t="s">
        <v>70</v>
      </c>
      <c r="D756" t="s">
        <v>71</v>
      </c>
      <c r="E756" t="s">
        <v>36</v>
      </c>
      <c r="F756" t="s">
        <v>37</v>
      </c>
      <c r="G756" t="s">
        <v>38</v>
      </c>
      <c r="H756" t="s">
        <v>75</v>
      </c>
      <c r="I756" t="s">
        <v>76</v>
      </c>
      <c r="J756" t="s">
        <v>77</v>
      </c>
      <c r="K756" t="s">
        <v>78</v>
      </c>
      <c r="L756" t="s">
        <v>1673</v>
      </c>
      <c r="M756" t="s">
        <v>80</v>
      </c>
      <c r="N756" t="s">
        <v>110</v>
      </c>
      <c r="O756" t="s">
        <v>137</v>
      </c>
      <c r="P756" t="s">
        <v>138</v>
      </c>
      <c r="Q756" t="s">
        <v>139</v>
      </c>
      <c r="R756" t="s">
        <v>84</v>
      </c>
      <c r="S756">
        <v>3</v>
      </c>
      <c r="T756" s="14">
        <v>71.64</v>
      </c>
      <c r="U756" s="7">
        <v>12</v>
      </c>
      <c r="V756" s="7">
        <v>22</v>
      </c>
      <c r="W756" s="14">
        <v>105.64</v>
      </c>
      <c r="X756" s="14">
        <v>238.8</v>
      </c>
      <c r="Y756" s="16">
        <v>10</v>
      </c>
      <c r="Z756" s="12">
        <v>644.76</v>
      </c>
      <c r="AA756" s="5">
        <v>327.84</v>
      </c>
      <c r="AB756" s="18">
        <v>50.85</v>
      </c>
      <c r="AC756" t="s">
        <v>50</v>
      </c>
      <c r="AD756" t="s">
        <v>51</v>
      </c>
      <c r="AE756" t="s">
        <v>105</v>
      </c>
      <c r="AF756">
        <v>4</v>
      </c>
      <c r="AG756" t="s">
        <v>53</v>
      </c>
    </row>
    <row r="757" spans="1:33">
      <c r="A757" t="s">
        <v>1674</v>
      </c>
      <c r="B757" s="10">
        <v>45861</v>
      </c>
      <c r="C757" s="3" t="s">
        <v>390</v>
      </c>
      <c r="D757" t="s">
        <v>129</v>
      </c>
      <c r="E757" t="s">
        <v>114</v>
      </c>
      <c r="F757" t="s">
        <v>73</v>
      </c>
      <c r="G757" t="s">
        <v>74</v>
      </c>
      <c r="H757" t="s">
        <v>142</v>
      </c>
      <c r="I757" t="s">
        <v>143</v>
      </c>
      <c r="J757" t="s">
        <v>144</v>
      </c>
      <c r="K757" t="s">
        <v>145</v>
      </c>
      <c r="L757" t="s">
        <v>1675</v>
      </c>
      <c r="M757" t="s">
        <v>80</v>
      </c>
      <c r="N757" t="s">
        <v>81</v>
      </c>
      <c r="O757" t="s">
        <v>162</v>
      </c>
      <c r="P757" t="s">
        <v>163</v>
      </c>
      <c r="Q757" t="s">
        <v>48</v>
      </c>
      <c r="R757" t="s">
        <v>67</v>
      </c>
      <c r="S757">
        <v>3</v>
      </c>
      <c r="T757" s="14">
        <v>74.7</v>
      </c>
      <c r="U757" s="7">
        <v>12</v>
      </c>
      <c r="V757" s="7">
        <v>22</v>
      </c>
      <c r="W757" s="14">
        <v>108.7</v>
      </c>
      <c r="X757" s="14">
        <v>249</v>
      </c>
      <c r="Y757" s="16">
        <v>0</v>
      </c>
      <c r="Z757" s="12">
        <v>747</v>
      </c>
      <c r="AA757" s="5">
        <v>420.9</v>
      </c>
      <c r="AB757" s="18">
        <v>56.35</v>
      </c>
      <c r="AC757" t="s">
        <v>104</v>
      </c>
      <c r="AD757" t="s">
        <v>86</v>
      </c>
      <c r="AE757" t="s">
        <v>126</v>
      </c>
      <c r="AF757">
        <v>4</v>
      </c>
      <c r="AG757" t="s">
        <v>53</v>
      </c>
    </row>
    <row r="758" spans="1:33">
      <c r="A758" t="s">
        <v>1676</v>
      </c>
      <c r="B758" s="10">
        <v>45856</v>
      </c>
      <c r="C758" s="3" t="s">
        <v>171</v>
      </c>
      <c r="D758" t="s">
        <v>35</v>
      </c>
      <c r="E758" t="s">
        <v>114</v>
      </c>
      <c r="F758" t="s">
        <v>73</v>
      </c>
      <c r="G758" t="s">
        <v>74</v>
      </c>
      <c r="H758" t="s">
        <v>39</v>
      </c>
      <c r="I758" t="s">
        <v>2143</v>
      </c>
      <c r="J758" t="s">
        <v>41</v>
      </c>
      <c r="K758" t="s">
        <v>42</v>
      </c>
      <c r="L758" t="s">
        <v>1677</v>
      </c>
      <c r="M758" t="s">
        <v>44</v>
      </c>
      <c r="N758" t="s">
        <v>45</v>
      </c>
      <c r="O758" t="s">
        <v>64</v>
      </c>
      <c r="P758" t="s">
        <v>65</v>
      </c>
      <c r="Q758" t="s">
        <v>66</v>
      </c>
      <c r="R758" t="s">
        <v>84</v>
      </c>
      <c r="S758">
        <v>3</v>
      </c>
      <c r="T758" s="14">
        <v>53.64</v>
      </c>
      <c r="U758" s="7">
        <v>12</v>
      </c>
      <c r="V758" s="7">
        <v>22</v>
      </c>
      <c r="W758" s="14">
        <v>87.64</v>
      </c>
      <c r="X758" s="14">
        <v>178.8</v>
      </c>
      <c r="Y758" s="16">
        <v>5</v>
      </c>
      <c r="Z758" s="12">
        <v>509.58</v>
      </c>
      <c r="AA758" s="5">
        <v>246.66</v>
      </c>
      <c r="AB758" s="18">
        <v>48.4</v>
      </c>
      <c r="AC758" t="s">
        <v>111</v>
      </c>
      <c r="AD758" t="s">
        <v>51</v>
      </c>
      <c r="AE758" t="s">
        <v>52</v>
      </c>
      <c r="AF758">
        <v>5</v>
      </c>
      <c r="AG758" t="s">
        <v>53</v>
      </c>
    </row>
    <row r="759" spans="1:33">
      <c r="A759" t="s">
        <v>1678</v>
      </c>
      <c r="B759" s="10">
        <v>45981</v>
      </c>
      <c r="C759" s="3" t="s">
        <v>128</v>
      </c>
      <c r="D759" t="s">
        <v>56</v>
      </c>
      <c r="E759" t="s">
        <v>57</v>
      </c>
      <c r="F759" t="s">
        <v>37</v>
      </c>
      <c r="G759" t="s">
        <v>38</v>
      </c>
      <c r="H759" t="s">
        <v>133</v>
      </c>
      <c r="I759" t="s">
        <v>134</v>
      </c>
      <c r="J759" t="s">
        <v>135</v>
      </c>
      <c r="K759" t="s">
        <v>42</v>
      </c>
      <c r="L759" t="s">
        <v>1679</v>
      </c>
      <c r="M759" t="s">
        <v>63</v>
      </c>
      <c r="N759" t="s">
        <v>81</v>
      </c>
      <c r="O759" t="s">
        <v>137</v>
      </c>
      <c r="P759" t="s">
        <v>138</v>
      </c>
      <c r="Q759" t="s">
        <v>139</v>
      </c>
      <c r="R759" t="s">
        <v>67</v>
      </c>
      <c r="S759">
        <v>3</v>
      </c>
      <c r="T759" s="14">
        <v>59.7</v>
      </c>
      <c r="U759" s="7">
        <v>12</v>
      </c>
      <c r="V759" s="7">
        <v>22</v>
      </c>
      <c r="W759" s="14">
        <v>93.7</v>
      </c>
      <c r="X759" s="14">
        <v>199</v>
      </c>
      <c r="Y759" s="16">
        <v>5</v>
      </c>
      <c r="Z759" s="12">
        <v>567.15</v>
      </c>
      <c r="AA759" s="5">
        <v>286.05</v>
      </c>
      <c r="AB759" s="18">
        <v>50.44</v>
      </c>
      <c r="AC759" t="s">
        <v>85</v>
      </c>
      <c r="AD759" t="s">
        <v>51</v>
      </c>
      <c r="AE759" t="s">
        <v>126</v>
      </c>
      <c r="AF759">
        <v>3</v>
      </c>
      <c r="AG759" t="s">
        <v>53</v>
      </c>
    </row>
    <row r="760" spans="1:33">
      <c r="A760" t="s">
        <v>1680</v>
      </c>
      <c r="B760" s="10">
        <v>45981</v>
      </c>
      <c r="C760" s="3" t="s">
        <v>307</v>
      </c>
      <c r="D760" t="s">
        <v>56</v>
      </c>
      <c r="E760" t="s">
        <v>57</v>
      </c>
      <c r="F760" t="s">
        <v>37</v>
      </c>
      <c r="G760" t="s">
        <v>38</v>
      </c>
      <c r="H760" t="s">
        <v>142</v>
      </c>
      <c r="I760" t="s">
        <v>143</v>
      </c>
      <c r="J760" t="s">
        <v>144</v>
      </c>
      <c r="K760" t="s">
        <v>145</v>
      </c>
      <c r="L760" t="s">
        <v>1681</v>
      </c>
      <c r="M760" t="s">
        <v>44</v>
      </c>
      <c r="N760" t="s">
        <v>110</v>
      </c>
      <c r="O760" t="s">
        <v>46</v>
      </c>
      <c r="P760" t="s">
        <v>47</v>
      </c>
      <c r="Q760" t="s">
        <v>48</v>
      </c>
      <c r="R760" t="s">
        <v>67</v>
      </c>
      <c r="S760">
        <v>1</v>
      </c>
      <c r="T760" s="14">
        <v>77.7</v>
      </c>
      <c r="U760" s="7">
        <v>12</v>
      </c>
      <c r="V760" s="7">
        <v>22</v>
      </c>
      <c r="W760" s="14">
        <v>111.7</v>
      </c>
      <c r="X760" s="14">
        <v>259</v>
      </c>
      <c r="Y760" s="16">
        <v>5</v>
      </c>
      <c r="Z760" s="12">
        <v>246.05</v>
      </c>
      <c r="AA760" s="5">
        <v>134.35</v>
      </c>
      <c r="AB760" s="18">
        <v>54.6</v>
      </c>
      <c r="AC760" t="s">
        <v>111</v>
      </c>
      <c r="AD760" t="s">
        <v>86</v>
      </c>
      <c r="AE760" t="s">
        <v>126</v>
      </c>
      <c r="AF760">
        <v>4</v>
      </c>
      <c r="AG760" t="s">
        <v>53</v>
      </c>
    </row>
    <row r="761" spans="1:33">
      <c r="A761" t="s">
        <v>1682</v>
      </c>
      <c r="B761" s="10">
        <v>45881</v>
      </c>
      <c r="C761" s="3" t="s">
        <v>194</v>
      </c>
      <c r="D761" t="s">
        <v>156</v>
      </c>
      <c r="E761" t="s">
        <v>99</v>
      </c>
      <c r="F761" t="s">
        <v>73</v>
      </c>
      <c r="G761" t="s">
        <v>74</v>
      </c>
      <c r="H761" t="s">
        <v>133</v>
      </c>
      <c r="I761" t="s">
        <v>134</v>
      </c>
      <c r="J761" t="s">
        <v>135</v>
      </c>
      <c r="K761" t="s">
        <v>42</v>
      </c>
      <c r="L761" t="s">
        <v>1683</v>
      </c>
      <c r="M761" t="s">
        <v>80</v>
      </c>
      <c r="N761" t="s">
        <v>45</v>
      </c>
      <c r="O761" t="s">
        <v>176</v>
      </c>
      <c r="P761" t="s">
        <v>177</v>
      </c>
      <c r="Q761" t="s">
        <v>66</v>
      </c>
      <c r="R761" t="s">
        <v>67</v>
      </c>
      <c r="S761">
        <v>1</v>
      </c>
      <c r="T761" s="14">
        <v>50.7</v>
      </c>
      <c r="U761" s="7">
        <v>12</v>
      </c>
      <c r="V761" s="7">
        <v>22</v>
      </c>
      <c r="W761" s="14">
        <v>84.7</v>
      </c>
      <c r="X761" s="14">
        <v>169</v>
      </c>
      <c r="Y761" s="16">
        <v>10</v>
      </c>
      <c r="Z761" s="12">
        <v>152.1</v>
      </c>
      <c r="AA761" s="5">
        <v>67.400000000000006</v>
      </c>
      <c r="AB761" s="18">
        <v>44.31</v>
      </c>
      <c r="AC761" t="s">
        <v>50</v>
      </c>
      <c r="AD761" t="s">
        <v>86</v>
      </c>
      <c r="AE761" t="s">
        <v>96</v>
      </c>
      <c r="AF761">
        <v>3</v>
      </c>
      <c r="AG761" t="s">
        <v>53</v>
      </c>
    </row>
    <row r="762" spans="1:33">
      <c r="A762" t="s">
        <v>1684</v>
      </c>
      <c r="B762" s="10">
        <v>45834</v>
      </c>
      <c r="C762" s="3" t="s">
        <v>98</v>
      </c>
      <c r="D762" t="s">
        <v>56</v>
      </c>
      <c r="E762" t="s">
        <v>174</v>
      </c>
      <c r="F762" t="s">
        <v>131</v>
      </c>
      <c r="G762" t="s">
        <v>132</v>
      </c>
      <c r="H762" t="s">
        <v>39</v>
      </c>
      <c r="I762" t="s">
        <v>2143</v>
      </c>
      <c r="J762" t="s">
        <v>41</v>
      </c>
      <c r="K762" t="s">
        <v>42</v>
      </c>
      <c r="L762" t="s">
        <v>1685</v>
      </c>
      <c r="M762" t="s">
        <v>80</v>
      </c>
      <c r="N762" t="s">
        <v>110</v>
      </c>
      <c r="O762" t="s">
        <v>46</v>
      </c>
      <c r="P762" t="s">
        <v>47</v>
      </c>
      <c r="Q762" t="s">
        <v>48</v>
      </c>
      <c r="R762" t="s">
        <v>49</v>
      </c>
      <c r="S762">
        <v>3</v>
      </c>
      <c r="T762" s="14">
        <v>108.78</v>
      </c>
      <c r="U762" s="7">
        <v>12</v>
      </c>
      <c r="V762" s="7">
        <v>22</v>
      </c>
      <c r="W762" s="14">
        <v>142.78</v>
      </c>
      <c r="X762" s="14">
        <v>362.6</v>
      </c>
      <c r="Y762" s="16">
        <v>0</v>
      </c>
      <c r="Z762" s="12">
        <v>1087.8</v>
      </c>
      <c r="AA762" s="5">
        <v>659.46</v>
      </c>
      <c r="AB762" s="18">
        <v>60.62</v>
      </c>
      <c r="AC762" t="s">
        <v>50</v>
      </c>
      <c r="AD762" t="s">
        <v>86</v>
      </c>
      <c r="AE762" t="s">
        <v>105</v>
      </c>
      <c r="AF762">
        <v>3</v>
      </c>
      <c r="AG762" t="s">
        <v>53</v>
      </c>
    </row>
    <row r="763" spans="1:33">
      <c r="A763" t="s">
        <v>1686</v>
      </c>
      <c r="B763" s="10">
        <v>46016</v>
      </c>
      <c r="C763" s="3" t="s">
        <v>194</v>
      </c>
      <c r="D763" t="s">
        <v>56</v>
      </c>
      <c r="E763" t="s">
        <v>149</v>
      </c>
      <c r="F763" t="s">
        <v>37</v>
      </c>
      <c r="G763" t="s">
        <v>92</v>
      </c>
      <c r="H763" t="s">
        <v>75</v>
      </c>
      <c r="I763" t="s">
        <v>76</v>
      </c>
      <c r="J763" t="s">
        <v>77</v>
      </c>
      <c r="K763" t="s">
        <v>78</v>
      </c>
      <c r="L763" t="s">
        <v>1687</v>
      </c>
      <c r="M763" t="s">
        <v>80</v>
      </c>
      <c r="N763" t="s">
        <v>81</v>
      </c>
      <c r="O763" t="s">
        <v>64</v>
      </c>
      <c r="P763" t="s">
        <v>65</v>
      </c>
      <c r="Q763" t="s">
        <v>66</v>
      </c>
      <c r="R763" t="s">
        <v>49</v>
      </c>
      <c r="S763">
        <v>3</v>
      </c>
      <c r="T763" s="14">
        <v>62.58</v>
      </c>
      <c r="U763" s="7">
        <v>12</v>
      </c>
      <c r="V763" s="7">
        <v>22</v>
      </c>
      <c r="W763" s="14">
        <v>96.58</v>
      </c>
      <c r="X763" s="14">
        <v>208.6</v>
      </c>
      <c r="Y763" s="16">
        <v>55</v>
      </c>
      <c r="Z763" s="12">
        <v>625.79999999999995</v>
      </c>
      <c r="AA763" s="5">
        <v>336.06</v>
      </c>
      <c r="AB763" s="18">
        <v>53.7</v>
      </c>
      <c r="AC763" t="s">
        <v>111</v>
      </c>
      <c r="AD763" t="s">
        <v>86</v>
      </c>
      <c r="AE763" t="s">
        <v>105</v>
      </c>
      <c r="AF763">
        <v>5</v>
      </c>
      <c r="AG763" t="s">
        <v>53</v>
      </c>
    </row>
    <row r="764" spans="1:33">
      <c r="A764" t="s">
        <v>1688</v>
      </c>
      <c r="B764" s="10">
        <v>45660</v>
      </c>
      <c r="C764" s="3" t="s">
        <v>113</v>
      </c>
      <c r="D764" t="s">
        <v>35</v>
      </c>
      <c r="E764" t="s">
        <v>152</v>
      </c>
      <c r="F764" t="s">
        <v>91</v>
      </c>
      <c r="G764" t="s">
        <v>92</v>
      </c>
      <c r="H764" t="s">
        <v>75</v>
      </c>
      <c r="I764" t="s">
        <v>76</v>
      </c>
      <c r="J764" t="s">
        <v>77</v>
      </c>
      <c r="K764" t="s">
        <v>78</v>
      </c>
      <c r="L764" t="s">
        <v>1689</v>
      </c>
      <c r="M764" t="s">
        <v>80</v>
      </c>
      <c r="N764" t="s">
        <v>81</v>
      </c>
      <c r="O764" t="s">
        <v>82</v>
      </c>
      <c r="P764" t="s">
        <v>83</v>
      </c>
      <c r="Q764" t="s">
        <v>66</v>
      </c>
      <c r="R764" t="s">
        <v>84</v>
      </c>
      <c r="S764">
        <v>3</v>
      </c>
      <c r="T764" s="14">
        <v>86.04</v>
      </c>
      <c r="U764" s="7">
        <v>12</v>
      </c>
      <c r="V764" s="7">
        <v>22</v>
      </c>
      <c r="W764" s="14">
        <v>120.04</v>
      </c>
      <c r="X764" s="14">
        <v>286.8</v>
      </c>
      <c r="Y764" s="16">
        <v>0</v>
      </c>
      <c r="Z764" s="12">
        <v>860.4</v>
      </c>
      <c r="AA764" s="5">
        <v>500.28</v>
      </c>
      <c r="AB764" s="18">
        <v>58.15</v>
      </c>
      <c r="AC764" t="s">
        <v>111</v>
      </c>
      <c r="AD764" t="s">
        <v>86</v>
      </c>
      <c r="AE764" t="s">
        <v>96</v>
      </c>
      <c r="AF764">
        <v>5</v>
      </c>
      <c r="AG764" t="s">
        <v>53</v>
      </c>
    </row>
    <row r="765" spans="1:33">
      <c r="A765" t="s">
        <v>1690</v>
      </c>
      <c r="B765" s="10">
        <v>45731</v>
      </c>
      <c r="C765" s="3" t="s">
        <v>155</v>
      </c>
      <c r="D765" t="s">
        <v>71</v>
      </c>
      <c r="E765" t="s">
        <v>108</v>
      </c>
      <c r="F765" t="s">
        <v>91</v>
      </c>
      <c r="G765" t="s">
        <v>38</v>
      </c>
      <c r="H765" t="s">
        <v>133</v>
      </c>
      <c r="I765" t="s">
        <v>134</v>
      </c>
      <c r="J765" t="s">
        <v>135</v>
      </c>
      <c r="K765" t="s">
        <v>42</v>
      </c>
      <c r="L765" t="s">
        <v>1691</v>
      </c>
      <c r="M765" t="s">
        <v>44</v>
      </c>
      <c r="N765" t="s">
        <v>81</v>
      </c>
      <c r="O765" t="s">
        <v>82</v>
      </c>
      <c r="P765" t="s">
        <v>83</v>
      </c>
      <c r="Q765" t="s">
        <v>66</v>
      </c>
      <c r="R765" t="s">
        <v>49</v>
      </c>
      <c r="S765">
        <v>3</v>
      </c>
      <c r="T765" s="14">
        <v>100.38</v>
      </c>
      <c r="U765" s="7">
        <v>12</v>
      </c>
      <c r="V765" s="7">
        <v>22</v>
      </c>
      <c r="W765" s="14">
        <v>134.38</v>
      </c>
      <c r="X765" s="14">
        <v>334.6</v>
      </c>
      <c r="Y765" s="16">
        <v>15</v>
      </c>
      <c r="Z765" s="12">
        <v>853.23</v>
      </c>
      <c r="AA765" s="5">
        <v>450.09</v>
      </c>
      <c r="AB765" s="18">
        <v>52.75</v>
      </c>
      <c r="AC765" t="s">
        <v>111</v>
      </c>
      <c r="AD765" t="s">
        <v>158</v>
      </c>
      <c r="AE765" t="s">
        <v>52</v>
      </c>
      <c r="AF765">
        <v>5</v>
      </c>
      <c r="AG765" t="s">
        <v>53</v>
      </c>
    </row>
    <row r="766" spans="1:33">
      <c r="A766" t="s">
        <v>1692</v>
      </c>
      <c r="B766" s="10">
        <v>45997</v>
      </c>
      <c r="C766" s="3" t="s">
        <v>182</v>
      </c>
      <c r="D766" t="s">
        <v>71</v>
      </c>
      <c r="E766" t="s">
        <v>149</v>
      </c>
      <c r="F766" t="s">
        <v>37</v>
      </c>
      <c r="G766" t="s">
        <v>92</v>
      </c>
      <c r="H766" t="s">
        <v>133</v>
      </c>
      <c r="I766" t="s">
        <v>134</v>
      </c>
      <c r="J766" t="s">
        <v>135</v>
      </c>
      <c r="K766" t="s">
        <v>42</v>
      </c>
      <c r="L766" t="s">
        <v>1693</v>
      </c>
      <c r="M766" t="s">
        <v>80</v>
      </c>
      <c r="N766" t="s">
        <v>81</v>
      </c>
      <c r="O766" t="s">
        <v>46</v>
      </c>
      <c r="P766" t="s">
        <v>47</v>
      </c>
      <c r="Q766" t="s">
        <v>48</v>
      </c>
      <c r="R766" t="s">
        <v>49</v>
      </c>
      <c r="S766">
        <v>2</v>
      </c>
      <c r="T766" s="14">
        <v>108.78</v>
      </c>
      <c r="U766" s="7">
        <v>12</v>
      </c>
      <c r="V766" s="7">
        <v>22</v>
      </c>
      <c r="W766" s="14">
        <v>142.78</v>
      </c>
      <c r="X766" s="14">
        <v>362.6</v>
      </c>
      <c r="Y766" s="16">
        <v>15</v>
      </c>
      <c r="Z766" s="12">
        <v>616.41999999999996</v>
      </c>
      <c r="AA766" s="5">
        <v>330.86</v>
      </c>
      <c r="AB766" s="18">
        <v>53.67</v>
      </c>
      <c r="AC766" t="s">
        <v>85</v>
      </c>
      <c r="AD766" t="s">
        <v>51</v>
      </c>
      <c r="AE766" t="s">
        <v>105</v>
      </c>
      <c r="AF766">
        <v>3</v>
      </c>
      <c r="AG766" t="s">
        <v>53</v>
      </c>
    </row>
    <row r="767" spans="1:33">
      <c r="A767" t="s">
        <v>1694</v>
      </c>
      <c r="B767" s="10">
        <v>45827</v>
      </c>
      <c r="C767" s="3" t="s">
        <v>219</v>
      </c>
      <c r="D767" t="s">
        <v>56</v>
      </c>
      <c r="E767" t="s">
        <v>174</v>
      </c>
      <c r="F767" t="s">
        <v>131</v>
      </c>
      <c r="G767" t="s">
        <v>132</v>
      </c>
      <c r="H767" t="s">
        <v>133</v>
      </c>
      <c r="I767" t="s">
        <v>134</v>
      </c>
      <c r="J767" t="s">
        <v>135</v>
      </c>
      <c r="K767" t="s">
        <v>42</v>
      </c>
      <c r="L767" t="s">
        <v>1695</v>
      </c>
      <c r="M767" t="s">
        <v>63</v>
      </c>
      <c r="N767" t="s">
        <v>110</v>
      </c>
      <c r="O767" t="s">
        <v>137</v>
      </c>
      <c r="P767" t="s">
        <v>138</v>
      </c>
      <c r="Q767" t="s">
        <v>139</v>
      </c>
      <c r="R767" t="s">
        <v>84</v>
      </c>
      <c r="S767">
        <v>1</v>
      </c>
      <c r="T767" s="14">
        <v>71.64</v>
      </c>
      <c r="U767" s="7">
        <v>12</v>
      </c>
      <c r="V767" s="7">
        <v>22</v>
      </c>
      <c r="W767" s="14">
        <v>105.64</v>
      </c>
      <c r="X767" s="14">
        <v>238.8</v>
      </c>
      <c r="Y767" s="16">
        <v>0</v>
      </c>
      <c r="Z767" s="12">
        <v>238.8</v>
      </c>
      <c r="AA767" s="5">
        <v>133.16</v>
      </c>
      <c r="AB767" s="18">
        <v>55.76</v>
      </c>
      <c r="AC767" t="s">
        <v>2145</v>
      </c>
      <c r="AD767" t="s">
        <v>86</v>
      </c>
      <c r="AE767" t="s">
        <v>96</v>
      </c>
      <c r="AF767">
        <v>5</v>
      </c>
      <c r="AG767" t="s">
        <v>53</v>
      </c>
    </row>
    <row r="768" spans="1:33">
      <c r="A768" t="s">
        <v>1696</v>
      </c>
      <c r="B768" s="10">
        <v>45865</v>
      </c>
      <c r="C768" s="3" t="s">
        <v>194</v>
      </c>
      <c r="D768" t="s">
        <v>89</v>
      </c>
      <c r="E768" t="s">
        <v>114</v>
      </c>
      <c r="F768" t="s">
        <v>73</v>
      </c>
      <c r="G768" t="s">
        <v>74</v>
      </c>
      <c r="H768" t="s">
        <v>133</v>
      </c>
      <c r="I768" t="s">
        <v>134</v>
      </c>
      <c r="J768" t="s">
        <v>135</v>
      </c>
      <c r="K768" t="s">
        <v>42</v>
      </c>
      <c r="L768" t="s">
        <v>1697</v>
      </c>
      <c r="M768" t="s">
        <v>80</v>
      </c>
      <c r="N768" t="s">
        <v>110</v>
      </c>
      <c r="O768" t="s">
        <v>452</v>
      </c>
      <c r="P768" t="s">
        <v>453</v>
      </c>
      <c r="Q768" t="s">
        <v>215</v>
      </c>
      <c r="R768" t="s">
        <v>49</v>
      </c>
      <c r="S768">
        <v>2</v>
      </c>
      <c r="T768" s="14">
        <v>138.18</v>
      </c>
      <c r="U768" s="7">
        <v>12</v>
      </c>
      <c r="V768" s="7">
        <v>22</v>
      </c>
      <c r="W768" s="14">
        <v>172.18</v>
      </c>
      <c r="X768" s="14">
        <v>460.6</v>
      </c>
      <c r="Y768" s="16">
        <v>15</v>
      </c>
      <c r="Z768" s="12">
        <v>783.02</v>
      </c>
      <c r="AA768" s="5">
        <v>438.66</v>
      </c>
      <c r="AB768" s="18">
        <v>56.02</v>
      </c>
      <c r="AC768" t="s">
        <v>85</v>
      </c>
      <c r="AD768" t="s">
        <v>86</v>
      </c>
      <c r="AE768" t="s">
        <v>68</v>
      </c>
      <c r="AF768">
        <v>4</v>
      </c>
      <c r="AG768" t="s">
        <v>53</v>
      </c>
    </row>
    <row r="769" spans="1:33">
      <c r="A769" t="s">
        <v>1698</v>
      </c>
      <c r="B769" s="10">
        <v>45949</v>
      </c>
      <c r="C769" s="3" t="s">
        <v>179</v>
      </c>
      <c r="D769" t="s">
        <v>89</v>
      </c>
      <c r="E769" t="s">
        <v>36</v>
      </c>
      <c r="F769" t="s">
        <v>37</v>
      </c>
      <c r="G769" t="s">
        <v>38</v>
      </c>
      <c r="H769" t="s">
        <v>75</v>
      </c>
      <c r="I769" t="s">
        <v>76</v>
      </c>
      <c r="J769" t="s">
        <v>77</v>
      </c>
      <c r="K769" t="s">
        <v>78</v>
      </c>
      <c r="L769" t="s">
        <v>1699</v>
      </c>
      <c r="M769" t="s">
        <v>44</v>
      </c>
      <c r="N769" t="s">
        <v>45</v>
      </c>
      <c r="O769" t="s">
        <v>213</v>
      </c>
      <c r="P769" t="s">
        <v>214</v>
      </c>
      <c r="Q769" t="s">
        <v>215</v>
      </c>
      <c r="R769" t="s">
        <v>49</v>
      </c>
      <c r="S769">
        <v>2</v>
      </c>
      <c r="T769" s="14">
        <v>125.58</v>
      </c>
      <c r="U769" s="7">
        <v>12</v>
      </c>
      <c r="V769" s="7">
        <v>22</v>
      </c>
      <c r="W769" s="14">
        <v>159.58000000000001</v>
      </c>
      <c r="X769" s="14">
        <v>418.6</v>
      </c>
      <c r="Y769" s="16">
        <v>15</v>
      </c>
      <c r="Z769" s="12">
        <v>711.62</v>
      </c>
      <c r="AA769" s="5">
        <v>392.46</v>
      </c>
      <c r="AB769" s="18">
        <v>55.15</v>
      </c>
      <c r="AC769" t="s">
        <v>104</v>
      </c>
      <c r="AD769" t="s">
        <v>86</v>
      </c>
      <c r="AE769" t="s">
        <v>52</v>
      </c>
      <c r="AF769">
        <v>4</v>
      </c>
      <c r="AG769" t="s">
        <v>53</v>
      </c>
    </row>
    <row r="770" spans="1:33">
      <c r="A770" t="s">
        <v>1700</v>
      </c>
      <c r="B770" s="10">
        <v>45810</v>
      </c>
      <c r="C770" s="3" t="s">
        <v>194</v>
      </c>
      <c r="D770" t="s">
        <v>206</v>
      </c>
      <c r="E770" t="s">
        <v>174</v>
      </c>
      <c r="F770" t="s">
        <v>131</v>
      </c>
      <c r="G770" t="s">
        <v>132</v>
      </c>
      <c r="H770" t="s">
        <v>142</v>
      </c>
      <c r="I770" t="s">
        <v>143</v>
      </c>
      <c r="J770" t="s">
        <v>144</v>
      </c>
      <c r="K770" t="s">
        <v>145</v>
      </c>
      <c r="L770" t="s">
        <v>1701</v>
      </c>
      <c r="M770" t="s">
        <v>63</v>
      </c>
      <c r="N770" t="s">
        <v>110</v>
      </c>
      <c r="O770" t="s">
        <v>82</v>
      </c>
      <c r="P770" t="s">
        <v>83</v>
      </c>
      <c r="Q770" t="s">
        <v>66</v>
      </c>
      <c r="R770" t="s">
        <v>67</v>
      </c>
      <c r="S770">
        <v>2</v>
      </c>
      <c r="T770" s="14">
        <v>71.7</v>
      </c>
      <c r="U770" s="7">
        <v>12</v>
      </c>
      <c r="V770" s="7">
        <v>22</v>
      </c>
      <c r="W770" s="14">
        <v>105.7</v>
      </c>
      <c r="X770" s="14">
        <v>239</v>
      </c>
      <c r="Y770" s="16">
        <v>5</v>
      </c>
      <c r="Z770" s="12">
        <v>454.1</v>
      </c>
      <c r="AA770" s="5">
        <v>242.7</v>
      </c>
      <c r="AB770" s="18">
        <v>53.45</v>
      </c>
      <c r="AC770" t="s">
        <v>50</v>
      </c>
      <c r="AD770" t="s">
        <v>86</v>
      </c>
      <c r="AE770" t="s">
        <v>52</v>
      </c>
      <c r="AF770">
        <v>4</v>
      </c>
      <c r="AG770" t="s">
        <v>53</v>
      </c>
    </row>
    <row r="771" spans="1:33">
      <c r="A771" t="s">
        <v>1702</v>
      </c>
      <c r="B771" s="10">
        <v>45981</v>
      </c>
      <c r="C771" s="3" t="s">
        <v>219</v>
      </c>
      <c r="D771" t="s">
        <v>56</v>
      </c>
      <c r="E771" t="s">
        <v>57</v>
      </c>
      <c r="F771" t="s">
        <v>37</v>
      </c>
      <c r="G771" t="s">
        <v>38</v>
      </c>
      <c r="H771" t="s">
        <v>142</v>
      </c>
      <c r="I771" t="s">
        <v>143</v>
      </c>
      <c r="J771" t="s">
        <v>144</v>
      </c>
      <c r="K771" t="s">
        <v>145</v>
      </c>
      <c r="L771" t="s">
        <v>1703</v>
      </c>
      <c r="M771" t="s">
        <v>44</v>
      </c>
      <c r="N771" t="s">
        <v>110</v>
      </c>
      <c r="O771" t="s">
        <v>137</v>
      </c>
      <c r="P771" t="s">
        <v>138</v>
      </c>
      <c r="Q771" t="s">
        <v>139</v>
      </c>
      <c r="R771" t="s">
        <v>49</v>
      </c>
      <c r="S771">
        <v>1</v>
      </c>
      <c r="T771" s="14">
        <v>83.58</v>
      </c>
      <c r="U771" s="7">
        <v>12</v>
      </c>
      <c r="V771" s="7">
        <v>22</v>
      </c>
      <c r="W771" s="14">
        <v>117.58</v>
      </c>
      <c r="X771" s="14">
        <v>278.60000000000002</v>
      </c>
      <c r="Y771" s="16">
        <v>10</v>
      </c>
      <c r="Z771" s="12">
        <v>250.74</v>
      </c>
      <c r="AA771" s="5">
        <v>133.16</v>
      </c>
      <c r="AB771" s="18">
        <v>53.11</v>
      </c>
      <c r="AC771" t="s">
        <v>85</v>
      </c>
      <c r="AD771" t="s">
        <v>158</v>
      </c>
      <c r="AE771" t="s">
        <v>96</v>
      </c>
      <c r="AF771">
        <v>5</v>
      </c>
      <c r="AG771" t="s">
        <v>53</v>
      </c>
    </row>
    <row r="772" spans="1:33">
      <c r="A772" t="s">
        <v>1704</v>
      </c>
      <c r="B772" s="10">
        <v>45696</v>
      </c>
      <c r="C772" s="3" t="s">
        <v>107</v>
      </c>
      <c r="D772" t="s">
        <v>71</v>
      </c>
      <c r="E772" t="s">
        <v>90</v>
      </c>
      <c r="F772" t="s">
        <v>91</v>
      </c>
      <c r="G772" t="s">
        <v>92</v>
      </c>
      <c r="H772" t="s">
        <v>39</v>
      </c>
      <c r="I772" t="s">
        <v>2143</v>
      </c>
      <c r="J772" t="s">
        <v>41</v>
      </c>
      <c r="K772" t="s">
        <v>42</v>
      </c>
      <c r="L772" t="s">
        <v>1705</v>
      </c>
      <c r="M772" t="s">
        <v>63</v>
      </c>
      <c r="N772" t="s">
        <v>81</v>
      </c>
      <c r="O772" t="s">
        <v>213</v>
      </c>
      <c r="P772" t="s">
        <v>214</v>
      </c>
      <c r="Q772" t="s">
        <v>215</v>
      </c>
      <c r="R772" t="s">
        <v>67</v>
      </c>
      <c r="S772">
        <v>3</v>
      </c>
      <c r="T772" s="14">
        <v>89.7</v>
      </c>
      <c r="U772" s="7">
        <v>12</v>
      </c>
      <c r="V772" s="7">
        <v>22</v>
      </c>
      <c r="W772" s="14">
        <v>123.7</v>
      </c>
      <c r="X772" s="14">
        <v>299</v>
      </c>
      <c r="Y772" s="16">
        <v>15</v>
      </c>
      <c r="Z772" s="12">
        <v>762.45</v>
      </c>
      <c r="AA772" s="5">
        <v>391.35</v>
      </c>
      <c r="AB772" s="18">
        <v>51.33</v>
      </c>
      <c r="AC772" t="s">
        <v>104</v>
      </c>
      <c r="AD772" t="s">
        <v>51</v>
      </c>
      <c r="AE772" t="s">
        <v>96</v>
      </c>
      <c r="AF772">
        <v>4</v>
      </c>
      <c r="AG772" t="s">
        <v>53</v>
      </c>
    </row>
    <row r="773" spans="1:33">
      <c r="A773" t="s">
        <v>1706</v>
      </c>
      <c r="B773" s="10">
        <v>45999</v>
      </c>
      <c r="C773" s="3" t="s">
        <v>107</v>
      </c>
      <c r="D773" t="s">
        <v>206</v>
      </c>
      <c r="E773" t="s">
        <v>149</v>
      </c>
      <c r="F773" t="s">
        <v>37</v>
      </c>
      <c r="G773" t="s">
        <v>92</v>
      </c>
      <c r="H773" t="s">
        <v>75</v>
      </c>
      <c r="I773" t="s">
        <v>76</v>
      </c>
      <c r="J773" t="s">
        <v>77</v>
      </c>
      <c r="K773" t="s">
        <v>78</v>
      </c>
      <c r="L773" t="s">
        <v>1707</v>
      </c>
      <c r="M773" t="s">
        <v>63</v>
      </c>
      <c r="N773" t="s">
        <v>81</v>
      </c>
      <c r="O773" t="s">
        <v>176</v>
      </c>
      <c r="P773" t="s">
        <v>177</v>
      </c>
      <c r="Q773" t="s">
        <v>66</v>
      </c>
      <c r="R773" t="s">
        <v>84</v>
      </c>
      <c r="S773">
        <v>1</v>
      </c>
      <c r="T773" s="14">
        <v>60.84</v>
      </c>
      <c r="U773" s="7">
        <v>12</v>
      </c>
      <c r="V773" s="7">
        <v>22</v>
      </c>
      <c r="W773" s="14">
        <v>94.84</v>
      </c>
      <c r="X773" s="14">
        <v>202.8</v>
      </c>
      <c r="Y773" s="16">
        <v>0</v>
      </c>
      <c r="Z773" s="12">
        <v>202.8</v>
      </c>
      <c r="AA773" s="5">
        <v>107.96</v>
      </c>
      <c r="AB773" s="18">
        <v>53.23</v>
      </c>
      <c r="AC773" t="s">
        <v>104</v>
      </c>
      <c r="AD773" t="s">
        <v>51</v>
      </c>
      <c r="AE773" t="s">
        <v>52</v>
      </c>
      <c r="AF773">
        <v>5</v>
      </c>
      <c r="AG773" t="s">
        <v>53</v>
      </c>
    </row>
    <row r="774" spans="1:33">
      <c r="A774" t="s">
        <v>1708</v>
      </c>
      <c r="B774" s="10">
        <v>45978</v>
      </c>
      <c r="C774" s="3" t="s">
        <v>307</v>
      </c>
      <c r="D774" t="s">
        <v>206</v>
      </c>
      <c r="E774" t="s">
        <v>57</v>
      </c>
      <c r="F774" t="s">
        <v>37</v>
      </c>
      <c r="G774" t="s">
        <v>38</v>
      </c>
      <c r="H774" t="s">
        <v>39</v>
      </c>
      <c r="I774" t="s">
        <v>2143</v>
      </c>
      <c r="J774" t="s">
        <v>41</v>
      </c>
      <c r="K774" t="s">
        <v>42</v>
      </c>
      <c r="L774" t="s">
        <v>1709</v>
      </c>
      <c r="M774" t="s">
        <v>44</v>
      </c>
      <c r="N774" t="s">
        <v>45</v>
      </c>
      <c r="O774" t="s">
        <v>46</v>
      </c>
      <c r="P774" t="s">
        <v>47</v>
      </c>
      <c r="Q774" t="s">
        <v>48</v>
      </c>
      <c r="R774" t="s">
        <v>84</v>
      </c>
      <c r="S774">
        <v>2</v>
      </c>
      <c r="T774" s="14">
        <v>93.24</v>
      </c>
      <c r="U774" s="7">
        <v>12</v>
      </c>
      <c r="V774" s="7">
        <v>22</v>
      </c>
      <c r="W774" s="14">
        <v>127.24</v>
      </c>
      <c r="X774" s="14">
        <v>310.8</v>
      </c>
      <c r="Y774" s="16">
        <v>10</v>
      </c>
      <c r="Z774" s="12">
        <v>559.44000000000005</v>
      </c>
      <c r="AA774" s="5">
        <v>304.95999999999998</v>
      </c>
      <c r="AB774" s="18">
        <v>54.51</v>
      </c>
      <c r="AC774" t="s">
        <v>50</v>
      </c>
      <c r="AD774" t="s">
        <v>51</v>
      </c>
      <c r="AE774" t="s">
        <v>126</v>
      </c>
      <c r="AF774">
        <v>4</v>
      </c>
      <c r="AG774" t="s">
        <v>53</v>
      </c>
    </row>
    <row r="775" spans="1:33">
      <c r="A775" t="s">
        <v>1710</v>
      </c>
      <c r="B775" s="10">
        <v>45784</v>
      </c>
      <c r="C775" s="3" t="s">
        <v>219</v>
      </c>
      <c r="D775" t="s">
        <v>129</v>
      </c>
      <c r="E775" t="s">
        <v>130</v>
      </c>
      <c r="F775" t="s">
        <v>131</v>
      </c>
      <c r="G775" t="s">
        <v>132</v>
      </c>
      <c r="H775" t="s">
        <v>142</v>
      </c>
      <c r="I775" t="s">
        <v>143</v>
      </c>
      <c r="J775" t="s">
        <v>144</v>
      </c>
      <c r="K775" t="s">
        <v>145</v>
      </c>
      <c r="L775" t="s">
        <v>1711</v>
      </c>
      <c r="M775" t="s">
        <v>63</v>
      </c>
      <c r="N775" t="s">
        <v>110</v>
      </c>
      <c r="O775" t="s">
        <v>137</v>
      </c>
      <c r="P775" t="s">
        <v>138</v>
      </c>
      <c r="Q775" t="s">
        <v>139</v>
      </c>
      <c r="R775" t="s">
        <v>67</v>
      </c>
      <c r="S775">
        <v>3</v>
      </c>
      <c r="T775" s="14">
        <v>59.7</v>
      </c>
      <c r="U775" s="7">
        <v>12</v>
      </c>
      <c r="V775" s="7">
        <v>22</v>
      </c>
      <c r="W775" s="14">
        <v>93.7</v>
      </c>
      <c r="X775" s="14">
        <v>199</v>
      </c>
      <c r="Y775" s="16">
        <v>5</v>
      </c>
      <c r="Z775" s="12">
        <v>567.15</v>
      </c>
      <c r="AA775" s="5">
        <v>286.05</v>
      </c>
      <c r="AB775" s="18">
        <v>50.44</v>
      </c>
      <c r="AC775" t="s">
        <v>104</v>
      </c>
      <c r="AD775" t="s">
        <v>51</v>
      </c>
      <c r="AE775" t="s">
        <v>105</v>
      </c>
      <c r="AF775">
        <v>4</v>
      </c>
      <c r="AG775" t="s">
        <v>53</v>
      </c>
    </row>
    <row r="776" spans="1:33">
      <c r="A776" t="s">
        <v>1712</v>
      </c>
      <c r="B776" s="10">
        <v>45671</v>
      </c>
      <c r="C776" s="3" t="s">
        <v>185</v>
      </c>
      <c r="D776" t="s">
        <v>156</v>
      </c>
      <c r="E776" t="s">
        <v>152</v>
      </c>
      <c r="F776" t="s">
        <v>91</v>
      </c>
      <c r="G776" t="s">
        <v>92</v>
      </c>
      <c r="H776" t="s">
        <v>115</v>
      </c>
      <c r="I776" t="s">
        <v>116</v>
      </c>
      <c r="J776" t="s">
        <v>117</v>
      </c>
      <c r="K776" t="s">
        <v>61</v>
      </c>
      <c r="L776" t="s">
        <v>1713</v>
      </c>
      <c r="M776" t="s">
        <v>63</v>
      </c>
      <c r="N776" t="s">
        <v>110</v>
      </c>
      <c r="O776" t="s">
        <v>176</v>
      </c>
      <c r="P776" t="s">
        <v>177</v>
      </c>
      <c r="Q776" t="s">
        <v>66</v>
      </c>
      <c r="R776" t="s">
        <v>67</v>
      </c>
      <c r="S776">
        <v>1</v>
      </c>
      <c r="T776" s="14">
        <v>50.7</v>
      </c>
      <c r="U776" s="7">
        <v>12</v>
      </c>
      <c r="V776" s="7">
        <v>22</v>
      </c>
      <c r="W776" s="14">
        <v>84.7</v>
      </c>
      <c r="X776" s="14">
        <v>169</v>
      </c>
      <c r="Y776" s="16">
        <v>5</v>
      </c>
      <c r="Z776" s="12">
        <v>160.55000000000001</v>
      </c>
      <c r="AA776" s="5">
        <v>75.849999999999994</v>
      </c>
      <c r="AB776" s="18">
        <v>47.24</v>
      </c>
      <c r="AC776" t="s">
        <v>104</v>
      </c>
      <c r="AD776" t="s">
        <v>86</v>
      </c>
      <c r="AE776" t="s">
        <v>126</v>
      </c>
      <c r="AF776">
        <v>5</v>
      </c>
      <c r="AG776" t="s">
        <v>53</v>
      </c>
    </row>
    <row r="777" spans="1:33">
      <c r="A777" t="s">
        <v>1714</v>
      </c>
      <c r="B777" s="10">
        <v>45687</v>
      </c>
      <c r="C777" s="3" t="s">
        <v>307</v>
      </c>
      <c r="D777" t="s">
        <v>56</v>
      </c>
      <c r="E777" t="s">
        <v>152</v>
      </c>
      <c r="F777" t="s">
        <v>91</v>
      </c>
      <c r="G777" t="s">
        <v>92</v>
      </c>
      <c r="H777" t="s">
        <v>58</v>
      </c>
      <c r="I777" t="s">
        <v>59</v>
      </c>
      <c r="J777" t="s">
        <v>60</v>
      </c>
      <c r="K777" t="s">
        <v>61</v>
      </c>
      <c r="L777" t="s">
        <v>1715</v>
      </c>
      <c r="M777" t="s">
        <v>63</v>
      </c>
      <c r="N777" t="s">
        <v>110</v>
      </c>
      <c r="O777" t="s">
        <v>162</v>
      </c>
      <c r="P777" t="s">
        <v>163</v>
      </c>
      <c r="Q777" t="s">
        <v>48</v>
      </c>
      <c r="R777" t="s">
        <v>84</v>
      </c>
      <c r="S777">
        <v>1</v>
      </c>
      <c r="T777" s="14">
        <v>89.64</v>
      </c>
      <c r="U777" s="7">
        <v>12</v>
      </c>
      <c r="V777" s="7">
        <v>22</v>
      </c>
      <c r="W777" s="14">
        <v>123.64</v>
      </c>
      <c r="X777" s="14">
        <v>298.8</v>
      </c>
      <c r="Y777" s="16">
        <v>5</v>
      </c>
      <c r="Z777" s="12">
        <v>283.86</v>
      </c>
      <c r="AA777" s="5">
        <v>160.22</v>
      </c>
      <c r="AB777" s="18">
        <v>56.44</v>
      </c>
      <c r="AC777" t="s">
        <v>104</v>
      </c>
      <c r="AD777" t="s">
        <v>86</v>
      </c>
      <c r="AE777" t="s">
        <v>52</v>
      </c>
      <c r="AF777">
        <v>3</v>
      </c>
      <c r="AG777" t="s">
        <v>53</v>
      </c>
    </row>
    <row r="778" spans="1:33">
      <c r="A778" t="s">
        <v>1716</v>
      </c>
      <c r="B778" s="10">
        <v>45949</v>
      </c>
      <c r="C778" s="3" t="s">
        <v>182</v>
      </c>
      <c r="D778" t="s">
        <v>89</v>
      </c>
      <c r="E778" t="s">
        <v>36</v>
      </c>
      <c r="F778" t="s">
        <v>37</v>
      </c>
      <c r="G778" t="s">
        <v>38</v>
      </c>
      <c r="H778" t="s">
        <v>133</v>
      </c>
      <c r="I778" t="s">
        <v>134</v>
      </c>
      <c r="J778" t="s">
        <v>135</v>
      </c>
      <c r="K778" t="s">
        <v>42</v>
      </c>
      <c r="L778" t="s">
        <v>1717</v>
      </c>
      <c r="M778" t="s">
        <v>80</v>
      </c>
      <c r="N778" t="s">
        <v>45</v>
      </c>
      <c r="O778" t="s">
        <v>189</v>
      </c>
      <c r="P778" t="s">
        <v>190</v>
      </c>
      <c r="Q778" t="s">
        <v>48</v>
      </c>
      <c r="R778" t="s">
        <v>49</v>
      </c>
      <c r="S778">
        <v>4</v>
      </c>
      <c r="T778" s="14">
        <v>66.78</v>
      </c>
      <c r="U778" s="7">
        <v>12</v>
      </c>
      <c r="V778" s="7">
        <v>22</v>
      </c>
      <c r="W778" s="14">
        <v>100.78</v>
      </c>
      <c r="X778" s="14">
        <v>222.6</v>
      </c>
      <c r="Y778" s="16">
        <v>10</v>
      </c>
      <c r="Z778" s="12">
        <v>801.36</v>
      </c>
      <c r="AA778" s="5">
        <v>398.24</v>
      </c>
      <c r="AB778" s="18">
        <v>49.7</v>
      </c>
      <c r="AC778" t="s">
        <v>50</v>
      </c>
      <c r="AD778" t="s">
        <v>51</v>
      </c>
      <c r="AE778" t="s">
        <v>126</v>
      </c>
      <c r="AF778">
        <v>5</v>
      </c>
      <c r="AG778" t="s">
        <v>53</v>
      </c>
    </row>
    <row r="779" spans="1:33">
      <c r="A779" t="s">
        <v>1718</v>
      </c>
      <c r="B779" s="10">
        <v>45732</v>
      </c>
      <c r="C779" s="3" t="s">
        <v>390</v>
      </c>
      <c r="D779" t="s">
        <v>89</v>
      </c>
      <c r="E779" t="s">
        <v>108</v>
      </c>
      <c r="F779" t="s">
        <v>91</v>
      </c>
      <c r="G779" t="s">
        <v>38</v>
      </c>
      <c r="H779" t="s">
        <v>115</v>
      </c>
      <c r="I779" t="s">
        <v>116</v>
      </c>
      <c r="J779" t="s">
        <v>117</v>
      </c>
      <c r="K779" t="s">
        <v>61</v>
      </c>
      <c r="L779" t="s">
        <v>1719</v>
      </c>
      <c r="M779" t="s">
        <v>63</v>
      </c>
      <c r="N779" t="s">
        <v>45</v>
      </c>
      <c r="O779" t="s">
        <v>123</v>
      </c>
      <c r="P779" t="s">
        <v>124</v>
      </c>
      <c r="Q779" t="s">
        <v>125</v>
      </c>
      <c r="R779" t="s">
        <v>49</v>
      </c>
      <c r="S779">
        <v>3</v>
      </c>
      <c r="T779" s="14">
        <v>104.58</v>
      </c>
      <c r="U779" s="7">
        <v>12</v>
      </c>
      <c r="V779" s="7">
        <v>22</v>
      </c>
      <c r="W779" s="14">
        <v>138.58000000000001</v>
      </c>
      <c r="X779" s="14">
        <v>348.6</v>
      </c>
      <c r="Y779" s="16">
        <v>15</v>
      </c>
      <c r="Z779" s="12">
        <v>888.93</v>
      </c>
      <c r="AA779" s="5">
        <v>473.19</v>
      </c>
      <c r="AB779" s="18">
        <v>53.23</v>
      </c>
      <c r="AC779" t="s">
        <v>111</v>
      </c>
      <c r="AD779" t="s">
        <v>51</v>
      </c>
      <c r="AE779" t="s">
        <v>126</v>
      </c>
      <c r="AF779">
        <v>5</v>
      </c>
      <c r="AG779" t="s">
        <v>53</v>
      </c>
    </row>
    <row r="780" spans="1:33">
      <c r="A780" t="s">
        <v>1720</v>
      </c>
      <c r="B780" s="10">
        <v>45804</v>
      </c>
      <c r="C780" s="3" t="s">
        <v>113</v>
      </c>
      <c r="D780" t="s">
        <v>156</v>
      </c>
      <c r="E780" t="s">
        <v>130</v>
      </c>
      <c r="F780" t="s">
        <v>131</v>
      </c>
      <c r="G780" t="s">
        <v>132</v>
      </c>
      <c r="H780" t="s">
        <v>39</v>
      </c>
      <c r="I780" t="s">
        <v>2143</v>
      </c>
      <c r="J780" t="s">
        <v>41</v>
      </c>
      <c r="K780" t="s">
        <v>42</v>
      </c>
      <c r="L780" t="s">
        <v>1721</v>
      </c>
      <c r="M780" t="s">
        <v>80</v>
      </c>
      <c r="N780" t="s">
        <v>45</v>
      </c>
      <c r="O780" t="s">
        <v>94</v>
      </c>
      <c r="P780" t="s">
        <v>95</v>
      </c>
      <c r="Q780" t="s">
        <v>66</v>
      </c>
      <c r="R780" t="s">
        <v>49</v>
      </c>
      <c r="S780">
        <v>3</v>
      </c>
      <c r="T780" s="14">
        <v>91.98</v>
      </c>
      <c r="U780" s="7">
        <v>12</v>
      </c>
      <c r="V780" s="7">
        <v>22</v>
      </c>
      <c r="W780" s="14">
        <v>125.98</v>
      </c>
      <c r="X780" s="14">
        <v>306.60000000000002</v>
      </c>
      <c r="Y780" s="16">
        <v>0</v>
      </c>
      <c r="Z780" s="12">
        <v>919.8</v>
      </c>
      <c r="AA780" s="5">
        <v>541.86</v>
      </c>
      <c r="AB780" s="18">
        <v>58.91</v>
      </c>
      <c r="AC780" t="s">
        <v>111</v>
      </c>
      <c r="AD780" t="s">
        <v>86</v>
      </c>
      <c r="AE780" t="s">
        <v>105</v>
      </c>
      <c r="AF780">
        <v>5</v>
      </c>
      <c r="AG780" t="s">
        <v>53</v>
      </c>
    </row>
    <row r="781" spans="1:33">
      <c r="A781" t="s">
        <v>1722</v>
      </c>
      <c r="B781" s="10">
        <v>45845</v>
      </c>
      <c r="C781" s="3" t="s">
        <v>211</v>
      </c>
      <c r="D781" t="s">
        <v>206</v>
      </c>
      <c r="E781" t="s">
        <v>114</v>
      </c>
      <c r="F781" t="s">
        <v>73</v>
      </c>
      <c r="G781" t="s">
        <v>74</v>
      </c>
      <c r="H781" t="s">
        <v>39</v>
      </c>
      <c r="I781" t="s">
        <v>2143</v>
      </c>
      <c r="J781" t="s">
        <v>41</v>
      </c>
      <c r="K781" t="s">
        <v>42</v>
      </c>
      <c r="L781" t="s">
        <v>1723</v>
      </c>
      <c r="M781" t="s">
        <v>63</v>
      </c>
      <c r="N781" t="s">
        <v>81</v>
      </c>
      <c r="O781" t="s">
        <v>168</v>
      </c>
      <c r="P781" t="s">
        <v>169</v>
      </c>
      <c r="Q781" t="s">
        <v>139</v>
      </c>
      <c r="R781" t="s">
        <v>49</v>
      </c>
      <c r="S781">
        <v>3</v>
      </c>
      <c r="T781" s="14">
        <v>66.78</v>
      </c>
      <c r="U781" s="7">
        <v>12</v>
      </c>
      <c r="V781" s="7">
        <v>22</v>
      </c>
      <c r="W781" s="14">
        <v>100.78</v>
      </c>
      <c r="X781" s="14">
        <v>222.6</v>
      </c>
      <c r="Y781" s="16">
        <v>10</v>
      </c>
      <c r="Z781" s="12">
        <v>601.02</v>
      </c>
      <c r="AA781" s="5">
        <v>298.68</v>
      </c>
      <c r="AB781" s="18">
        <v>49.7</v>
      </c>
      <c r="AC781" t="s">
        <v>111</v>
      </c>
      <c r="AD781" t="s">
        <v>158</v>
      </c>
      <c r="AE781" t="s">
        <v>105</v>
      </c>
      <c r="AF781">
        <v>5</v>
      </c>
      <c r="AG781" t="s">
        <v>53</v>
      </c>
    </row>
    <row r="782" spans="1:33">
      <c r="A782" t="s">
        <v>1724</v>
      </c>
      <c r="B782" s="10">
        <v>45785</v>
      </c>
      <c r="C782" s="3" t="s">
        <v>107</v>
      </c>
      <c r="D782" t="s">
        <v>56</v>
      </c>
      <c r="E782" t="s">
        <v>130</v>
      </c>
      <c r="F782" t="s">
        <v>131</v>
      </c>
      <c r="G782" t="s">
        <v>132</v>
      </c>
      <c r="H782" t="s">
        <v>39</v>
      </c>
      <c r="I782" t="s">
        <v>2143</v>
      </c>
      <c r="J782" t="s">
        <v>41</v>
      </c>
      <c r="K782" t="s">
        <v>42</v>
      </c>
      <c r="L782" t="s">
        <v>1725</v>
      </c>
      <c r="M782" t="s">
        <v>80</v>
      </c>
      <c r="N782" t="s">
        <v>110</v>
      </c>
      <c r="O782" t="s">
        <v>64</v>
      </c>
      <c r="P782" t="s">
        <v>65</v>
      </c>
      <c r="Q782" t="s">
        <v>66</v>
      </c>
      <c r="R782" t="s">
        <v>49</v>
      </c>
      <c r="S782">
        <v>2</v>
      </c>
      <c r="T782" s="14">
        <v>62.58</v>
      </c>
      <c r="U782" s="7">
        <v>12</v>
      </c>
      <c r="V782" s="7">
        <v>22</v>
      </c>
      <c r="W782" s="14">
        <v>96.58</v>
      </c>
      <c r="X782" s="14">
        <v>208.6</v>
      </c>
      <c r="Y782" s="16">
        <v>5</v>
      </c>
      <c r="Z782" s="12">
        <v>396.34</v>
      </c>
      <c r="AA782" s="5">
        <v>203.18</v>
      </c>
      <c r="AB782" s="18">
        <v>51.26</v>
      </c>
      <c r="AC782" t="s">
        <v>104</v>
      </c>
      <c r="AD782" t="s">
        <v>51</v>
      </c>
      <c r="AE782" t="s">
        <v>105</v>
      </c>
      <c r="AF782">
        <v>5</v>
      </c>
      <c r="AG782" t="s">
        <v>53</v>
      </c>
    </row>
    <row r="783" spans="1:33">
      <c r="A783" t="s">
        <v>1726</v>
      </c>
      <c r="B783" s="10">
        <v>45689</v>
      </c>
      <c r="C783" s="3" t="s">
        <v>141</v>
      </c>
      <c r="D783" t="s">
        <v>71</v>
      </c>
      <c r="E783" t="s">
        <v>90</v>
      </c>
      <c r="F783" t="s">
        <v>91</v>
      </c>
      <c r="G783" t="s">
        <v>92</v>
      </c>
      <c r="H783" t="s">
        <v>142</v>
      </c>
      <c r="I783" t="s">
        <v>143</v>
      </c>
      <c r="J783" t="s">
        <v>144</v>
      </c>
      <c r="K783" t="s">
        <v>145</v>
      </c>
      <c r="L783" t="s">
        <v>1727</v>
      </c>
      <c r="M783" t="s">
        <v>44</v>
      </c>
      <c r="N783" t="s">
        <v>81</v>
      </c>
      <c r="O783" t="s">
        <v>137</v>
      </c>
      <c r="P783" t="s">
        <v>138</v>
      </c>
      <c r="Q783" t="s">
        <v>139</v>
      </c>
      <c r="R783" t="s">
        <v>49</v>
      </c>
      <c r="S783">
        <v>2</v>
      </c>
      <c r="T783" s="14">
        <v>83.58</v>
      </c>
      <c r="U783" s="7">
        <v>12</v>
      </c>
      <c r="V783" s="7">
        <v>22</v>
      </c>
      <c r="W783" s="14">
        <v>117.58</v>
      </c>
      <c r="X783" s="14">
        <v>278.60000000000002</v>
      </c>
      <c r="Y783" s="16">
        <v>15</v>
      </c>
      <c r="Z783" s="12">
        <v>473.62</v>
      </c>
      <c r="AA783" s="5">
        <v>238.46</v>
      </c>
      <c r="AB783" s="18">
        <v>50.35</v>
      </c>
      <c r="AC783" t="s">
        <v>111</v>
      </c>
      <c r="AD783" t="s">
        <v>86</v>
      </c>
      <c r="AE783" t="s">
        <v>126</v>
      </c>
      <c r="AF783">
        <v>4</v>
      </c>
      <c r="AG783" t="s">
        <v>53</v>
      </c>
    </row>
    <row r="784" spans="1:33">
      <c r="A784" t="s">
        <v>1728</v>
      </c>
      <c r="B784" s="10">
        <v>45973</v>
      </c>
      <c r="C784" s="3" t="s">
        <v>113</v>
      </c>
      <c r="D784" t="s">
        <v>129</v>
      </c>
      <c r="E784" t="s">
        <v>57</v>
      </c>
      <c r="F784" t="s">
        <v>37</v>
      </c>
      <c r="G784" t="s">
        <v>38</v>
      </c>
      <c r="H784" t="s">
        <v>115</v>
      </c>
      <c r="I784" t="s">
        <v>116</v>
      </c>
      <c r="J784" t="s">
        <v>117</v>
      </c>
      <c r="K784" t="s">
        <v>61</v>
      </c>
      <c r="L784" t="s">
        <v>1729</v>
      </c>
      <c r="M784" t="s">
        <v>80</v>
      </c>
      <c r="N784" t="s">
        <v>45</v>
      </c>
      <c r="O784" t="s">
        <v>176</v>
      </c>
      <c r="P784" t="s">
        <v>177</v>
      </c>
      <c r="Q784" t="s">
        <v>66</v>
      </c>
      <c r="R784" t="s">
        <v>67</v>
      </c>
      <c r="S784">
        <v>2</v>
      </c>
      <c r="T784" s="14">
        <v>50.7</v>
      </c>
      <c r="U784" s="7">
        <v>12</v>
      </c>
      <c r="V784" s="7">
        <v>22</v>
      </c>
      <c r="W784" s="14">
        <v>84.7</v>
      </c>
      <c r="X784" s="14">
        <v>169</v>
      </c>
      <c r="Y784" s="16">
        <v>0</v>
      </c>
      <c r="Z784" s="12">
        <v>338</v>
      </c>
      <c r="AA784" s="5">
        <v>168.6</v>
      </c>
      <c r="AB784" s="18">
        <v>49.88</v>
      </c>
      <c r="AC784" t="s">
        <v>104</v>
      </c>
      <c r="AD784" t="s">
        <v>86</v>
      </c>
      <c r="AE784" t="s">
        <v>52</v>
      </c>
      <c r="AF784">
        <v>4</v>
      </c>
      <c r="AG784" t="s">
        <v>53</v>
      </c>
    </row>
    <row r="785" spans="1:33">
      <c r="A785" t="s">
        <v>1730</v>
      </c>
      <c r="B785" s="10">
        <v>45905</v>
      </c>
      <c r="C785" s="3" t="s">
        <v>171</v>
      </c>
      <c r="D785" t="s">
        <v>35</v>
      </c>
      <c r="E785" t="s">
        <v>72</v>
      </c>
      <c r="F785" t="s">
        <v>73</v>
      </c>
      <c r="G785" t="s">
        <v>74</v>
      </c>
      <c r="H785" t="s">
        <v>115</v>
      </c>
      <c r="I785" t="s">
        <v>116</v>
      </c>
      <c r="J785" t="s">
        <v>117</v>
      </c>
      <c r="K785" t="s">
        <v>61</v>
      </c>
      <c r="L785" t="s">
        <v>1731</v>
      </c>
      <c r="M785" t="s">
        <v>63</v>
      </c>
      <c r="N785" t="s">
        <v>45</v>
      </c>
      <c r="O785" t="s">
        <v>82</v>
      </c>
      <c r="P785" t="s">
        <v>83</v>
      </c>
      <c r="Q785" t="s">
        <v>66</v>
      </c>
      <c r="R785" t="s">
        <v>67</v>
      </c>
      <c r="S785">
        <v>1</v>
      </c>
      <c r="T785" s="14">
        <v>71.7</v>
      </c>
      <c r="U785" s="7">
        <v>12</v>
      </c>
      <c r="V785" s="7">
        <v>22</v>
      </c>
      <c r="W785" s="14">
        <v>105.7</v>
      </c>
      <c r="X785" s="14">
        <v>239</v>
      </c>
      <c r="Y785" s="16">
        <v>0</v>
      </c>
      <c r="Z785" s="12">
        <v>239</v>
      </c>
      <c r="AA785" s="5">
        <v>133.30000000000001</v>
      </c>
      <c r="AB785" s="18">
        <v>55.77</v>
      </c>
      <c r="AC785" t="s">
        <v>85</v>
      </c>
      <c r="AD785" t="s">
        <v>51</v>
      </c>
      <c r="AE785" t="s">
        <v>68</v>
      </c>
      <c r="AF785">
        <v>5</v>
      </c>
      <c r="AG785" t="s">
        <v>53</v>
      </c>
    </row>
    <row r="786" spans="1:33">
      <c r="A786" t="s">
        <v>1732</v>
      </c>
      <c r="B786" s="10">
        <v>45968</v>
      </c>
      <c r="C786" s="3" t="s">
        <v>307</v>
      </c>
      <c r="D786" t="s">
        <v>35</v>
      </c>
      <c r="E786" t="s">
        <v>57</v>
      </c>
      <c r="F786" t="s">
        <v>37</v>
      </c>
      <c r="G786" t="s">
        <v>38</v>
      </c>
      <c r="H786" t="s">
        <v>133</v>
      </c>
      <c r="I786" t="s">
        <v>134</v>
      </c>
      <c r="J786" t="s">
        <v>135</v>
      </c>
      <c r="K786" t="s">
        <v>42</v>
      </c>
      <c r="L786" t="s">
        <v>1733</v>
      </c>
      <c r="M786" t="s">
        <v>80</v>
      </c>
      <c r="N786" t="s">
        <v>45</v>
      </c>
      <c r="O786" t="s">
        <v>162</v>
      </c>
      <c r="P786" t="s">
        <v>163</v>
      </c>
      <c r="Q786" t="s">
        <v>48</v>
      </c>
      <c r="R786" t="s">
        <v>84</v>
      </c>
      <c r="S786">
        <v>2</v>
      </c>
      <c r="T786" s="14">
        <v>89.64</v>
      </c>
      <c r="U786" s="7">
        <v>12</v>
      </c>
      <c r="V786" s="7">
        <v>22</v>
      </c>
      <c r="W786" s="14">
        <v>123.64</v>
      </c>
      <c r="X786" s="14">
        <v>298.8</v>
      </c>
      <c r="Y786" s="16">
        <v>0</v>
      </c>
      <c r="Z786" s="12">
        <v>597.6</v>
      </c>
      <c r="AA786" s="5">
        <v>350.32</v>
      </c>
      <c r="AB786" s="18">
        <v>58.62</v>
      </c>
      <c r="AC786" t="s">
        <v>104</v>
      </c>
      <c r="AD786" t="s">
        <v>51</v>
      </c>
      <c r="AE786" t="s">
        <v>52</v>
      </c>
      <c r="AF786">
        <v>4</v>
      </c>
      <c r="AG786" t="s">
        <v>53</v>
      </c>
    </row>
    <row r="787" spans="1:33">
      <c r="A787" t="s">
        <v>1734</v>
      </c>
      <c r="B787" s="10">
        <v>45672</v>
      </c>
      <c r="C787" s="3" t="s">
        <v>185</v>
      </c>
      <c r="D787" t="s">
        <v>129</v>
      </c>
      <c r="E787" t="s">
        <v>152</v>
      </c>
      <c r="F787" t="s">
        <v>91</v>
      </c>
      <c r="G787" t="s">
        <v>92</v>
      </c>
      <c r="H787" t="s">
        <v>58</v>
      </c>
      <c r="I787" t="s">
        <v>59</v>
      </c>
      <c r="J787" t="s">
        <v>60</v>
      </c>
      <c r="K787" t="s">
        <v>61</v>
      </c>
      <c r="L787" t="s">
        <v>1735</v>
      </c>
      <c r="M787" t="s">
        <v>80</v>
      </c>
      <c r="N787" t="s">
        <v>110</v>
      </c>
      <c r="O787" t="s">
        <v>119</v>
      </c>
      <c r="P787" t="s">
        <v>120</v>
      </c>
      <c r="Q787" t="s">
        <v>103</v>
      </c>
      <c r="R787" t="s">
        <v>67</v>
      </c>
      <c r="S787">
        <v>2</v>
      </c>
      <c r="T787" s="14">
        <v>38.700000000000003</v>
      </c>
      <c r="U787" s="7">
        <v>12</v>
      </c>
      <c r="V787" s="7">
        <v>22</v>
      </c>
      <c r="W787" s="14">
        <v>72.7</v>
      </c>
      <c r="X787" s="14">
        <v>129</v>
      </c>
      <c r="Y787" s="16">
        <v>10</v>
      </c>
      <c r="Z787" s="12">
        <v>232.2</v>
      </c>
      <c r="AA787" s="5">
        <v>86.8</v>
      </c>
      <c r="AB787" s="18">
        <v>37.380000000000003</v>
      </c>
      <c r="AC787" t="s">
        <v>85</v>
      </c>
      <c r="AD787" t="s">
        <v>86</v>
      </c>
      <c r="AE787" t="s">
        <v>126</v>
      </c>
      <c r="AF787">
        <v>5</v>
      </c>
      <c r="AG787" t="s">
        <v>53</v>
      </c>
    </row>
    <row r="788" spans="1:33">
      <c r="A788" t="s">
        <v>1736</v>
      </c>
      <c r="B788" s="10">
        <v>45857</v>
      </c>
      <c r="C788" s="3" t="s">
        <v>219</v>
      </c>
      <c r="D788" t="s">
        <v>71</v>
      </c>
      <c r="E788" t="s">
        <v>114</v>
      </c>
      <c r="F788" t="s">
        <v>73</v>
      </c>
      <c r="G788" t="s">
        <v>74</v>
      </c>
      <c r="H788" t="s">
        <v>142</v>
      </c>
      <c r="I788" t="s">
        <v>143</v>
      </c>
      <c r="J788" t="s">
        <v>144</v>
      </c>
      <c r="K788" t="s">
        <v>145</v>
      </c>
      <c r="L788" t="s">
        <v>1737</v>
      </c>
      <c r="M788" t="s">
        <v>63</v>
      </c>
      <c r="N788" t="s">
        <v>81</v>
      </c>
      <c r="O788" t="s">
        <v>176</v>
      </c>
      <c r="P788" t="s">
        <v>177</v>
      </c>
      <c r="Q788" t="s">
        <v>66</v>
      </c>
      <c r="R788" t="s">
        <v>84</v>
      </c>
      <c r="S788">
        <v>2</v>
      </c>
      <c r="T788" s="14">
        <v>60.84</v>
      </c>
      <c r="U788" s="7">
        <v>12</v>
      </c>
      <c r="V788" s="7">
        <v>22</v>
      </c>
      <c r="W788" s="14">
        <v>94.84</v>
      </c>
      <c r="X788" s="14">
        <v>202.8</v>
      </c>
      <c r="Y788" s="16">
        <v>15</v>
      </c>
      <c r="Z788" s="12">
        <v>344.76</v>
      </c>
      <c r="AA788" s="5">
        <v>155.08000000000001</v>
      </c>
      <c r="AB788" s="18">
        <v>44.98</v>
      </c>
      <c r="AC788" t="s">
        <v>85</v>
      </c>
      <c r="AD788" t="s">
        <v>86</v>
      </c>
      <c r="AE788" t="s">
        <v>105</v>
      </c>
      <c r="AF788">
        <v>5</v>
      </c>
      <c r="AG788" t="s">
        <v>53</v>
      </c>
    </row>
    <row r="789" spans="1:33">
      <c r="A789" t="s">
        <v>1738</v>
      </c>
      <c r="B789" s="10">
        <v>45814</v>
      </c>
      <c r="C789" s="3" t="s">
        <v>113</v>
      </c>
      <c r="D789" t="s">
        <v>35</v>
      </c>
      <c r="E789" t="s">
        <v>174</v>
      </c>
      <c r="F789" t="s">
        <v>131</v>
      </c>
      <c r="G789" t="s">
        <v>132</v>
      </c>
      <c r="H789" t="s">
        <v>58</v>
      </c>
      <c r="I789" t="s">
        <v>59</v>
      </c>
      <c r="J789" t="s">
        <v>60</v>
      </c>
      <c r="K789" t="s">
        <v>61</v>
      </c>
      <c r="L789" t="s">
        <v>1739</v>
      </c>
      <c r="M789" t="s">
        <v>80</v>
      </c>
      <c r="N789" t="s">
        <v>45</v>
      </c>
      <c r="O789" t="s">
        <v>176</v>
      </c>
      <c r="P789" t="s">
        <v>177</v>
      </c>
      <c r="Q789" t="s">
        <v>66</v>
      </c>
      <c r="R789" t="s">
        <v>67</v>
      </c>
      <c r="S789">
        <v>2</v>
      </c>
      <c r="T789" s="14">
        <v>50.7</v>
      </c>
      <c r="U789" s="7">
        <v>12</v>
      </c>
      <c r="V789" s="7">
        <v>22</v>
      </c>
      <c r="W789" s="14">
        <v>84.7</v>
      </c>
      <c r="X789" s="14">
        <v>169</v>
      </c>
      <c r="Y789" s="16">
        <v>0</v>
      </c>
      <c r="Z789" s="12">
        <v>338</v>
      </c>
      <c r="AA789" s="5">
        <v>168.6</v>
      </c>
      <c r="AB789" s="18">
        <v>49.88</v>
      </c>
      <c r="AC789" t="s">
        <v>111</v>
      </c>
      <c r="AD789" t="s">
        <v>86</v>
      </c>
      <c r="AE789" t="s">
        <v>52</v>
      </c>
      <c r="AF789" t="s">
        <v>2124</v>
      </c>
      <c r="AG789" t="s">
        <v>53</v>
      </c>
    </row>
    <row r="790" spans="1:33">
      <c r="A790" t="s">
        <v>1740</v>
      </c>
      <c r="B790" s="10">
        <v>45952</v>
      </c>
      <c r="C790" s="3" t="s">
        <v>98</v>
      </c>
      <c r="D790" t="s">
        <v>129</v>
      </c>
      <c r="E790" t="s">
        <v>36</v>
      </c>
      <c r="F790" t="s">
        <v>37</v>
      </c>
      <c r="G790" t="s">
        <v>38</v>
      </c>
      <c r="H790" t="s">
        <v>75</v>
      </c>
      <c r="I790" t="s">
        <v>76</v>
      </c>
      <c r="J790" t="s">
        <v>77</v>
      </c>
      <c r="K790" t="s">
        <v>78</v>
      </c>
      <c r="L790" t="s">
        <v>1741</v>
      </c>
      <c r="M790" t="s">
        <v>44</v>
      </c>
      <c r="N790" t="s">
        <v>45</v>
      </c>
      <c r="O790" t="s">
        <v>94</v>
      </c>
      <c r="P790" t="s">
        <v>95</v>
      </c>
      <c r="Q790" t="s">
        <v>66</v>
      </c>
      <c r="R790" t="s">
        <v>67</v>
      </c>
      <c r="S790">
        <v>2</v>
      </c>
      <c r="T790" s="14">
        <v>65.7</v>
      </c>
      <c r="U790" s="7">
        <v>12</v>
      </c>
      <c r="V790" s="7">
        <v>22</v>
      </c>
      <c r="W790" s="14">
        <v>99.7</v>
      </c>
      <c r="X790" s="14">
        <v>219</v>
      </c>
      <c r="Y790" s="16">
        <v>0</v>
      </c>
      <c r="Z790" s="12">
        <v>438</v>
      </c>
      <c r="AA790" s="5">
        <v>238.6</v>
      </c>
      <c r="AB790" s="18">
        <v>54.47</v>
      </c>
      <c r="AC790" t="s">
        <v>104</v>
      </c>
      <c r="AD790" t="s">
        <v>86</v>
      </c>
      <c r="AE790" t="s">
        <v>96</v>
      </c>
      <c r="AF790">
        <v>5</v>
      </c>
      <c r="AG790" t="s">
        <v>53</v>
      </c>
    </row>
    <row r="791" spans="1:33">
      <c r="A791" t="s">
        <v>1742</v>
      </c>
      <c r="B791" s="10">
        <v>45993</v>
      </c>
      <c r="C791" s="3" t="s">
        <v>185</v>
      </c>
      <c r="D791" t="s">
        <v>156</v>
      </c>
      <c r="E791" t="s">
        <v>149</v>
      </c>
      <c r="F791" t="s">
        <v>37</v>
      </c>
      <c r="G791" t="s">
        <v>92</v>
      </c>
      <c r="H791" t="s">
        <v>39</v>
      </c>
      <c r="I791" t="s">
        <v>2143</v>
      </c>
      <c r="J791" t="s">
        <v>41</v>
      </c>
      <c r="K791" t="s">
        <v>42</v>
      </c>
      <c r="L791" t="s">
        <v>1743</v>
      </c>
      <c r="M791" t="s">
        <v>44</v>
      </c>
      <c r="N791" t="s">
        <v>45</v>
      </c>
      <c r="O791" t="s">
        <v>64</v>
      </c>
      <c r="P791" t="s">
        <v>65</v>
      </c>
      <c r="Q791" t="s">
        <v>66</v>
      </c>
      <c r="R791" t="s">
        <v>84</v>
      </c>
      <c r="S791">
        <v>2</v>
      </c>
      <c r="T791" s="14">
        <v>53.64</v>
      </c>
      <c r="U791" s="7">
        <v>12</v>
      </c>
      <c r="V791" s="7">
        <v>22</v>
      </c>
      <c r="W791" s="14">
        <v>87.64</v>
      </c>
      <c r="X791" s="14">
        <v>178.8</v>
      </c>
      <c r="Y791" s="16">
        <v>0</v>
      </c>
      <c r="Z791" s="12">
        <v>357.6</v>
      </c>
      <c r="AA791" s="5">
        <v>182.32</v>
      </c>
      <c r="AB791" s="18">
        <v>50.98</v>
      </c>
      <c r="AC791" t="s">
        <v>111</v>
      </c>
      <c r="AD791" t="s">
        <v>51</v>
      </c>
      <c r="AE791" t="s">
        <v>96</v>
      </c>
      <c r="AF791">
        <v>5</v>
      </c>
      <c r="AG791" t="s">
        <v>53</v>
      </c>
    </row>
    <row r="792" spans="1:33">
      <c r="A792" t="s">
        <v>1744</v>
      </c>
      <c r="B792" s="10">
        <v>45851</v>
      </c>
      <c r="C792" s="3" t="s">
        <v>148</v>
      </c>
      <c r="D792" t="s">
        <v>89</v>
      </c>
      <c r="E792" t="s">
        <v>114</v>
      </c>
      <c r="F792" t="s">
        <v>73</v>
      </c>
      <c r="G792" t="s">
        <v>74</v>
      </c>
      <c r="H792" t="s">
        <v>58</v>
      </c>
      <c r="I792" t="s">
        <v>59</v>
      </c>
      <c r="J792" t="s">
        <v>60</v>
      </c>
      <c r="K792" t="s">
        <v>61</v>
      </c>
      <c r="L792" t="s">
        <v>1745</v>
      </c>
      <c r="M792" t="s">
        <v>80</v>
      </c>
      <c r="N792" t="s">
        <v>110</v>
      </c>
      <c r="O792" t="s">
        <v>119</v>
      </c>
      <c r="P792" t="s">
        <v>120</v>
      </c>
      <c r="Q792" t="s">
        <v>103</v>
      </c>
      <c r="R792" t="s">
        <v>49</v>
      </c>
      <c r="S792">
        <v>2</v>
      </c>
      <c r="T792" s="14">
        <v>54.18</v>
      </c>
      <c r="U792" s="7">
        <v>12</v>
      </c>
      <c r="V792" s="7">
        <v>22</v>
      </c>
      <c r="W792" s="14">
        <v>88.18</v>
      </c>
      <c r="X792" s="14">
        <v>180.6</v>
      </c>
      <c r="Y792" s="16">
        <v>15</v>
      </c>
      <c r="Z792" s="12">
        <v>307.02</v>
      </c>
      <c r="AA792" s="5">
        <v>130.66</v>
      </c>
      <c r="AB792" s="18">
        <v>42.56</v>
      </c>
      <c r="AC792" t="s">
        <v>85</v>
      </c>
      <c r="AD792" t="s">
        <v>86</v>
      </c>
      <c r="AE792" t="s">
        <v>52</v>
      </c>
      <c r="AF792">
        <v>5</v>
      </c>
      <c r="AG792" t="s">
        <v>53</v>
      </c>
    </row>
    <row r="793" spans="1:33">
      <c r="A793" t="s">
        <v>1746</v>
      </c>
      <c r="B793" s="10">
        <v>45919</v>
      </c>
      <c r="C793" s="3" t="s">
        <v>55</v>
      </c>
      <c r="D793" t="s">
        <v>35</v>
      </c>
      <c r="E793" t="s">
        <v>72</v>
      </c>
      <c r="F793" t="s">
        <v>73</v>
      </c>
      <c r="G793" t="s">
        <v>74</v>
      </c>
      <c r="H793" t="s">
        <v>58</v>
      </c>
      <c r="I793" t="s">
        <v>59</v>
      </c>
      <c r="J793" t="s">
        <v>60</v>
      </c>
      <c r="K793" t="s">
        <v>61</v>
      </c>
      <c r="L793" t="s">
        <v>1747</v>
      </c>
      <c r="M793" t="s">
        <v>80</v>
      </c>
      <c r="N793" t="s">
        <v>81</v>
      </c>
      <c r="O793" t="s">
        <v>82</v>
      </c>
      <c r="P793" t="s">
        <v>83</v>
      </c>
      <c r="Q793" t="s">
        <v>66</v>
      </c>
      <c r="R793" t="s">
        <v>49</v>
      </c>
      <c r="S793">
        <v>3</v>
      </c>
      <c r="T793" s="14">
        <v>100.38</v>
      </c>
      <c r="U793" s="7">
        <v>12</v>
      </c>
      <c r="V793" s="7">
        <v>22</v>
      </c>
      <c r="W793" s="14">
        <v>134.38</v>
      </c>
      <c r="X793" s="14">
        <v>334.6</v>
      </c>
      <c r="Y793" s="16">
        <v>0</v>
      </c>
      <c r="Z793" s="12">
        <v>1003.8</v>
      </c>
      <c r="AA793" s="5">
        <v>600.66</v>
      </c>
      <c r="AB793" s="18">
        <v>59.84</v>
      </c>
      <c r="AC793" t="s">
        <v>50</v>
      </c>
      <c r="AD793" t="s">
        <v>51</v>
      </c>
      <c r="AE793" t="s">
        <v>52</v>
      </c>
      <c r="AF793">
        <v>5</v>
      </c>
      <c r="AG793" t="s">
        <v>53</v>
      </c>
    </row>
    <row r="794" spans="1:33">
      <c r="A794" t="s">
        <v>1748</v>
      </c>
      <c r="B794" s="10">
        <v>45730</v>
      </c>
      <c r="C794" s="3" t="s">
        <v>185</v>
      </c>
      <c r="D794" t="s">
        <v>35</v>
      </c>
      <c r="E794" t="s">
        <v>108</v>
      </c>
      <c r="F794" t="s">
        <v>91</v>
      </c>
      <c r="G794" t="s">
        <v>38</v>
      </c>
      <c r="H794" t="s">
        <v>75</v>
      </c>
      <c r="I794" t="s">
        <v>76</v>
      </c>
      <c r="J794" t="s">
        <v>77</v>
      </c>
      <c r="K794" t="s">
        <v>78</v>
      </c>
      <c r="L794" t="s">
        <v>1749</v>
      </c>
      <c r="M794" t="s">
        <v>44</v>
      </c>
      <c r="N794" t="s">
        <v>45</v>
      </c>
      <c r="O794" t="s">
        <v>119</v>
      </c>
      <c r="P794" t="s">
        <v>120</v>
      </c>
      <c r="Q794" t="s">
        <v>103</v>
      </c>
      <c r="R794" t="s">
        <v>49</v>
      </c>
      <c r="S794">
        <v>2</v>
      </c>
      <c r="T794" s="14">
        <v>54.18</v>
      </c>
      <c r="U794" s="7">
        <v>12</v>
      </c>
      <c r="V794" s="7">
        <v>22</v>
      </c>
      <c r="W794" s="14">
        <v>88.18</v>
      </c>
      <c r="X794" s="14">
        <v>180.6</v>
      </c>
      <c r="Y794" s="16">
        <v>5</v>
      </c>
      <c r="Z794" s="12">
        <v>343.14</v>
      </c>
      <c r="AA794" s="5">
        <v>166.78</v>
      </c>
      <c r="AB794" s="18">
        <v>48.6</v>
      </c>
      <c r="AC794" t="s">
        <v>50</v>
      </c>
      <c r="AD794" t="s">
        <v>158</v>
      </c>
      <c r="AE794" t="s">
        <v>68</v>
      </c>
      <c r="AF794">
        <v>5</v>
      </c>
      <c r="AG794" t="s">
        <v>53</v>
      </c>
    </row>
    <row r="795" spans="1:33">
      <c r="A795" t="s">
        <v>1750</v>
      </c>
      <c r="B795" s="10">
        <v>45939</v>
      </c>
      <c r="C795" s="3" t="s">
        <v>98</v>
      </c>
      <c r="D795" t="s">
        <v>56</v>
      </c>
      <c r="E795" t="s">
        <v>36</v>
      </c>
      <c r="F795" t="s">
        <v>37</v>
      </c>
      <c r="G795" t="s">
        <v>38</v>
      </c>
      <c r="H795" t="s">
        <v>58</v>
      </c>
      <c r="I795" t="s">
        <v>59</v>
      </c>
      <c r="J795" t="s">
        <v>60</v>
      </c>
      <c r="K795" t="s">
        <v>61</v>
      </c>
      <c r="L795" t="s">
        <v>1751</v>
      </c>
      <c r="M795" t="s">
        <v>44</v>
      </c>
      <c r="N795" t="s">
        <v>110</v>
      </c>
      <c r="O795" t="s">
        <v>64</v>
      </c>
      <c r="P795" t="s">
        <v>65</v>
      </c>
      <c r="Q795" t="s">
        <v>66</v>
      </c>
      <c r="R795" t="s">
        <v>67</v>
      </c>
      <c r="S795">
        <v>2</v>
      </c>
      <c r="T795" s="14">
        <v>44.7</v>
      </c>
      <c r="U795" s="7">
        <v>12</v>
      </c>
      <c r="V795" s="7">
        <v>22</v>
      </c>
      <c r="W795" s="14">
        <v>78.7</v>
      </c>
      <c r="X795" s="14">
        <v>149</v>
      </c>
      <c r="Y795" s="16">
        <v>0</v>
      </c>
      <c r="Z795" s="12">
        <v>298</v>
      </c>
      <c r="AA795" s="5">
        <v>140.6</v>
      </c>
      <c r="AB795" s="18">
        <v>47.18</v>
      </c>
      <c r="AC795" t="s">
        <v>104</v>
      </c>
      <c r="AD795" t="s">
        <v>158</v>
      </c>
      <c r="AE795" t="s">
        <v>52</v>
      </c>
      <c r="AF795">
        <v>4</v>
      </c>
      <c r="AG795" t="s">
        <v>53</v>
      </c>
    </row>
    <row r="796" spans="1:33">
      <c r="A796" t="s">
        <v>1752</v>
      </c>
      <c r="B796" s="10">
        <v>45737</v>
      </c>
      <c r="C796" s="3" t="s">
        <v>390</v>
      </c>
      <c r="D796" t="s">
        <v>35</v>
      </c>
      <c r="E796" t="s">
        <v>108</v>
      </c>
      <c r="F796" t="s">
        <v>91</v>
      </c>
      <c r="G796" t="s">
        <v>38</v>
      </c>
      <c r="H796" t="s">
        <v>75</v>
      </c>
      <c r="I796" t="s">
        <v>76</v>
      </c>
      <c r="J796" t="s">
        <v>77</v>
      </c>
      <c r="K796" t="s">
        <v>78</v>
      </c>
      <c r="L796" t="s">
        <v>1753</v>
      </c>
      <c r="M796" t="s">
        <v>80</v>
      </c>
      <c r="N796" t="s">
        <v>45</v>
      </c>
      <c r="O796" t="s">
        <v>189</v>
      </c>
      <c r="P796" t="s">
        <v>190</v>
      </c>
      <c r="Q796" t="s">
        <v>48</v>
      </c>
      <c r="R796" t="s">
        <v>84</v>
      </c>
      <c r="S796">
        <v>3</v>
      </c>
      <c r="T796" s="14">
        <v>57.24</v>
      </c>
      <c r="U796" s="7">
        <v>12</v>
      </c>
      <c r="V796" s="7">
        <v>22</v>
      </c>
      <c r="W796" s="14">
        <v>91.240000000000009</v>
      </c>
      <c r="X796" s="14">
        <v>190.8</v>
      </c>
      <c r="Y796" s="16">
        <v>5</v>
      </c>
      <c r="Z796" s="12">
        <v>543.78</v>
      </c>
      <c r="AA796" s="5">
        <v>270.06</v>
      </c>
      <c r="AB796" s="18">
        <v>49.66</v>
      </c>
      <c r="AC796" t="s">
        <v>104</v>
      </c>
      <c r="AD796" t="s">
        <v>86</v>
      </c>
      <c r="AE796" t="s">
        <v>105</v>
      </c>
      <c r="AF796">
        <v>5</v>
      </c>
      <c r="AG796" t="s">
        <v>53</v>
      </c>
    </row>
    <row r="797" spans="1:33">
      <c r="A797" t="s">
        <v>1754</v>
      </c>
      <c r="B797" s="10">
        <v>45906</v>
      </c>
      <c r="C797" s="3" t="s">
        <v>182</v>
      </c>
      <c r="D797" t="s">
        <v>71</v>
      </c>
      <c r="E797" t="s">
        <v>72</v>
      </c>
      <c r="F797" t="s">
        <v>73</v>
      </c>
      <c r="G797" t="s">
        <v>74</v>
      </c>
      <c r="H797" t="s">
        <v>39</v>
      </c>
      <c r="I797" t="s">
        <v>2143</v>
      </c>
      <c r="J797" t="s">
        <v>41</v>
      </c>
      <c r="K797" t="s">
        <v>42</v>
      </c>
      <c r="L797" t="s">
        <v>1755</v>
      </c>
      <c r="M797" t="s">
        <v>44</v>
      </c>
      <c r="N797" t="s">
        <v>45</v>
      </c>
      <c r="O797" t="s">
        <v>94</v>
      </c>
      <c r="P797" t="s">
        <v>95</v>
      </c>
      <c r="Q797" t="s">
        <v>66</v>
      </c>
      <c r="R797" t="s">
        <v>49</v>
      </c>
      <c r="S797">
        <v>2</v>
      </c>
      <c r="T797" s="14">
        <v>91.98</v>
      </c>
      <c r="U797" s="7">
        <v>12</v>
      </c>
      <c r="V797" s="7">
        <v>22</v>
      </c>
      <c r="W797" s="14">
        <v>125.98</v>
      </c>
      <c r="X797" s="14">
        <v>306.60000000000002</v>
      </c>
      <c r="Y797" s="16">
        <v>15</v>
      </c>
      <c r="Z797" s="12">
        <v>521.22</v>
      </c>
      <c r="AA797" s="5">
        <v>269.26</v>
      </c>
      <c r="AB797" s="18">
        <v>51.66</v>
      </c>
      <c r="AC797" t="s">
        <v>111</v>
      </c>
      <c r="AD797" t="s">
        <v>51</v>
      </c>
      <c r="AE797" t="s">
        <v>96</v>
      </c>
      <c r="AF797">
        <v>5</v>
      </c>
      <c r="AG797" t="s">
        <v>53</v>
      </c>
    </row>
    <row r="798" spans="1:33">
      <c r="A798" t="s">
        <v>1756</v>
      </c>
      <c r="B798" s="10">
        <v>45964</v>
      </c>
      <c r="C798" s="3" t="s">
        <v>339</v>
      </c>
      <c r="D798" t="s">
        <v>206</v>
      </c>
      <c r="E798" t="s">
        <v>57</v>
      </c>
      <c r="F798" t="s">
        <v>37</v>
      </c>
      <c r="G798" t="s">
        <v>38</v>
      </c>
      <c r="H798" t="s">
        <v>75</v>
      </c>
      <c r="I798" t="s">
        <v>76</v>
      </c>
      <c r="J798" t="s">
        <v>77</v>
      </c>
      <c r="K798" t="s">
        <v>78</v>
      </c>
      <c r="L798" t="s">
        <v>1757</v>
      </c>
      <c r="M798" t="s">
        <v>44</v>
      </c>
      <c r="N798" t="s">
        <v>45</v>
      </c>
      <c r="O798" t="s">
        <v>82</v>
      </c>
      <c r="P798" t="s">
        <v>83</v>
      </c>
      <c r="Q798" t="s">
        <v>66</v>
      </c>
      <c r="R798" t="s">
        <v>49</v>
      </c>
      <c r="S798">
        <v>1</v>
      </c>
      <c r="T798" s="14">
        <v>100.38</v>
      </c>
      <c r="U798" s="7">
        <v>12</v>
      </c>
      <c r="V798" s="7">
        <v>22</v>
      </c>
      <c r="W798" s="14">
        <v>134.38</v>
      </c>
      <c r="X798" s="14">
        <v>334.6</v>
      </c>
      <c r="Y798" s="16">
        <v>0</v>
      </c>
      <c r="Z798" s="12">
        <v>334.6</v>
      </c>
      <c r="AA798" s="5">
        <v>200.22</v>
      </c>
      <c r="AB798" s="18">
        <v>59.84</v>
      </c>
      <c r="AC798" t="s">
        <v>85</v>
      </c>
      <c r="AD798" t="s">
        <v>86</v>
      </c>
      <c r="AE798" t="s">
        <v>105</v>
      </c>
      <c r="AF798">
        <v>5</v>
      </c>
      <c r="AG798" t="s">
        <v>53</v>
      </c>
    </row>
    <row r="799" spans="1:33">
      <c r="A799" t="s">
        <v>1758</v>
      </c>
      <c r="B799" s="10">
        <v>45860</v>
      </c>
      <c r="C799" s="3" t="s">
        <v>310</v>
      </c>
      <c r="D799" t="s">
        <v>156</v>
      </c>
      <c r="E799" t="s">
        <v>114</v>
      </c>
      <c r="F799" t="s">
        <v>73</v>
      </c>
      <c r="G799" t="s">
        <v>74</v>
      </c>
      <c r="H799" t="s">
        <v>142</v>
      </c>
      <c r="I799" t="s">
        <v>143</v>
      </c>
      <c r="J799" t="s">
        <v>144</v>
      </c>
      <c r="K799" t="s">
        <v>145</v>
      </c>
      <c r="L799" t="s">
        <v>1759</v>
      </c>
      <c r="M799" t="s">
        <v>80</v>
      </c>
      <c r="N799" t="s">
        <v>45</v>
      </c>
      <c r="O799" t="s">
        <v>275</v>
      </c>
      <c r="P799" t="s">
        <v>276</v>
      </c>
      <c r="Q799" t="s">
        <v>125</v>
      </c>
      <c r="R799" t="s">
        <v>67</v>
      </c>
      <c r="S799">
        <v>1</v>
      </c>
      <c r="T799" s="14">
        <v>68.7</v>
      </c>
      <c r="U799" s="7">
        <v>12</v>
      </c>
      <c r="V799" s="7">
        <v>22</v>
      </c>
      <c r="W799" s="14">
        <v>102.7</v>
      </c>
      <c r="X799" s="14">
        <v>229</v>
      </c>
      <c r="Y799" s="16">
        <v>0</v>
      </c>
      <c r="Z799" s="12">
        <v>229</v>
      </c>
      <c r="AA799" s="5">
        <v>126.3</v>
      </c>
      <c r="AB799" s="18">
        <v>55.15</v>
      </c>
      <c r="AC799" t="s">
        <v>85</v>
      </c>
      <c r="AD799" t="s">
        <v>51</v>
      </c>
      <c r="AE799" t="s">
        <v>105</v>
      </c>
      <c r="AF799">
        <v>5</v>
      </c>
      <c r="AG799" t="s">
        <v>53</v>
      </c>
    </row>
    <row r="800" spans="1:33">
      <c r="A800" t="s">
        <v>1760</v>
      </c>
      <c r="B800" s="10">
        <v>45939</v>
      </c>
      <c r="C800" s="3" t="s">
        <v>155</v>
      </c>
      <c r="D800" t="s">
        <v>56</v>
      </c>
      <c r="E800" t="s">
        <v>36</v>
      </c>
      <c r="F800" t="s">
        <v>37</v>
      </c>
      <c r="G800" t="s">
        <v>38</v>
      </c>
      <c r="H800" t="s">
        <v>39</v>
      </c>
      <c r="I800" t="s">
        <v>2143</v>
      </c>
      <c r="J800" t="s">
        <v>41</v>
      </c>
      <c r="K800" t="s">
        <v>42</v>
      </c>
      <c r="L800" t="s">
        <v>1761</v>
      </c>
      <c r="M800" t="s">
        <v>63</v>
      </c>
      <c r="N800" t="s">
        <v>45</v>
      </c>
      <c r="O800" t="s">
        <v>176</v>
      </c>
      <c r="P800" t="s">
        <v>177</v>
      </c>
      <c r="Q800" t="s">
        <v>66</v>
      </c>
      <c r="R800" t="s">
        <v>67</v>
      </c>
      <c r="S800">
        <v>2</v>
      </c>
      <c r="T800" s="14">
        <v>50.7</v>
      </c>
      <c r="U800" s="7">
        <v>12</v>
      </c>
      <c r="V800" s="7">
        <v>22</v>
      </c>
      <c r="W800" s="14">
        <v>84.7</v>
      </c>
      <c r="X800" s="14">
        <v>169</v>
      </c>
      <c r="Y800" s="16">
        <v>0</v>
      </c>
      <c r="Z800" s="12">
        <v>338</v>
      </c>
      <c r="AA800" s="5">
        <v>168.6</v>
      </c>
      <c r="AB800" s="18">
        <v>49.88</v>
      </c>
      <c r="AC800" t="s">
        <v>85</v>
      </c>
      <c r="AD800" t="s">
        <v>51</v>
      </c>
      <c r="AE800" t="s">
        <v>126</v>
      </c>
      <c r="AF800">
        <v>5</v>
      </c>
      <c r="AG800" t="s">
        <v>53</v>
      </c>
    </row>
    <row r="801" spans="1:33">
      <c r="A801" t="s">
        <v>1762</v>
      </c>
      <c r="B801" s="10">
        <v>46014</v>
      </c>
      <c r="C801" s="3" t="s">
        <v>107</v>
      </c>
      <c r="D801" t="s">
        <v>156</v>
      </c>
      <c r="E801" t="s">
        <v>149</v>
      </c>
      <c r="F801" t="s">
        <v>37</v>
      </c>
      <c r="G801" t="s">
        <v>92</v>
      </c>
      <c r="H801" t="s">
        <v>58</v>
      </c>
      <c r="I801" t="s">
        <v>59</v>
      </c>
      <c r="J801" t="s">
        <v>60</v>
      </c>
      <c r="K801" t="s">
        <v>61</v>
      </c>
      <c r="L801" t="s">
        <v>1763</v>
      </c>
      <c r="M801" t="s">
        <v>44</v>
      </c>
      <c r="N801" t="s">
        <v>110</v>
      </c>
      <c r="O801" t="s">
        <v>64</v>
      </c>
      <c r="P801" t="s">
        <v>65</v>
      </c>
      <c r="Q801" t="s">
        <v>66</v>
      </c>
      <c r="R801" t="s">
        <v>84</v>
      </c>
      <c r="S801">
        <v>3</v>
      </c>
      <c r="T801" s="14">
        <v>53.64</v>
      </c>
      <c r="U801" s="7">
        <v>12</v>
      </c>
      <c r="V801" s="7">
        <v>22</v>
      </c>
      <c r="W801" s="14">
        <v>87.64</v>
      </c>
      <c r="X801" s="14">
        <v>178.8</v>
      </c>
      <c r="Y801" s="16">
        <v>0</v>
      </c>
      <c r="Z801" s="12">
        <v>536.4</v>
      </c>
      <c r="AA801" s="5">
        <v>273.48</v>
      </c>
      <c r="AB801" s="18">
        <v>50.98</v>
      </c>
      <c r="AC801" t="s">
        <v>104</v>
      </c>
      <c r="AD801" t="s">
        <v>158</v>
      </c>
      <c r="AE801" t="s">
        <v>105</v>
      </c>
      <c r="AF801">
        <v>3</v>
      </c>
      <c r="AG801" t="s">
        <v>53</v>
      </c>
    </row>
    <row r="802" spans="1:33">
      <c r="A802" t="s">
        <v>1764</v>
      </c>
      <c r="B802" s="10">
        <v>45700</v>
      </c>
      <c r="C802" s="3" t="s">
        <v>141</v>
      </c>
      <c r="D802" t="s">
        <v>129</v>
      </c>
      <c r="E802" t="s">
        <v>90</v>
      </c>
      <c r="F802" t="s">
        <v>91</v>
      </c>
      <c r="G802" t="s">
        <v>92</v>
      </c>
      <c r="H802" t="s">
        <v>39</v>
      </c>
      <c r="I802" t="s">
        <v>2143</v>
      </c>
      <c r="J802" t="s">
        <v>41</v>
      </c>
      <c r="K802" t="s">
        <v>42</v>
      </c>
      <c r="L802" t="s">
        <v>1765</v>
      </c>
      <c r="M802" t="s">
        <v>63</v>
      </c>
      <c r="N802" t="s">
        <v>81</v>
      </c>
      <c r="O802" t="s">
        <v>64</v>
      </c>
      <c r="P802" t="s">
        <v>65</v>
      </c>
      <c r="Q802" t="s">
        <v>66</v>
      </c>
      <c r="R802" t="s">
        <v>49</v>
      </c>
      <c r="S802">
        <v>1</v>
      </c>
      <c r="T802" s="14">
        <v>62.58</v>
      </c>
      <c r="U802" s="7">
        <v>12</v>
      </c>
      <c r="V802" s="7">
        <v>22</v>
      </c>
      <c r="W802" s="14">
        <v>96.58</v>
      </c>
      <c r="X802" s="14">
        <v>208.6</v>
      </c>
      <c r="Y802" s="16">
        <v>0</v>
      </c>
      <c r="Z802" s="12">
        <v>208.6</v>
      </c>
      <c r="AA802" s="5">
        <v>112.02</v>
      </c>
      <c r="AB802" s="18">
        <v>53.7</v>
      </c>
      <c r="AC802" t="s">
        <v>104</v>
      </c>
      <c r="AD802" t="s">
        <v>86</v>
      </c>
      <c r="AE802" t="s">
        <v>68</v>
      </c>
      <c r="AF802">
        <v>5</v>
      </c>
      <c r="AG802" t="s">
        <v>53</v>
      </c>
    </row>
    <row r="803" spans="1:33">
      <c r="A803" t="s">
        <v>1766</v>
      </c>
      <c r="B803" s="10">
        <v>45792</v>
      </c>
      <c r="C803" s="3" t="s">
        <v>148</v>
      </c>
      <c r="D803" t="s">
        <v>56</v>
      </c>
      <c r="E803" t="s">
        <v>130</v>
      </c>
      <c r="F803" t="s">
        <v>131</v>
      </c>
      <c r="G803" t="s">
        <v>132</v>
      </c>
      <c r="H803" t="s">
        <v>39</v>
      </c>
      <c r="I803" t="s">
        <v>2143</v>
      </c>
      <c r="J803" t="s">
        <v>41</v>
      </c>
      <c r="K803" t="s">
        <v>42</v>
      </c>
      <c r="L803" t="s">
        <v>1767</v>
      </c>
      <c r="M803" t="s">
        <v>63</v>
      </c>
      <c r="N803" t="s">
        <v>110</v>
      </c>
      <c r="O803" t="s">
        <v>46</v>
      </c>
      <c r="P803" t="s">
        <v>47</v>
      </c>
      <c r="Q803" t="s">
        <v>48</v>
      </c>
      <c r="R803" t="s">
        <v>84</v>
      </c>
      <c r="S803">
        <v>1</v>
      </c>
      <c r="T803" s="14">
        <v>93.24</v>
      </c>
      <c r="U803" s="7">
        <v>12</v>
      </c>
      <c r="V803" s="7">
        <v>22</v>
      </c>
      <c r="W803" s="14">
        <v>127.24</v>
      </c>
      <c r="X803" s="14">
        <v>310.8</v>
      </c>
      <c r="Y803" s="16">
        <v>10</v>
      </c>
      <c r="Z803" s="12">
        <v>279.72000000000003</v>
      </c>
      <c r="AA803" s="5">
        <v>152.47999999999999</v>
      </c>
      <c r="AB803" s="18">
        <v>54.51</v>
      </c>
      <c r="AC803" t="s">
        <v>85</v>
      </c>
      <c r="AD803" t="s">
        <v>51</v>
      </c>
      <c r="AE803" t="s">
        <v>96</v>
      </c>
      <c r="AF803">
        <v>5</v>
      </c>
      <c r="AG803" t="s">
        <v>53</v>
      </c>
    </row>
    <row r="804" spans="1:33">
      <c r="A804" t="s">
        <v>1768</v>
      </c>
      <c r="B804" s="10">
        <v>45857</v>
      </c>
      <c r="C804" s="3" t="s">
        <v>148</v>
      </c>
      <c r="D804" t="s">
        <v>71</v>
      </c>
      <c r="E804" t="s">
        <v>114</v>
      </c>
      <c r="F804" t="s">
        <v>73</v>
      </c>
      <c r="G804" t="s">
        <v>74</v>
      </c>
      <c r="H804" t="s">
        <v>39</v>
      </c>
      <c r="I804" t="s">
        <v>2143</v>
      </c>
      <c r="J804" t="s">
        <v>41</v>
      </c>
      <c r="K804" t="s">
        <v>42</v>
      </c>
      <c r="L804" t="s">
        <v>1769</v>
      </c>
      <c r="M804" t="s">
        <v>44</v>
      </c>
      <c r="N804" t="s">
        <v>45</v>
      </c>
      <c r="O804" t="s">
        <v>119</v>
      </c>
      <c r="P804" t="s">
        <v>120</v>
      </c>
      <c r="Q804" t="s">
        <v>103</v>
      </c>
      <c r="R804" t="s">
        <v>49</v>
      </c>
      <c r="S804">
        <v>1</v>
      </c>
      <c r="T804" s="14">
        <v>54.18</v>
      </c>
      <c r="U804" s="7">
        <v>12</v>
      </c>
      <c r="V804" s="7">
        <v>22</v>
      </c>
      <c r="W804" s="14">
        <v>88.18</v>
      </c>
      <c r="X804" s="14">
        <v>180.6</v>
      </c>
      <c r="Y804" s="16">
        <v>10</v>
      </c>
      <c r="Z804" s="12">
        <v>162.54</v>
      </c>
      <c r="AA804" s="5">
        <v>74.36</v>
      </c>
      <c r="AB804" s="18">
        <v>45.75</v>
      </c>
      <c r="AC804" t="s">
        <v>85</v>
      </c>
      <c r="AD804" t="s">
        <v>51</v>
      </c>
      <c r="AE804" t="s">
        <v>52</v>
      </c>
      <c r="AF804">
        <v>5</v>
      </c>
      <c r="AG804" t="s">
        <v>53</v>
      </c>
    </row>
    <row r="805" spans="1:33">
      <c r="A805" t="s">
        <v>1770</v>
      </c>
      <c r="B805" s="10">
        <v>45660</v>
      </c>
      <c r="C805" s="3" t="s">
        <v>155</v>
      </c>
      <c r="D805" t="s">
        <v>35</v>
      </c>
      <c r="E805" t="s">
        <v>152</v>
      </c>
      <c r="F805" t="s">
        <v>91</v>
      </c>
      <c r="G805" t="s">
        <v>92</v>
      </c>
      <c r="H805" t="s">
        <v>115</v>
      </c>
      <c r="I805" t="s">
        <v>116</v>
      </c>
      <c r="J805" t="s">
        <v>117</v>
      </c>
      <c r="K805" t="s">
        <v>61</v>
      </c>
      <c r="L805" t="s">
        <v>1771</v>
      </c>
      <c r="M805" t="s">
        <v>63</v>
      </c>
      <c r="N805" t="s">
        <v>45</v>
      </c>
      <c r="O805" t="s">
        <v>64</v>
      </c>
      <c r="P805" t="s">
        <v>65</v>
      </c>
      <c r="Q805" t="s">
        <v>66</v>
      </c>
      <c r="R805" t="s">
        <v>49</v>
      </c>
      <c r="S805">
        <v>3</v>
      </c>
      <c r="T805" s="14">
        <v>62.58</v>
      </c>
      <c r="U805" s="7">
        <v>12</v>
      </c>
      <c r="V805" s="7">
        <v>22</v>
      </c>
      <c r="W805" s="14">
        <v>96.58</v>
      </c>
      <c r="X805" s="14">
        <v>208.6</v>
      </c>
      <c r="Y805" s="16">
        <v>5</v>
      </c>
      <c r="Z805" s="12">
        <v>594.51</v>
      </c>
      <c r="AA805" s="5">
        <v>304.77</v>
      </c>
      <c r="AB805" s="18">
        <v>51.26</v>
      </c>
      <c r="AC805" t="s">
        <v>104</v>
      </c>
      <c r="AD805" t="s">
        <v>86</v>
      </c>
      <c r="AE805" t="s">
        <v>105</v>
      </c>
      <c r="AF805">
        <v>4</v>
      </c>
      <c r="AG805" t="s">
        <v>53</v>
      </c>
    </row>
    <row r="806" spans="1:33">
      <c r="A806" t="s">
        <v>1772</v>
      </c>
      <c r="B806" s="10">
        <v>45951</v>
      </c>
      <c r="C806" s="3" t="s">
        <v>70</v>
      </c>
      <c r="D806" t="s">
        <v>156</v>
      </c>
      <c r="E806" t="s">
        <v>36</v>
      </c>
      <c r="F806" t="s">
        <v>37</v>
      </c>
      <c r="G806" t="s">
        <v>38</v>
      </c>
      <c r="H806" t="s">
        <v>58</v>
      </c>
      <c r="I806" t="s">
        <v>59</v>
      </c>
      <c r="J806" t="s">
        <v>60</v>
      </c>
      <c r="K806" t="s">
        <v>61</v>
      </c>
      <c r="L806" t="s">
        <v>1773</v>
      </c>
      <c r="M806" t="s">
        <v>63</v>
      </c>
      <c r="N806" t="s">
        <v>81</v>
      </c>
      <c r="O806" t="s">
        <v>168</v>
      </c>
      <c r="P806" t="s">
        <v>169</v>
      </c>
      <c r="Q806" t="s">
        <v>139</v>
      </c>
      <c r="R806" t="s">
        <v>84</v>
      </c>
      <c r="S806">
        <v>2</v>
      </c>
      <c r="T806" s="14">
        <v>57.24</v>
      </c>
      <c r="U806" s="7">
        <v>12</v>
      </c>
      <c r="V806" s="7">
        <v>22</v>
      </c>
      <c r="W806" s="14">
        <v>91.240000000000009</v>
      </c>
      <c r="X806" s="14">
        <v>190.8</v>
      </c>
      <c r="Y806" s="16">
        <v>5</v>
      </c>
      <c r="Z806" s="12">
        <v>362.52</v>
      </c>
      <c r="AA806" s="5">
        <v>180.04</v>
      </c>
      <c r="AB806" s="18">
        <v>49.66</v>
      </c>
      <c r="AC806" t="s">
        <v>104</v>
      </c>
      <c r="AD806" t="s">
        <v>86</v>
      </c>
      <c r="AE806" t="s">
        <v>96</v>
      </c>
      <c r="AF806">
        <v>4</v>
      </c>
      <c r="AG806" t="s">
        <v>53</v>
      </c>
    </row>
    <row r="807" spans="1:33">
      <c r="A807" t="s">
        <v>1774</v>
      </c>
      <c r="B807" s="10">
        <v>45733</v>
      </c>
      <c r="C807" s="3" t="s">
        <v>219</v>
      </c>
      <c r="D807" t="s">
        <v>206</v>
      </c>
      <c r="E807" t="s">
        <v>108</v>
      </c>
      <c r="F807" t="s">
        <v>91</v>
      </c>
      <c r="G807" t="s">
        <v>38</v>
      </c>
      <c r="H807" t="s">
        <v>58</v>
      </c>
      <c r="I807" t="s">
        <v>59</v>
      </c>
      <c r="J807" t="s">
        <v>60</v>
      </c>
      <c r="K807" t="s">
        <v>61</v>
      </c>
      <c r="L807" t="s">
        <v>1775</v>
      </c>
      <c r="M807" t="s">
        <v>63</v>
      </c>
      <c r="N807" t="s">
        <v>45</v>
      </c>
      <c r="O807" t="s">
        <v>94</v>
      </c>
      <c r="P807" t="s">
        <v>95</v>
      </c>
      <c r="Q807" t="s">
        <v>66</v>
      </c>
      <c r="R807" t="s">
        <v>49</v>
      </c>
      <c r="S807">
        <v>1</v>
      </c>
      <c r="T807" s="14">
        <v>91.98</v>
      </c>
      <c r="U807" s="7">
        <v>12</v>
      </c>
      <c r="V807" s="7">
        <v>22</v>
      </c>
      <c r="W807" s="14">
        <v>125.98</v>
      </c>
      <c r="X807" s="14">
        <v>306.60000000000002</v>
      </c>
      <c r="Y807" s="16">
        <v>0</v>
      </c>
      <c r="Z807" s="12">
        <v>306.60000000000002</v>
      </c>
      <c r="AA807" s="5">
        <v>180.62</v>
      </c>
      <c r="AB807" s="18">
        <v>58.91</v>
      </c>
      <c r="AC807" t="s">
        <v>85</v>
      </c>
      <c r="AD807" t="s">
        <v>51</v>
      </c>
      <c r="AE807" t="s">
        <v>96</v>
      </c>
      <c r="AF807">
        <v>4</v>
      </c>
      <c r="AG807" t="s">
        <v>53</v>
      </c>
    </row>
    <row r="808" spans="1:33">
      <c r="A808" t="s">
        <v>1776</v>
      </c>
      <c r="B808" s="10">
        <v>45877</v>
      </c>
      <c r="C808" s="3" t="s">
        <v>182</v>
      </c>
      <c r="D808" t="s">
        <v>35</v>
      </c>
      <c r="E808" t="s">
        <v>99</v>
      </c>
      <c r="F808" t="s">
        <v>73</v>
      </c>
      <c r="G808" t="s">
        <v>74</v>
      </c>
      <c r="H808" t="s">
        <v>142</v>
      </c>
      <c r="I808" t="s">
        <v>143</v>
      </c>
      <c r="J808" t="s">
        <v>144</v>
      </c>
      <c r="K808" t="s">
        <v>145</v>
      </c>
      <c r="L808" t="s">
        <v>1777</v>
      </c>
      <c r="M808" t="s">
        <v>63</v>
      </c>
      <c r="N808" t="s">
        <v>110</v>
      </c>
      <c r="O808" t="s">
        <v>119</v>
      </c>
      <c r="P808" t="s">
        <v>120</v>
      </c>
      <c r="Q808" t="s">
        <v>103</v>
      </c>
      <c r="R808" t="s">
        <v>49</v>
      </c>
      <c r="S808">
        <v>3</v>
      </c>
      <c r="T808" s="14">
        <v>54.18</v>
      </c>
      <c r="U808" s="7">
        <v>12</v>
      </c>
      <c r="V808" s="7">
        <v>22</v>
      </c>
      <c r="W808" s="14">
        <v>88.18</v>
      </c>
      <c r="X808" s="14">
        <v>180.6</v>
      </c>
      <c r="Y808" s="16">
        <v>5</v>
      </c>
      <c r="Z808" s="12">
        <v>514.71</v>
      </c>
      <c r="AA808" s="5">
        <v>250.17</v>
      </c>
      <c r="AB808" s="18">
        <v>48.6</v>
      </c>
      <c r="AC808" t="s">
        <v>104</v>
      </c>
      <c r="AD808" t="s">
        <v>51</v>
      </c>
      <c r="AE808" t="s">
        <v>105</v>
      </c>
      <c r="AF808">
        <v>4</v>
      </c>
      <c r="AG808" t="s">
        <v>53</v>
      </c>
    </row>
    <row r="809" spans="1:33">
      <c r="A809" t="s">
        <v>1778</v>
      </c>
      <c r="B809" s="10">
        <v>45777</v>
      </c>
      <c r="C809" s="3" t="s">
        <v>185</v>
      </c>
      <c r="D809" t="s">
        <v>129</v>
      </c>
      <c r="E809" t="s">
        <v>280</v>
      </c>
      <c r="F809" t="s">
        <v>131</v>
      </c>
      <c r="G809" t="s">
        <v>132</v>
      </c>
      <c r="H809" t="s">
        <v>58</v>
      </c>
      <c r="I809" t="s">
        <v>59</v>
      </c>
      <c r="J809" t="s">
        <v>60</v>
      </c>
      <c r="K809" t="s">
        <v>61</v>
      </c>
      <c r="L809" t="s">
        <v>1779</v>
      </c>
      <c r="M809" t="s">
        <v>44</v>
      </c>
      <c r="N809" t="s">
        <v>81</v>
      </c>
      <c r="O809" t="s">
        <v>46</v>
      </c>
      <c r="P809" t="s">
        <v>47</v>
      </c>
      <c r="Q809" t="s">
        <v>48</v>
      </c>
      <c r="R809" t="s">
        <v>67</v>
      </c>
      <c r="S809">
        <v>1</v>
      </c>
      <c r="T809" s="14">
        <v>77.7</v>
      </c>
      <c r="U809" s="7">
        <v>12</v>
      </c>
      <c r="V809" s="7">
        <v>22</v>
      </c>
      <c r="W809" s="14">
        <v>111.7</v>
      </c>
      <c r="X809" s="14">
        <v>259</v>
      </c>
      <c r="Y809" s="16">
        <v>0</v>
      </c>
      <c r="Z809" s="12">
        <v>259</v>
      </c>
      <c r="AA809" s="5">
        <v>147.30000000000001</v>
      </c>
      <c r="AB809" s="18">
        <v>56.87</v>
      </c>
      <c r="AC809" t="s">
        <v>104</v>
      </c>
      <c r="AD809" t="s">
        <v>86</v>
      </c>
      <c r="AE809" t="s">
        <v>68</v>
      </c>
      <c r="AF809">
        <v>4</v>
      </c>
      <c r="AG809" t="s">
        <v>53</v>
      </c>
    </row>
    <row r="810" spans="1:33">
      <c r="A810" t="s">
        <v>1780</v>
      </c>
      <c r="B810" s="10">
        <v>45979</v>
      </c>
      <c r="C810" s="3" t="s">
        <v>88</v>
      </c>
      <c r="D810" t="s">
        <v>156</v>
      </c>
      <c r="E810" t="s">
        <v>57</v>
      </c>
      <c r="F810" t="s">
        <v>37</v>
      </c>
      <c r="G810" t="s">
        <v>38</v>
      </c>
      <c r="H810" t="s">
        <v>115</v>
      </c>
      <c r="I810" t="s">
        <v>116</v>
      </c>
      <c r="J810" t="s">
        <v>117</v>
      </c>
      <c r="K810" t="s">
        <v>61</v>
      </c>
      <c r="L810" t="s">
        <v>1781</v>
      </c>
      <c r="M810" t="s">
        <v>80</v>
      </c>
      <c r="N810" t="s">
        <v>45</v>
      </c>
      <c r="O810" t="s">
        <v>275</v>
      </c>
      <c r="P810" t="s">
        <v>276</v>
      </c>
      <c r="Q810" t="s">
        <v>125</v>
      </c>
      <c r="R810" t="s">
        <v>67</v>
      </c>
      <c r="S810">
        <v>1</v>
      </c>
      <c r="T810" s="14">
        <v>68.7</v>
      </c>
      <c r="U810" s="7">
        <v>12</v>
      </c>
      <c r="V810" s="7">
        <v>22</v>
      </c>
      <c r="W810" s="14">
        <v>102.7</v>
      </c>
      <c r="X810" s="14">
        <v>229</v>
      </c>
      <c r="Y810" s="16">
        <v>0</v>
      </c>
      <c r="Z810" s="12">
        <v>229</v>
      </c>
      <c r="AA810" s="5">
        <v>126.3</v>
      </c>
      <c r="AB810" s="18">
        <v>55.15</v>
      </c>
      <c r="AC810" t="s">
        <v>104</v>
      </c>
      <c r="AD810" t="s">
        <v>51</v>
      </c>
      <c r="AE810" t="s">
        <v>52</v>
      </c>
      <c r="AF810">
        <v>5</v>
      </c>
      <c r="AG810" t="s">
        <v>53</v>
      </c>
    </row>
    <row r="811" spans="1:33">
      <c r="A811" t="s">
        <v>1782</v>
      </c>
      <c r="B811" s="10">
        <v>45779</v>
      </c>
      <c r="C811" s="3" t="s">
        <v>179</v>
      </c>
      <c r="D811" t="s">
        <v>35</v>
      </c>
      <c r="E811" t="s">
        <v>130</v>
      </c>
      <c r="F811" t="s">
        <v>131</v>
      </c>
      <c r="G811" t="s">
        <v>132</v>
      </c>
      <c r="H811" t="s">
        <v>75</v>
      </c>
      <c r="I811" t="s">
        <v>76</v>
      </c>
      <c r="J811" t="s">
        <v>77</v>
      </c>
      <c r="K811" t="s">
        <v>78</v>
      </c>
      <c r="L811" t="s">
        <v>1783</v>
      </c>
      <c r="M811" t="s">
        <v>80</v>
      </c>
      <c r="N811" t="s">
        <v>45</v>
      </c>
      <c r="O811" t="s">
        <v>162</v>
      </c>
      <c r="P811" t="s">
        <v>163</v>
      </c>
      <c r="Q811" t="s">
        <v>48</v>
      </c>
      <c r="R811" t="s">
        <v>49</v>
      </c>
      <c r="S811">
        <v>3</v>
      </c>
      <c r="T811" s="14">
        <v>104.58</v>
      </c>
      <c r="U811" s="7">
        <v>12</v>
      </c>
      <c r="V811" s="7">
        <v>22</v>
      </c>
      <c r="W811" s="14">
        <v>138.58000000000001</v>
      </c>
      <c r="X811" s="14">
        <v>348.6</v>
      </c>
      <c r="Y811" s="16">
        <v>5</v>
      </c>
      <c r="Z811" s="12">
        <v>993.51</v>
      </c>
      <c r="AA811" s="5">
        <v>577.77</v>
      </c>
      <c r="AB811" s="18">
        <v>58.15</v>
      </c>
      <c r="AC811" t="s">
        <v>104</v>
      </c>
      <c r="AD811" t="s">
        <v>158</v>
      </c>
      <c r="AE811" t="s">
        <v>105</v>
      </c>
      <c r="AF811">
        <v>3</v>
      </c>
      <c r="AG811" t="s">
        <v>53</v>
      </c>
    </row>
    <row r="812" spans="1:33">
      <c r="A812" t="s">
        <v>1784</v>
      </c>
      <c r="B812" s="10">
        <v>46018</v>
      </c>
      <c r="C812" s="3" t="s">
        <v>107</v>
      </c>
      <c r="D812" t="s">
        <v>71</v>
      </c>
      <c r="E812" t="s">
        <v>149</v>
      </c>
      <c r="F812" t="s">
        <v>37</v>
      </c>
      <c r="G812" t="s">
        <v>92</v>
      </c>
      <c r="H812" t="s">
        <v>75</v>
      </c>
      <c r="I812" t="s">
        <v>76</v>
      </c>
      <c r="J812" t="s">
        <v>77</v>
      </c>
      <c r="K812" t="s">
        <v>78</v>
      </c>
      <c r="L812" t="s">
        <v>1785</v>
      </c>
      <c r="M812" t="s">
        <v>63</v>
      </c>
      <c r="N812" t="s">
        <v>81</v>
      </c>
      <c r="O812" t="s">
        <v>213</v>
      </c>
      <c r="P812" t="s">
        <v>214</v>
      </c>
      <c r="Q812" t="s">
        <v>215</v>
      </c>
      <c r="R812" t="s">
        <v>67</v>
      </c>
      <c r="S812">
        <v>3</v>
      </c>
      <c r="T812" s="14">
        <v>89.7</v>
      </c>
      <c r="U812" s="7">
        <v>12</v>
      </c>
      <c r="V812" s="7">
        <v>22</v>
      </c>
      <c r="W812" s="14">
        <v>123.7</v>
      </c>
      <c r="X812" s="14">
        <v>299</v>
      </c>
      <c r="Y812" s="16">
        <v>15</v>
      </c>
      <c r="Z812" s="12">
        <v>762.45</v>
      </c>
      <c r="AA812" s="5">
        <v>391.35</v>
      </c>
      <c r="AB812" s="18">
        <v>51.33</v>
      </c>
      <c r="AC812" t="s">
        <v>50</v>
      </c>
      <c r="AD812" t="s">
        <v>51</v>
      </c>
      <c r="AE812" t="s">
        <v>96</v>
      </c>
      <c r="AF812">
        <v>4</v>
      </c>
      <c r="AG812" t="s">
        <v>53</v>
      </c>
    </row>
    <row r="813" spans="1:33">
      <c r="A813" t="s">
        <v>1786</v>
      </c>
      <c r="B813" s="10">
        <v>45866</v>
      </c>
      <c r="C813" s="3" t="s">
        <v>88</v>
      </c>
      <c r="D813" t="s">
        <v>206</v>
      </c>
      <c r="E813" t="s">
        <v>114</v>
      </c>
      <c r="F813" t="s">
        <v>73</v>
      </c>
      <c r="G813" t="s">
        <v>74</v>
      </c>
      <c r="H813" t="s">
        <v>133</v>
      </c>
      <c r="I813" t="s">
        <v>134</v>
      </c>
      <c r="J813" t="s">
        <v>135</v>
      </c>
      <c r="K813" t="s">
        <v>42</v>
      </c>
      <c r="L813" t="s">
        <v>1787</v>
      </c>
      <c r="M813" t="s">
        <v>80</v>
      </c>
      <c r="N813" t="s">
        <v>81</v>
      </c>
      <c r="O813" t="s">
        <v>46</v>
      </c>
      <c r="P813" t="s">
        <v>47</v>
      </c>
      <c r="Q813" t="s">
        <v>48</v>
      </c>
      <c r="R813" t="s">
        <v>67</v>
      </c>
      <c r="S813">
        <v>1</v>
      </c>
      <c r="T813" s="14">
        <v>77.7</v>
      </c>
      <c r="U813" s="7">
        <v>12</v>
      </c>
      <c r="V813" s="7">
        <v>22</v>
      </c>
      <c r="W813" s="14">
        <v>111.7</v>
      </c>
      <c r="X813" s="14">
        <v>259</v>
      </c>
      <c r="Y813" s="16">
        <v>0</v>
      </c>
      <c r="Z813" s="12">
        <v>259</v>
      </c>
      <c r="AA813" s="5">
        <v>147.30000000000001</v>
      </c>
      <c r="AB813" s="18">
        <v>56.87</v>
      </c>
      <c r="AC813" t="s">
        <v>85</v>
      </c>
      <c r="AD813" t="s">
        <v>86</v>
      </c>
      <c r="AE813" t="s">
        <v>96</v>
      </c>
      <c r="AF813">
        <v>5</v>
      </c>
      <c r="AG813" t="s">
        <v>53</v>
      </c>
    </row>
    <row r="814" spans="1:33">
      <c r="A814" t="s">
        <v>1788</v>
      </c>
      <c r="B814" s="10">
        <v>45913</v>
      </c>
      <c r="C814" s="3" t="s">
        <v>211</v>
      </c>
      <c r="D814" t="s">
        <v>71</v>
      </c>
      <c r="E814" t="s">
        <v>72</v>
      </c>
      <c r="F814" t="s">
        <v>73</v>
      </c>
      <c r="G814" t="s">
        <v>74</v>
      </c>
      <c r="H814" t="s">
        <v>133</v>
      </c>
      <c r="I814" t="s">
        <v>134</v>
      </c>
      <c r="J814" t="s">
        <v>135</v>
      </c>
      <c r="K814" t="s">
        <v>42</v>
      </c>
      <c r="L814" t="s">
        <v>1789</v>
      </c>
      <c r="M814" t="s">
        <v>44</v>
      </c>
      <c r="N814" t="s">
        <v>81</v>
      </c>
      <c r="O814" t="s">
        <v>176</v>
      </c>
      <c r="P814" t="s">
        <v>177</v>
      </c>
      <c r="Q814" t="s">
        <v>66</v>
      </c>
      <c r="R814" t="s">
        <v>67</v>
      </c>
      <c r="S814">
        <v>1</v>
      </c>
      <c r="T814" s="14">
        <v>50.7</v>
      </c>
      <c r="U814" s="7">
        <v>12</v>
      </c>
      <c r="V814" s="7">
        <v>22</v>
      </c>
      <c r="W814" s="14">
        <v>84.7</v>
      </c>
      <c r="X814" s="14">
        <v>169</v>
      </c>
      <c r="Y814" s="16">
        <v>15</v>
      </c>
      <c r="Z814" s="12">
        <v>143.65</v>
      </c>
      <c r="AA814" s="5">
        <v>58.95</v>
      </c>
      <c r="AB814" s="18">
        <v>41.04</v>
      </c>
      <c r="AC814" t="s">
        <v>2145</v>
      </c>
      <c r="AD814" t="s">
        <v>51</v>
      </c>
      <c r="AE814" t="s">
        <v>105</v>
      </c>
      <c r="AF814">
        <v>5</v>
      </c>
      <c r="AG814" t="s">
        <v>53</v>
      </c>
    </row>
    <row r="815" spans="1:33">
      <c r="A815" t="s">
        <v>1790</v>
      </c>
      <c r="B815" s="10">
        <v>45811</v>
      </c>
      <c r="C815" s="3" t="s">
        <v>148</v>
      </c>
      <c r="D815" t="s">
        <v>156</v>
      </c>
      <c r="E815" t="s">
        <v>174</v>
      </c>
      <c r="F815" t="s">
        <v>131</v>
      </c>
      <c r="G815" t="s">
        <v>132</v>
      </c>
      <c r="H815" t="s">
        <v>58</v>
      </c>
      <c r="I815" t="s">
        <v>59</v>
      </c>
      <c r="J815" t="s">
        <v>60</v>
      </c>
      <c r="K815" t="s">
        <v>61</v>
      </c>
      <c r="L815" t="s">
        <v>1791</v>
      </c>
      <c r="M815" t="s">
        <v>44</v>
      </c>
      <c r="N815" t="s">
        <v>110</v>
      </c>
      <c r="O815" t="s">
        <v>189</v>
      </c>
      <c r="P815" t="s">
        <v>190</v>
      </c>
      <c r="Q815" t="s">
        <v>48</v>
      </c>
      <c r="R815" t="s">
        <v>49</v>
      </c>
      <c r="S815">
        <v>3</v>
      </c>
      <c r="T815" s="14">
        <v>66.78</v>
      </c>
      <c r="U815" s="7">
        <v>12</v>
      </c>
      <c r="V815" s="7">
        <v>22</v>
      </c>
      <c r="W815" s="14">
        <v>100.78</v>
      </c>
      <c r="X815" s="14">
        <v>222.6</v>
      </c>
      <c r="Y815" s="16">
        <v>0</v>
      </c>
      <c r="Z815" s="12">
        <v>667.8</v>
      </c>
      <c r="AA815" s="5">
        <v>365.46</v>
      </c>
      <c r="AB815" s="18">
        <v>54.73</v>
      </c>
      <c r="AC815" t="s">
        <v>2145</v>
      </c>
      <c r="AD815" t="s">
        <v>86</v>
      </c>
      <c r="AE815" t="s">
        <v>68</v>
      </c>
      <c r="AF815">
        <v>5</v>
      </c>
      <c r="AG815" t="s">
        <v>53</v>
      </c>
    </row>
    <row r="816" spans="1:33">
      <c r="A816" t="s">
        <v>1792</v>
      </c>
      <c r="B816" s="10">
        <v>45889</v>
      </c>
      <c r="C816" s="3" t="s">
        <v>194</v>
      </c>
      <c r="D816" t="s">
        <v>129</v>
      </c>
      <c r="E816" t="s">
        <v>99</v>
      </c>
      <c r="F816" t="s">
        <v>73</v>
      </c>
      <c r="G816" t="s">
        <v>74</v>
      </c>
      <c r="H816" t="s">
        <v>115</v>
      </c>
      <c r="I816" t="s">
        <v>116</v>
      </c>
      <c r="J816" t="s">
        <v>117</v>
      </c>
      <c r="K816" t="s">
        <v>61</v>
      </c>
      <c r="L816" t="s">
        <v>1793</v>
      </c>
      <c r="M816" t="s">
        <v>63</v>
      </c>
      <c r="N816" t="s">
        <v>45</v>
      </c>
      <c r="O816" t="s">
        <v>119</v>
      </c>
      <c r="P816" t="s">
        <v>120</v>
      </c>
      <c r="Q816" t="s">
        <v>103</v>
      </c>
      <c r="R816" t="s">
        <v>84</v>
      </c>
      <c r="S816">
        <v>3</v>
      </c>
      <c r="T816" s="14">
        <v>46.44</v>
      </c>
      <c r="U816" s="7">
        <v>12</v>
      </c>
      <c r="V816" s="7">
        <v>22</v>
      </c>
      <c r="W816" s="14">
        <v>80.44</v>
      </c>
      <c r="X816" s="14">
        <v>154.80000000000001</v>
      </c>
      <c r="Y816" s="16">
        <v>0</v>
      </c>
      <c r="Z816" s="12">
        <v>464.4</v>
      </c>
      <c r="AA816" s="5">
        <v>223.08</v>
      </c>
      <c r="AB816" s="18">
        <v>48.04</v>
      </c>
      <c r="AC816" t="s">
        <v>104</v>
      </c>
      <c r="AD816" t="s">
        <v>86</v>
      </c>
      <c r="AE816" t="s">
        <v>68</v>
      </c>
      <c r="AF816">
        <v>5</v>
      </c>
      <c r="AG816" t="s">
        <v>53</v>
      </c>
    </row>
    <row r="817" spans="1:33">
      <c r="A817" t="s">
        <v>1794</v>
      </c>
      <c r="B817" s="10">
        <v>45876</v>
      </c>
      <c r="C817" s="3" t="s">
        <v>160</v>
      </c>
      <c r="D817" t="s">
        <v>56</v>
      </c>
      <c r="E817" t="s">
        <v>99</v>
      </c>
      <c r="F817" t="s">
        <v>73</v>
      </c>
      <c r="G817" t="s">
        <v>74</v>
      </c>
      <c r="H817" t="s">
        <v>58</v>
      </c>
      <c r="I817" t="s">
        <v>59</v>
      </c>
      <c r="J817" t="s">
        <v>60</v>
      </c>
      <c r="K817" t="s">
        <v>61</v>
      </c>
      <c r="L817" t="s">
        <v>1795</v>
      </c>
      <c r="M817" t="s">
        <v>44</v>
      </c>
      <c r="N817" t="s">
        <v>81</v>
      </c>
      <c r="O817" t="s">
        <v>101</v>
      </c>
      <c r="P817" t="s">
        <v>102</v>
      </c>
      <c r="Q817" t="s">
        <v>103</v>
      </c>
      <c r="R817" t="s">
        <v>49</v>
      </c>
      <c r="S817">
        <v>1</v>
      </c>
      <c r="T817" s="14">
        <v>62.58</v>
      </c>
      <c r="U817" s="7">
        <v>12</v>
      </c>
      <c r="V817" s="7">
        <v>22</v>
      </c>
      <c r="W817" s="14">
        <v>96.58</v>
      </c>
      <c r="X817" s="14">
        <v>208.6</v>
      </c>
      <c r="Y817" s="16">
        <v>0</v>
      </c>
      <c r="Z817" s="12">
        <v>208.6</v>
      </c>
      <c r="AA817" s="5">
        <v>112.02</v>
      </c>
      <c r="AB817" s="18">
        <v>53.7</v>
      </c>
      <c r="AC817" t="s">
        <v>50</v>
      </c>
      <c r="AD817" t="s">
        <v>158</v>
      </c>
      <c r="AE817" t="s">
        <v>68</v>
      </c>
      <c r="AF817">
        <v>5</v>
      </c>
      <c r="AG817" t="s">
        <v>53</v>
      </c>
    </row>
    <row r="818" spans="1:33">
      <c r="A818" t="s">
        <v>1796</v>
      </c>
      <c r="B818" s="10">
        <v>45827</v>
      </c>
      <c r="C818" s="3" t="s">
        <v>194</v>
      </c>
      <c r="D818" t="s">
        <v>56</v>
      </c>
      <c r="E818" t="s">
        <v>174</v>
      </c>
      <c r="F818" t="s">
        <v>131</v>
      </c>
      <c r="G818" t="s">
        <v>132</v>
      </c>
      <c r="H818" t="s">
        <v>115</v>
      </c>
      <c r="I818" t="s">
        <v>116</v>
      </c>
      <c r="J818" t="s">
        <v>117</v>
      </c>
      <c r="K818" t="s">
        <v>61</v>
      </c>
      <c r="L818" t="s">
        <v>1797</v>
      </c>
      <c r="M818" t="s">
        <v>63</v>
      </c>
      <c r="N818" t="s">
        <v>45</v>
      </c>
      <c r="O818" t="s">
        <v>82</v>
      </c>
      <c r="P818" t="s">
        <v>83</v>
      </c>
      <c r="Q818" t="s">
        <v>66</v>
      </c>
      <c r="R818" t="s">
        <v>84</v>
      </c>
      <c r="S818">
        <v>2</v>
      </c>
      <c r="T818" s="14">
        <v>86.04</v>
      </c>
      <c r="U818" s="7">
        <v>12</v>
      </c>
      <c r="V818" s="7">
        <v>22</v>
      </c>
      <c r="W818" s="14">
        <v>120.04</v>
      </c>
      <c r="X818" s="14">
        <v>286.8</v>
      </c>
      <c r="Y818" s="16">
        <v>10</v>
      </c>
      <c r="Z818" s="12">
        <v>516.24</v>
      </c>
      <c r="AA818" s="5">
        <v>276.16000000000003</v>
      </c>
      <c r="AB818" s="18">
        <v>53.49</v>
      </c>
      <c r="AC818" t="s">
        <v>50</v>
      </c>
      <c r="AD818" t="s">
        <v>86</v>
      </c>
      <c r="AE818" t="s">
        <v>52</v>
      </c>
      <c r="AF818">
        <v>5</v>
      </c>
      <c r="AG818" t="s">
        <v>53</v>
      </c>
    </row>
    <row r="819" spans="1:33">
      <c r="A819" t="s">
        <v>1798</v>
      </c>
      <c r="B819" s="10">
        <v>45790</v>
      </c>
      <c r="C819" s="3" t="s">
        <v>55</v>
      </c>
      <c r="D819" t="s">
        <v>156</v>
      </c>
      <c r="E819" t="s">
        <v>130</v>
      </c>
      <c r="F819" t="s">
        <v>131</v>
      </c>
      <c r="G819" t="s">
        <v>132</v>
      </c>
      <c r="H819" t="s">
        <v>133</v>
      </c>
      <c r="I819" t="s">
        <v>134</v>
      </c>
      <c r="J819" t="s">
        <v>135</v>
      </c>
      <c r="K819" t="s">
        <v>42</v>
      </c>
      <c r="L819" t="s">
        <v>1799</v>
      </c>
      <c r="M819" t="s">
        <v>44</v>
      </c>
      <c r="N819" t="s">
        <v>45</v>
      </c>
      <c r="O819" t="s">
        <v>189</v>
      </c>
      <c r="P819" t="s">
        <v>190</v>
      </c>
      <c r="Q819" t="s">
        <v>48</v>
      </c>
      <c r="R819" t="s">
        <v>49</v>
      </c>
      <c r="S819">
        <v>3</v>
      </c>
      <c r="T819" s="14">
        <v>66.78</v>
      </c>
      <c r="U819" s="7">
        <v>12</v>
      </c>
      <c r="V819" s="7">
        <v>22</v>
      </c>
      <c r="W819" s="14">
        <v>100.78</v>
      </c>
      <c r="X819" s="14">
        <v>222.6</v>
      </c>
      <c r="Y819" s="16">
        <v>10</v>
      </c>
      <c r="Z819" s="12">
        <v>601.02</v>
      </c>
      <c r="AA819" s="5">
        <v>298.68</v>
      </c>
      <c r="AB819" s="18">
        <v>49.7</v>
      </c>
      <c r="AC819" t="s">
        <v>104</v>
      </c>
      <c r="AD819" t="s">
        <v>51</v>
      </c>
      <c r="AE819" t="s">
        <v>52</v>
      </c>
      <c r="AF819">
        <v>4</v>
      </c>
      <c r="AG819" t="s">
        <v>53</v>
      </c>
    </row>
    <row r="820" spans="1:33">
      <c r="A820" t="s">
        <v>1800</v>
      </c>
      <c r="B820" s="10">
        <v>45725</v>
      </c>
      <c r="C820" s="3" t="s">
        <v>199</v>
      </c>
      <c r="D820" t="s">
        <v>89</v>
      </c>
      <c r="E820" t="s">
        <v>108</v>
      </c>
      <c r="F820" t="s">
        <v>91</v>
      </c>
      <c r="G820" t="s">
        <v>38</v>
      </c>
      <c r="H820" t="s">
        <v>142</v>
      </c>
      <c r="I820" t="s">
        <v>143</v>
      </c>
      <c r="J820" t="s">
        <v>144</v>
      </c>
      <c r="K820" t="s">
        <v>145</v>
      </c>
      <c r="L820" t="s">
        <v>1801</v>
      </c>
      <c r="M820" t="s">
        <v>63</v>
      </c>
      <c r="N820" t="s">
        <v>110</v>
      </c>
      <c r="O820" t="s">
        <v>94</v>
      </c>
      <c r="P820" t="s">
        <v>95</v>
      </c>
      <c r="Q820" t="s">
        <v>66</v>
      </c>
      <c r="R820" t="s">
        <v>49</v>
      </c>
      <c r="S820">
        <v>3</v>
      </c>
      <c r="T820" s="14">
        <v>91.98</v>
      </c>
      <c r="U820" s="7">
        <v>12</v>
      </c>
      <c r="V820" s="7">
        <v>22</v>
      </c>
      <c r="W820" s="14">
        <v>125.98</v>
      </c>
      <c r="X820" s="14">
        <v>306.60000000000002</v>
      </c>
      <c r="Y820" s="16">
        <v>10</v>
      </c>
      <c r="Z820" s="12">
        <v>827.82</v>
      </c>
      <c r="AA820" s="5">
        <v>449.88</v>
      </c>
      <c r="AB820" s="18">
        <v>54.35</v>
      </c>
      <c r="AC820" t="s">
        <v>50</v>
      </c>
      <c r="AD820" t="s">
        <v>51</v>
      </c>
      <c r="AE820" t="s">
        <v>105</v>
      </c>
      <c r="AF820">
        <v>4</v>
      </c>
      <c r="AG820" t="s">
        <v>53</v>
      </c>
    </row>
    <row r="821" spans="1:33">
      <c r="A821" t="s">
        <v>1802</v>
      </c>
      <c r="B821" s="10">
        <v>45857</v>
      </c>
      <c r="C821" s="3" t="s">
        <v>55</v>
      </c>
      <c r="D821" t="s">
        <v>71</v>
      </c>
      <c r="E821" t="s">
        <v>114</v>
      </c>
      <c r="F821" t="s">
        <v>73</v>
      </c>
      <c r="G821" t="s">
        <v>74</v>
      </c>
      <c r="H821" t="s">
        <v>142</v>
      </c>
      <c r="I821" t="s">
        <v>143</v>
      </c>
      <c r="J821" t="s">
        <v>144</v>
      </c>
      <c r="K821" t="s">
        <v>145</v>
      </c>
      <c r="L821" t="s">
        <v>1803</v>
      </c>
      <c r="M821" t="s">
        <v>44</v>
      </c>
      <c r="N821" t="s">
        <v>81</v>
      </c>
      <c r="O821" t="s">
        <v>452</v>
      </c>
      <c r="P821" t="s">
        <v>453</v>
      </c>
      <c r="Q821" t="s">
        <v>215</v>
      </c>
      <c r="R821" t="s">
        <v>84</v>
      </c>
      <c r="S821">
        <v>2</v>
      </c>
      <c r="T821" s="14">
        <v>118.44</v>
      </c>
      <c r="U821" s="7">
        <v>12</v>
      </c>
      <c r="V821" s="7">
        <v>22</v>
      </c>
      <c r="W821" s="14">
        <v>152.44</v>
      </c>
      <c r="X821" s="14">
        <v>394.8</v>
      </c>
      <c r="Y821" s="16">
        <v>15</v>
      </c>
      <c r="Z821" s="12">
        <v>671.16</v>
      </c>
      <c r="AA821" s="5">
        <v>366.28</v>
      </c>
      <c r="AB821" s="18">
        <v>54.57</v>
      </c>
      <c r="AC821" t="s">
        <v>111</v>
      </c>
      <c r="AD821" t="s">
        <v>51</v>
      </c>
      <c r="AE821" t="s">
        <v>96</v>
      </c>
      <c r="AF821">
        <v>5</v>
      </c>
      <c r="AG821" t="s">
        <v>53</v>
      </c>
    </row>
    <row r="822" spans="1:33">
      <c r="A822" t="s">
        <v>1804</v>
      </c>
      <c r="B822" s="10">
        <v>45693</v>
      </c>
      <c r="C822" s="3" t="s">
        <v>113</v>
      </c>
      <c r="D822" t="s">
        <v>129</v>
      </c>
      <c r="E822" t="s">
        <v>90</v>
      </c>
      <c r="F822" t="s">
        <v>91</v>
      </c>
      <c r="G822" t="s">
        <v>92</v>
      </c>
      <c r="H822" t="s">
        <v>58</v>
      </c>
      <c r="I822" t="s">
        <v>59</v>
      </c>
      <c r="J822" t="s">
        <v>60</v>
      </c>
      <c r="K822" t="s">
        <v>61</v>
      </c>
      <c r="L822" t="s">
        <v>1805</v>
      </c>
      <c r="M822" t="s">
        <v>80</v>
      </c>
      <c r="N822" t="s">
        <v>81</v>
      </c>
      <c r="O822" t="s">
        <v>82</v>
      </c>
      <c r="P822" t="s">
        <v>83</v>
      </c>
      <c r="Q822" t="s">
        <v>66</v>
      </c>
      <c r="R822" t="s">
        <v>84</v>
      </c>
      <c r="S822">
        <v>2</v>
      </c>
      <c r="T822" s="14">
        <v>86.04</v>
      </c>
      <c r="U822" s="7">
        <v>12</v>
      </c>
      <c r="V822" s="7">
        <v>22</v>
      </c>
      <c r="W822" s="14">
        <v>120.04</v>
      </c>
      <c r="X822" s="14">
        <v>286.8</v>
      </c>
      <c r="Y822" s="16">
        <v>5</v>
      </c>
      <c r="Z822" s="12">
        <v>544.91999999999996</v>
      </c>
      <c r="AA822" s="5">
        <v>304.83999999999997</v>
      </c>
      <c r="AB822" s="18">
        <v>55.94</v>
      </c>
      <c r="AC822" t="s">
        <v>111</v>
      </c>
      <c r="AD822" t="s">
        <v>86</v>
      </c>
      <c r="AE822" t="s">
        <v>68</v>
      </c>
      <c r="AF822">
        <v>5</v>
      </c>
      <c r="AG822" t="s">
        <v>53</v>
      </c>
    </row>
    <row r="823" spans="1:33">
      <c r="A823" t="s">
        <v>1806</v>
      </c>
      <c r="B823" s="10">
        <v>45726</v>
      </c>
      <c r="C823" s="3" t="s">
        <v>182</v>
      </c>
      <c r="D823" t="s">
        <v>206</v>
      </c>
      <c r="E823" t="s">
        <v>108</v>
      </c>
      <c r="F823" t="s">
        <v>91</v>
      </c>
      <c r="G823" t="s">
        <v>38</v>
      </c>
      <c r="H823" t="s">
        <v>75</v>
      </c>
      <c r="I823" t="s">
        <v>76</v>
      </c>
      <c r="J823" t="s">
        <v>77</v>
      </c>
      <c r="K823" t="s">
        <v>78</v>
      </c>
      <c r="L823" t="s">
        <v>1807</v>
      </c>
      <c r="M823" t="s">
        <v>80</v>
      </c>
      <c r="N823" t="s">
        <v>110</v>
      </c>
      <c r="O823" t="s">
        <v>275</v>
      </c>
      <c r="P823" t="s">
        <v>276</v>
      </c>
      <c r="Q823" t="s">
        <v>125</v>
      </c>
      <c r="R823" t="s">
        <v>49</v>
      </c>
      <c r="S823">
        <v>3</v>
      </c>
      <c r="T823" s="14">
        <v>96.18</v>
      </c>
      <c r="U823" s="7">
        <v>12</v>
      </c>
      <c r="V823" s="7">
        <v>22</v>
      </c>
      <c r="W823" s="14">
        <v>130.18</v>
      </c>
      <c r="X823" s="14">
        <v>320.60000000000002</v>
      </c>
      <c r="Y823" s="16">
        <v>5</v>
      </c>
      <c r="Z823" s="12">
        <v>913.71</v>
      </c>
      <c r="AA823" s="5">
        <v>523.16999999999996</v>
      </c>
      <c r="AB823" s="18">
        <v>57.26</v>
      </c>
      <c r="AC823" t="s">
        <v>85</v>
      </c>
      <c r="AD823" t="s">
        <v>86</v>
      </c>
      <c r="AE823" t="s">
        <v>105</v>
      </c>
      <c r="AF823">
        <v>4</v>
      </c>
      <c r="AG823" t="s">
        <v>53</v>
      </c>
    </row>
    <row r="824" spans="1:33">
      <c r="A824" t="s">
        <v>1808</v>
      </c>
      <c r="B824" s="10">
        <v>45765</v>
      </c>
      <c r="C824" s="3" t="s">
        <v>141</v>
      </c>
      <c r="D824" t="s">
        <v>35</v>
      </c>
      <c r="E824" t="s">
        <v>280</v>
      </c>
      <c r="F824" t="s">
        <v>131</v>
      </c>
      <c r="G824" t="s">
        <v>132</v>
      </c>
      <c r="H824" t="s">
        <v>58</v>
      </c>
      <c r="I824" t="s">
        <v>59</v>
      </c>
      <c r="J824" t="s">
        <v>60</v>
      </c>
      <c r="K824" t="s">
        <v>61</v>
      </c>
      <c r="L824" t="s">
        <v>1809</v>
      </c>
      <c r="M824" t="s">
        <v>80</v>
      </c>
      <c r="N824" t="s">
        <v>110</v>
      </c>
      <c r="O824" t="s">
        <v>64</v>
      </c>
      <c r="P824" t="s">
        <v>65</v>
      </c>
      <c r="Q824" t="s">
        <v>66</v>
      </c>
      <c r="R824" t="s">
        <v>84</v>
      </c>
      <c r="S824">
        <v>3</v>
      </c>
      <c r="T824" s="14">
        <v>53.64</v>
      </c>
      <c r="U824" s="7">
        <v>12</v>
      </c>
      <c r="V824" s="7">
        <v>22</v>
      </c>
      <c r="W824" s="14">
        <v>87.64</v>
      </c>
      <c r="X824" s="14">
        <v>178.8</v>
      </c>
      <c r="Y824" s="16">
        <v>5</v>
      </c>
      <c r="Z824" s="12">
        <v>509.58</v>
      </c>
      <c r="AA824" s="5">
        <v>246.66</v>
      </c>
      <c r="AB824" s="18">
        <v>48.4</v>
      </c>
      <c r="AC824" t="s">
        <v>111</v>
      </c>
      <c r="AD824" t="s">
        <v>51</v>
      </c>
      <c r="AE824" t="s">
        <v>52</v>
      </c>
      <c r="AF824">
        <v>4</v>
      </c>
      <c r="AG824" t="s">
        <v>53</v>
      </c>
    </row>
    <row r="825" spans="1:33">
      <c r="A825" t="s">
        <v>1810</v>
      </c>
      <c r="B825" s="10">
        <v>45907</v>
      </c>
      <c r="C825" s="3" t="s">
        <v>113</v>
      </c>
      <c r="D825" t="s">
        <v>89</v>
      </c>
      <c r="E825" t="s">
        <v>72</v>
      </c>
      <c r="F825" t="s">
        <v>73</v>
      </c>
      <c r="G825" t="s">
        <v>74</v>
      </c>
      <c r="H825" t="s">
        <v>133</v>
      </c>
      <c r="I825" t="s">
        <v>134</v>
      </c>
      <c r="J825" t="s">
        <v>135</v>
      </c>
      <c r="K825" t="s">
        <v>42</v>
      </c>
      <c r="L825" t="s">
        <v>1811</v>
      </c>
      <c r="M825" t="s">
        <v>44</v>
      </c>
      <c r="N825" t="s">
        <v>81</v>
      </c>
      <c r="O825" t="s">
        <v>94</v>
      </c>
      <c r="P825" t="s">
        <v>95</v>
      </c>
      <c r="Q825" t="s">
        <v>66</v>
      </c>
      <c r="R825" t="s">
        <v>84</v>
      </c>
      <c r="S825">
        <v>3</v>
      </c>
      <c r="T825" s="14">
        <v>78.84</v>
      </c>
      <c r="U825" s="7">
        <v>12</v>
      </c>
      <c r="V825" s="7">
        <v>22</v>
      </c>
      <c r="W825" s="14">
        <v>112.84</v>
      </c>
      <c r="X825" s="14">
        <v>262.8</v>
      </c>
      <c r="Y825" s="16">
        <v>10</v>
      </c>
      <c r="Z825" s="12">
        <v>709.56</v>
      </c>
      <c r="AA825" s="5">
        <v>371.04</v>
      </c>
      <c r="AB825" s="18">
        <v>52.29</v>
      </c>
      <c r="AC825" t="s">
        <v>85</v>
      </c>
      <c r="AD825" t="s">
        <v>51</v>
      </c>
      <c r="AE825" t="s">
        <v>105</v>
      </c>
      <c r="AF825">
        <v>5</v>
      </c>
      <c r="AG825" t="s">
        <v>53</v>
      </c>
    </row>
    <row r="826" spans="1:33">
      <c r="A826" t="s">
        <v>1812</v>
      </c>
      <c r="B826" s="10">
        <v>45664</v>
      </c>
      <c r="C826" s="3" t="s">
        <v>194</v>
      </c>
      <c r="D826" t="s">
        <v>156</v>
      </c>
      <c r="E826" t="s">
        <v>152</v>
      </c>
      <c r="F826" t="s">
        <v>91</v>
      </c>
      <c r="G826" t="s">
        <v>92</v>
      </c>
      <c r="H826" t="s">
        <v>133</v>
      </c>
      <c r="I826" t="s">
        <v>134</v>
      </c>
      <c r="J826" t="s">
        <v>135</v>
      </c>
      <c r="K826" t="s">
        <v>42</v>
      </c>
      <c r="L826" t="s">
        <v>1813</v>
      </c>
      <c r="M826" t="s">
        <v>63</v>
      </c>
      <c r="N826" t="s">
        <v>45</v>
      </c>
      <c r="O826" t="s">
        <v>176</v>
      </c>
      <c r="P826" t="s">
        <v>177</v>
      </c>
      <c r="Q826" t="s">
        <v>66</v>
      </c>
      <c r="R826" t="s">
        <v>84</v>
      </c>
      <c r="S826">
        <v>2</v>
      </c>
      <c r="T826" s="14">
        <v>60.84</v>
      </c>
      <c r="U826" s="7">
        <v>12</v>
      </c>
      <c r="V826" s="7">
        <v>22</v>
      </c>
      <c r="W826" s="14">
        <v>94.84</v>
      </c>
      <c r="X826" s="14">
        <v>202.8</v>
      </c>
      <c r="Y826" s="16">
        <v>0</v>
      </c>
      <c r="Z826" s="12">
        <v>405.6</v>
      </c>
      <c r="AA826" s="5">
        <v>215.92</v>
      </c>
      <c r="AB826" s="18">
        <v>53.23</v>
      </c>
      <c r="AC826" t="s">
        <v>104</v>
      </c>
      <c r="AD826" t="s">
        <v>158</v>
      </c>
      <c r="AE826" t="s">
        <v>96</v>
      </c>
      <c r="AF826">
        <v>5</v>
      </c>
      <c r="AG826" t="s">
        <v>53</v>
      </c>
    </row>
    <row r="827" spans="1:33">
      <c r="A827" t="s">
        <v>1814</v>
      </c>
      <c r="B827" s="10">
        <v>45982</v>
      </c>
      <c r="C827" s="3" t="s">
        <v>310</v>
      </c>
      <c r="D827" t="s">
        <v>35</v>
      </c>
      <c r="E827" t="s">
        <v>57</v>
      </c>
      <c r="F827" t="s">
        <v>37</v>
      </c>
      <c r="G827" t="s">
        <v>38</v>
      </c>
      <c r="H827" t="s">
        <v>39</v>
      </c>
      <c r="I827" t="s">
        <v>2143</v>
      </c>
      <c r="J827" t="s">
        <v>41</v>
      </c>
      <c r="K827" t="s">
        <v>42</v>
      </c>
      <c r="L827" t="s">
        <v>1815</v>
      </c>
      <c r="M827" t="s">
        <v>80</v>
      </c>
      <c r="N827" t="s">
        <v>110</v>
      </c>
      <c r="O827" t="s">
        <v>46</v>
      </c>
      <c r="P827" t="s">
        <v>47</v>
      </c>
      <c r="Q827" t="s">
        <v>48</v>
      </c>
      <c r="R827" t="s">
        <v>84</v>
      </c>
      <c r="S827">
        <v>3</v>
      </c>
      <c r="T827" s="14">
        <v>93.24</v>
      </c>
      <c r="U827" s="7">
        <v>12</v>
      </c>
      <c r="V827" s="7">
        <v>22</v>
      </c>
      <c r="W827" s="14">
        <v>127.24</v>
      </c>
      <c r="X827" s="14">
        <v>310.8</v>
      </c>
      <c r="Y827" s="16">
        <v>0</v>
      </c>
      <c r="Z827" s="12">
        <v>932.4</v>
      </c>
      <c r="AA827" s="5">
        <v>550.67999999999995</v>
      </c>
      <c r="AB827" s="18">
        <v>59.06</v>
      </c>
      <c r="AC827" t="s">
        <v>104</v>
      </c>
      <c r="AD827" t="s">
        <v>158</v>
      </c>
      <c r="AE827" t="s">
        <v>68</v>
      </c>
      <c r="AF827">
        <v>4</v>
      </c>
      <c r="AG827" t="s">
        <v>53</v>
      </c>
    </row>
    <row r="828" spans="1:33">
      <c r="A828" t="s">
        <v>1816</v>
      </c>
      <c r="B828" s="10">
        <v>45740</v>
      </c>
      <c r="C828" s="3" t="s">
        <v>179</v>
      </c>
      <c r="D828" t="s">
        <v>206</v>
      </c>
      <c r="E828" t="s">
        <v>108</v>
      </c>
      <c r="F828" t="s">
        <v>91</v>
      </c>
      <c r="G828" t="s">
        <v>38</v>
      </c>
      <c r="H828" t="s">
        <v>133</v>
      </c>
      <c r="I828" t="s">
        <v>134</v>
      </c>
      <c r="J828" t="s">
        <v>135</v>
      </c>
      <c r="K828" t="s">
        <v>42</v>
      </c>
      <c r="L828" t="s">
        <v>1817</v>
      </c>
      <c r="M828" t="s">
        <v>80</v>
      </c>
      <c r="N828" t="s">
        <v>81</v>
      </c>
      <c r="O828" t="s">
        <v>82</v>
      </c>
      <c r="P828" t="s">
        <v>83</v>
      </c>
      <c r="Q828" t="s">
        <v>66</v>
      </c>
      <c r="R828" t="s">
        <v>49</v>
      </c>
      <c r="S828">
        <v>3</v>
      </c>
      <c r="T828" s="14">
        <v>100.38</v>
      </c>
      <c r="U828" s="7">
        <v>12</v>
      </c>
      <c r="V828" s="7">
        <v>22</v>
      </c>
      <c r="W828" s="14">
        <v>134.38</v>
      </c>
      <c r="X828" s="14">
        <v>334.6</v>
      </c>
      <c r="Y828" s="16">
        <v>10</v>
      </c>
      <c r="Z828" s="12">
        <v>903.42</v>
      </c>
      <c r="AA828" s="5">
        <v>500.28</v>
      </c>
      <c r="AB828" s="18">
        <v>55.38</v>
      </c>
      <c r="AC828" t="s">
        <v>50</v>
      </c>
      <c r="AD828" t="s">
        <v>158</v>
      </c>
      <c r="AE828" t="s">
        <v>96</v>
      </c>
      <c r="AF828">
        <v>5</v>
      </c>
      <c r="AG828" t="s">
        <v>53</v>
      </c>
    </row>
    <row r="829" spans="1:33">
      <c r="A829" t="s">
        <v>1818</v>
      </c>
      <c r="B829" s="10">
        <v>45826</v>
      </c>
      <c r="C829" s="3" t="s">
        <v>194</v>
      </c>
      <c r="D829" t="s">
        <v>129</v>
      </c>
      <c r="E829" t="s">
        <v>174</v>
      </c>
      <c r="F829" t="s">
        <v>131</v>
      </c>
      <c r="G829" t="s">
        <v>132</v>
      </c>
      <c r="H829" t="s">
        <v>39</v>
      </c>
      <c r="I829" t="s">
        <v>2143</v>
      </c>
      <c r="J829" t="s">
        <v>41</v>
      </c>
      <c r="K829" t="s">
        <v>42</v>
      </c>
      <c r="L829" t="s">
        <v>1819</v>
      </c>
      <c r="M829" t="s">
        <v>80</v>
      </c>
      <c r="N829" t="s">
        <v>81</v>
      </c>
      <c r="O829" t="s">
        <v>176</v>
      </c>
      <c r="P829" t="s">
        <v>177</v>
      </c>
      <c r="Q829" t="s">
        <v>66</v>
      </c>
      <c r="R829" t="s">
        <v>67</v>
      </c>
      <c r="S829">
        <v>2</v>
      </c>
      <c r="T829" s="14">
        <v>50.7</v>
      </c>
      <c r="U829" s="7">
        <v>12</v>
      </c>
      <c r="V829" s="7">
        <v>22</v>
      </c>
      <c r="W829" s="14">
        <v>84.7</v>
      </c>
      <c r="X829" s="14">
        <v>169</v>
      </c>
      <c r="Y829" s="16">
        <v>0</v>
      </c>
      <c r="Z829" s="12">
        <v>338</v>
      </c>
      <c r="AA829" s="5">
        <v>168.6</v>
      </c>
      <c r="AB829" s="18">
        <v>49.88</v>
      </c>
      <c r="AC829" t="s">
        <v>104</v>
      </c>
      <c r="AD829" t="s">
        <v>86</v>
      </c>
      <c r="AE829" t="s">
        <v>96</v>
      </c>
      <c r="AF829">
        <v>5</v>
      </c>
      <c r="AG829" t="s">
        <v>53</v>
      </c>
    </row>
    <row r="830" spans="1:33">
      <c r="A830" t="s">
        <v>1820</v>
      </c>
      <c r="B830" s="10">
        <v>45875</v>
      </c>
      <c r="C830" s="3" t="s">
        <v>310</v>
      </c>
      <c r="D830" t="s">
        <v>129</v>
      </c>
      <c r="E830" t="s">
        <v>99</v>
      </c>
      <c r="F830" t="s">
        <v>73</v>
      </c>
      <c r="G830" t="s">
        <v>74</v>
      </c>
      <c r="H830" t="s">
        <v>75</v>
      </c>
      <c r="I830" t="s">
        <v>76</v>
      </c>
      <c r="J830" t="s">
        <v>77</v>
      </c>
      <c r="K830" t="s">
        <v>78</v>
      </c>
      <c r="L830" t="s">
        <v>1821</v>
      </c>
      <c r="M830" t="s">
        <v>63</v>
      </c>
      <c r="N830" t="s">
        <v>110</v>
      </c>
      <c r="O830" t="s">
        <v>275</v>
      </c>
      <c r="P830" t="s">
        <v>276</v>
      </c>
      <c r="Q830" t="s">
        <v>125</v>
      </c>
      <c r="R830" t="s">
        <v>49</v>
      </c>
      <c r="S830">
        <v>1</v>
      </c>
      <c r="T830" s="14">
        <v>96.18</v>
      </c>
      <c r="U830" s="7">
        <v>12</v>
      </c>
      <c r="V830" s="7">
        <v>22</v>
      </c>
      <c r="W830" s="14">
        <v>130.18</v>
      </c>
      <c r="X830" s="14">
        <v>320.60000000000002</v>
      </c>
      <c r="Y830" s="16">
        <v>0</v>
      </c>
      <c r="Z830" s="12">
        <v>320.60000000000002</v>
      </c>
      <c r="AA830" s="5">
        <v>190.42</v>
      </c>
      <c r="AB830" s="18">
        <v>59.39</v>
      </c>
      <c r="AC830" t="s">
        <v>50</v>
      </c>
      <c r="AD830" t="s">
        <v>51</v>
      </c>
      <c r="AE830" t="s">
        <v>52</v>
      </c>
      <c r="AF830">
        <v>5</v>
      </c>
      <c r="AG830" t="s">
        <v>53</v>
      </c>
    </row>
    <row r="831" spans="1:33">
      <c r="A831" t="s">
        <v>1822</v>
      </c>
      <c r="B831" s="10">
        <v>45865</v>
      </c>
      <c r="C831" s="3" t="s">
        <v>179</v>
      </c>
      <c r="D831" t="s">
        <v>89</v>
      </c>
      <c r="E831" t="s">
        <v>114</v>
      </c>
      <c r="F831" t="s">
        <v>73</v>
      </c>
      <c r="G831" t="s">
        <v>74</v>
      </c>
      <c r="H831" t="s">
        <v>115</v>
      </c>
      <c r="I831" t="s">
        <v>116</v>
      </c>
      <c r="J831" t="s">
        <v>117</v>
      </c>
      <c r="K831" t="s">
        <v>61</v>
      </c>
      <c r="L831" t="s">
        <v>1823</v>
      </c>
      <c r="M831" t="s">
        <v>44</v>
      </c>
      <c r="N831" t="s">
        <v>81</v>
      </c>
      <c r="O831" t="s">
        <v>176</v>
      </c>
      <c r="P831" t="s">
        <v>177</v>
      </c>
      <c r="Q831" t="s">
        <v>66</v>
      </c>
      <c r="R831" t="s">
        <v>84</v>
      </c>
      <c r="S831">
        <v>1</v>
      </c>
      <c r="T831" s="14">
        <v>60.84</v>
      </c>
      <c r="U831" s="7">
        <v>12</v>
      </c>
      <c r="V831" s="7">
        <v>22</v>
      </c>
      <c r="W831" s="14">
        <v>94.84</v>
      </c>
      <c r="X831" s="14">
        <v>202.8</v>
      </c>
      <c r="Y831" s="16">
        <v>15</v>
      </c>
      <c r="Z831" s="12">
        <v>172.38</v>
      </c>
      <c r="AA831" s="5">
        <v>77.540000000000006</v>
      </c>
      <c r="AB831" s="18">
        <v>44.98</v>
      </c>
      <c r="AC831" t="s">
        <v>111</v>
      </c>
      <c r="AD831" t="s">
        <v>86</v>
      </c>
      <c r="AE831" t="s">
        <v>126</v>
      </c>
      <c r="AF831">
        <v>5</v>
      </c>
      <c r="AG831" t="s">
        <v>53</v>
      </c>
    </row>
    <row r="832" spans="1:33">
      <c r="A832" t="s">
        <v>1824</v>
      </c>
      <c r="B832" s="10">
        <v>45813</v>
      </c>
      <c r="C832" s="3" t="s">
        <v>307</v>
      </c>
      <c r="D832" t="s">
        <v>56</v>
      </c>
      <c r="E832" t="s">
        <v>174</v>
      </c>
      <c r="F832" t="s">
        <v>131</v>
      </c>
      <c r="G832" t="s">
        <v>132</v>
      </c>
      <c r="H832" t="s">
        <v>58</v>
      </c>
      <c r="I832" t="s">
        <v>59</v>
      </c>
      <c r="J832" t="s">
        <v>60</v>
      </c>
      <c r="K832" t="s">
        <v>61</v>
      </c>
      <c r="L832" t="s">
        <v>1825</v>
      </c>
      <c r="M832" t="s">
        <v>44</v>
      </c>
      <c r="N832" t="s">
        <v>110</v>
      </c>
      <c r="O832" t="s">
        <v>162</v>
      </c>
      <c r="P832" t="s">
        <v>163</v>
      </c>
      <c r="Q832" t="s">
        <v>48</v>
      </c>
      <c r="R832" t="s">
        <v>49</v>
      </c>
      <c r="S832">
        <v>3</v>
      </c>
      <c r="T832" s="14">
        <v>104.58</v>
      </c>
      <c r="U832" s="7">
        <v>12</v>
      </c>
      <c r="V832" s="7">
        <v>22</v>
      </c>
      <c r="W832" s="14">
        <v>138.58000000000001</v>
      </c>
      <c r="X832" s="14">
        <v>348.6</v>
      </c>
      <c r="Y832" s="16">
        <v>10</v>
      </c>
      <c r="Z832" s="12">
        <v>941.22</v>
      </c>
      <c r="AA832" s="5">
        <v>525.48</v>
      </c>
      <c r="AB832" s="18">
        <v>55.83</v>
      </c>
      <c r="AC832" t="s">
        <v>85</v>
      </c>
      <c r="AD832" t="s">
        <v>51</v>
      </c>
      <c r="AE832" t="s">
        <v>96</v>
      </c>
      <c r="AF832">
        <v>5</v>
      </c>
      <c r="AG832" t="s">
        <v>53</v>
      </c>
    </row>
    <row r="833" spans="1:33">
      <c r="A833" t="s">
        <v>1826</v>
      </c>
      <c r="B833" s="10">
        <v>45696</v>
      </c>
      <c r="C833" s="3" t="s">
        <v>88</v>
      </c>
      <c r="D833" t="s">
        <v>71</v>
      </c>
      <c r="E833" t="s">
        <v>90</v>
      </c>
      <c r="F833" t="s">
        <v>91</v>
      </c>
      <c r="G833" t="s">
        <v>92</v>
      </c>
      <c r="H833" t="s">
        <v>115</v>
      </c>
      <c r="I833" t="s">
        <v>116</v>
      </c>
      <c r="J833" t="s">
        <v>117</v>
      </c>
      <c r="K833" t="s">
        <v>61</v>
      </c>
      <c r="L833" t="s">
        <v>1827</v>
      </c>
      <c r="M833" t="s">
        <v>80</v>
      </c>
      <c r="N833" t="s">
        <v>45</v>
      </c>
      <c r="O833" t="s">
        <v>94</v>
      </c>
      <c r="P833" t="s">
        <v>95</v>
      </c>
      <c r="Q833" t="s">
        <v>66</v>
      </c>
      <c r="R833" t="s">
        <v>67</v>
      </c>
      <c r="S833">
        <v>4</v>
      </c>
      <c r="T833" s="14">
        <v>65.7</v>
      </c>
      <c r="U833" s="7">
        <v>12</v>
      </c>
      <c r="V833" s="7">
        <v>22</v>
      </c>
      <c r="W833" s="14">
        <v>99.7</v>
      </c>
      <c r="X833" s="14">
        <v>219</v>
      </c>
      <c r="Y833" s="16">
        <v>15</v>
      </c>
      <c r="Z833" s="12">
        <v>744.6</v>
      </c>
      <c r="AA833" s="5">
        <v>345.8</v>
      </c>
      <c r="AB833" s="18">
        <v>46.44</v>
      </c>
      <c r="AC833" t="s">
        <v>85</v>
      </c>
      <c r="AD833" t="s">
        <v>51</v>
      </c>
      <c r="AE833" t="s">
        <v>96</v>
      </c>
      <c r="AF833">
        <v>4</v>
      </c>
      <c r="AG833" t="s">
        <v>53</v>
      </c>
    </row>
    <row r="834" spans="1:33">
      <c r="A834" t="s">
        <v>1828</v>
      </c>
      <c r="B834" s="10">
        <v>45926</v>
      </c>
      <c r="C834" s="3" t="s">
        <v>70</v>
      </c>
      <c r="D834" t="s">
        <v>35</v>
      </c>
      <c r="E834" t="s">
        <v>72</v>
      </c>
      <c r="F834" t="s">
        <v>73</v>
      </c>
      <c r="G834" t="s">
        <v>74</v>
      </c>
      <c r="H834" t="s">
        <v>39</v>
      </c>
      <c r="I834" t="s">
        <v>2143</v>
      </c>
      <c r="J834" t="s">
        <v>41</v>
      </c>
      <c r="K834" t="s">
        <v>42</v>
      </c>
      <c r="L834" t="s">
        <v>1829</v>
      </c>
      <c r="M834" t="s">
        <v>63</v>
      </c>
      <c r="N834" t="s">
        <v>81</v>
      </c>
      <c r="O834" t="s">
        <v>168</v>
      </c>
      <c r="P834" t="s">
        <v>169</v>
      </c>
      <c r="Q834" t="s">
        <v>139</v>
      </c>
      <c r="R834" t="s">
        <v>67</v>
      </c>
      <c r="S834">
        <v>2</v>
      </c>
      <c r="T834" s="14">
        <v>47.7</v>
      </c>
      <c r="U834" s="7">
        <v>12</v>
      </c>
      <c r="V834" s="7">
        <v>22</v>
      </c>
      <c r="W834" s="14">
        <v>81.7</v>
      </c>
      <c r="X834" s="14">
        <v>159</v>
      </c>
      <c r="Y834" s="16">
        <v>0</v>
      </c>
      <c r="Z834" s="12">
        <v>318</v>
      </c>
      <c r="AA834" s="5">
        <v>154.6</v>
      </c>
      <c r="AB834" s="18">
        <v>48.62</v>
      </c>
      <c r="AC834" t="s">
        <v>104</v>
      </c>
      <c r="AD834" t="s">
        <v>51</v>
      </c>
      <c r="AE834" t="s">
        <v>68</v>
      </c>
      <c r="AF834">
        <v>4</v>
      </c>
      <c r="AG834" t="s">
        <v>53</v>
      </c>
    </row>
    <row r="835" spans="1:33">
      <c r="A835" t="s">
        <v>1830</v>
      </c>
      <c r="B835" s="10">
        <v>45782</v>
      </c>
      <c r="C835" s="3" t="s">
        <v>113</v>
      </c>
      <c r="D835" t="s">
        <v>206</v>
      </c>
      <c r="E835" t="s">
        <v>130</v>
      </c>
      <c r="F835" t="s">
        <v>131</v>
      </c>
      <c r="G835" t="s">
        <v>132</v>
      </c>
      <c r="H835" t="s">
        <v>133</v>
      </c>
      <c r="I835" t="s">
        <v>134</v>
      </c>
      <c r="J835" t="s">
        <v>135</v>
      </c>
      <c r="K835" t="s">
        <v>42</v>
      </c>
      <c r="L835" t="s">
        <v>1831</v>
      </c>
      <c r="M835" t="s">
        <v>80</v>
      </c>
      <c r="N835" t="s">
        <v>110</v>
      </c>
      <c r="O835" t="s">
        <v>82</v>
      </c>
      <c r="P835" t="s">
        <v>83</v>
      </c>
      <c r="Q835" t="s">
        <v>66</v>
      </c>
      <c r="R835" t="s">
        <v>67</v>
      </c>
      <c r="S835">
        <v>1</v>
      </c>
      <c r="T835" s="14">
        <v>71.7</v>
      </c>
      <c r="U835" s="7">
        <v>12</v>
      </c>
      <c r="V835" s="7">
        <v>22</v>
      </c>
      <c r="W835" s="14">
        <v>105.7</v>
      </c>
      <c r="X835" s="14">
        <v>239</v>
      </c>
      <c r="Y835" s="16">
        <v>0</v>
      </c>
      <c r="Z835" s="12">
        <v>239</v>
      </c>
      <c r="AA835" s="5">
        <v>133.30000000000001</v>
      </c>
      <c r="AB835" s="18">
        <v>55.77</v>
      </c>
      <c r="AC835" t="s">
        <v>104</v>
      </c>
      <c r="AD835" t="s">
        <v>158</v>
      </c>
      <c r="AE835" t="s">
        <v>126</v>
      </c>
      <c r="AF835">
        <v>4</v>
      </c>
      <c r="AG835" t="s">
        <v>53</v>
      </c>
    </row>
    <row r="836" spans="1:33">
      <c r="A836" t="s">
        <v>1832</v>
      </c>
      <c r="B836" s="10">
        <v>45766</v>
      </c>
      <c r="C836" s="3" t="s">
        <v>34</v>
      </c>
      <c r="D836" t="s">
        <v>71</v>
      </c>
      <c r="E836" t="s">
        <v>280</v>
      </c>
      <c r="F836" t="s">
        <v>131</v>
      </c>
      <c r="G836" t="s">
        <v>132</v>
      </c>
      <c r="H836" t="s">
        <v>58</v>
      </c>
      <c r="I836" t="s">
        <v>59</v>
      </c>
      <c r="J836" t="s">
        <v>60</v>
      </c>
      <c r="K836" t="s">
        <v>61</v>
      </c>
      <c r="L836" t="s">
        <v>1833</v>
      </c>
      <c r="M836" t="s">
        <v>63</v>
      </c>
      <c r="N836" t="s">
        <v>45</v>
      </c>
      <c r="O836" t="s">
        <v>452</v>
      </c>
      <c r="P836" t="s">
        <v>453</v>
      </c>
      <c r="Q836" t="s">
        <v>215</v>
      </c>
      <c r="R836" t="s">
        <v>84</v>
      </c>
      <c r="S836">
        <v>2</v>
      </c>
      <c r="T836" s="14">
        <v>118.44</v>
      </c>
      <c r="U836" s="7">
        <v>12</v>
      </c>
      <c r="V836" s="7">
        <v>22</v>
      </c>
      <c r="W836" s="14">
        <v>152.44</v>
      </c>
      <c r="X836" s="14">
        <v>394.8</v>
      </c>
      <c r="Y836" s="16">
        <v>10</v>
      </c>
      <c r="Z836" s="12">
        <v>710.64</v>
      </c>
      <c r="AA836" s="5">
        <v>405.76</v>
      </c>
      <c r="AB836" s="18">
        <v>57.1</v>
      </c>
      <c r="AC836" t="s">
        <v>85</v>
      </c>
      <c r="AD836" t="s">
        <v>51</v>
      </c>
      <c r="AE836" t="s">
        <v>68</v>
      </c>
      <c r="AF836">
        <v>5</v>
      </c>
      <c r="AG836" t="s">
        <v>53</v>
      </c>
    </row>
    <row r="837" spans="1:33">
      <c r="A837" t="s">
        <v>1834</v>
      </c>
      <c r="B837" s="10">
        <v>45882</v>
      </c>
      <c r="C837" s="3" t="s">
        <v>219</v>
      </c>
      <c r="D837" t="s">
        <v>129</v>
      </c>
      <c r="E837" t="s">
        <v>99</v>
      </c>
      <c r="F837" t="s">
        <v>73</v>
      </c>
      <c r="G837" t="s">
        <v>74</v>
      </c>
      <c r="H837" t="s">
        <v>39</v>
      </c>
      <c r="I837" t="s">
        <v>2143</v>
      </c>
      <c r="J837" t="s">
        <v>41</v>
      </c>
      <c r="K837" t="s">
        <v>42</v>
      </c>
      <c r="L837" t="s">
        <v>1835</v>
      </c>
      <c r="M837" t="s">
        <v>63</v>
      </c>
      <c r="N837" t="s">
        <v>45</v>
      </c>
      <c r="O837" t="s">
        <v>176</v>
      </c>
      <c r="P837" t="s">
        <v>177</v>
      </c>
      <c r="Q837" t="s">
        <v>66</v>
      </c>
      <c r="R837" t="s">
        <v>49</v>
      </c>
      <c r="S837">
        <v>3</v>
      </c>
      <c r="T837" s="14">
        <v>70.98</v>
      </c>
      <c r="U837" s="7">
        <v>12</v>
      </c>
      <c r="V837" s="7">
        <v>22</v>
      </c>
      <c r="W837" s="14">
        <v>104.98</v>
      </c>
      <c r="X837" s="14">
        <v>236.6</v>
      </c>
      <c r="Y837" s="16">
        <v>5</v>
      </c>
      <c r="Z837" s="12">
        <v>674.31</v>
      </c>
      <c r="AA837" s="5">
        <v>359.37</v>
      </c>
      <c r="AB837" s="18">
        <v>53.29</v>
      </c>
      <c r="AC837" t="s">
        <v>104</v>
      </c>
      <c r="AD837" t="s">
        <v>51</v>
      </c>
      <c r="AE837" t="s">
        <v>68</v>
      </c>
      <c r="AF837">
        <v>4</v>
      </c>
      <c r="AG837" t="s">
        <v>53</v>
      </c>
    </row>
    <row r="838" spans="1:33">
      <c r="A838" t="s">
        <v>1836</v>
      </c>
      <c r="B838" s="10">
        <v>45716</v>
      </c>
      <c r="C838" s="3" t="s">
        <v>55</v>
      </c>
      <c r="D838" t="s">
        <v>35</v>
      </c>
      <c r="E838" t="s">
        <v>90</v>
      </c>
      <c r="F838" t="s">
        <v>91</v>
      </c>
      <c r="G838" t="s">
        <v>92</v>
      </c>
      <c r="H838" t="s">
        <v>115</v>
      </c>
      <c r="I838" t="s">
        <v>116</v>
      </c>
      <c r="J838" t="s">
        <v>117</v>
      </c>
      <c r="K838" t="s">
        <v>61</v>
      </c>
      <c r="L838" t="s">
        <v>1837</v>
      </c>
      <c r="M838" t="s">
        <v>63</v>
      </c>
      <c r="N838" t="s">
        <v>45</v>
      </c>
      <c r="O838" t="s">
        <v>137</v>
      </c>
      <c r="P838" t="s">
        <v>138</v>
      </c>
      <c r="Q838" t="s">
        <v>139</v>
      </c>
      <c r="R838" t="s">
        <v>84</v>
      </c>
      <c r="S838">
        <v>2</v>
      </c>
      <c r="T838" s="14">
        <v>71.64</v>
      </c>
      <c r="U838" s="7">
        <v>12</v>
      </c>
      <c r="V838" s="7">
        <v>22</v>
      </c>
      <c r="W838" s="14">
        <v>105.64</v>
      </c>
      <c r="X838" s="14">
        <v>238.8</v>
      </c>
      <c r="Y838" s="16">
        <v>0</v>
      </c>
      <c r="Z838" s="12">
        <v>477.6</v>
      </c>
      <c r="AA838" s="5">
        <v>266.32</v>
      </c>
      <c r="AB838" s="18">
        <v>55.76</v>
      </c>
      <c r="AC838" t="s">
        <v>85</v>
      </c>
      <c r="AD838" t="s">
        <v>51</v>
      </c>
      <c r="AE838" t="s">
        <v>105</v>
      </c>
      <c r="AF838">
        <v>4</v>
      </c>
      <c r="AG838" t="s">
        <v>53</v>
      </c>
    </row>
    <row r="839" spans="1:33">
      <c r="A839" t="s">
        <v>1838</v>
      </c>
      <c r="B839" s="10">
        <v>45839</v>
      </c>
      <c r="C839" s="3" t="s">
        <v>141</v>
      </c>
      <c r="D839" t="s">
        <v>156</v>
      </c>
      <c r="E839" t="s">
        <v>114</v>
      </c>
      <c r="F839" t="s">
        <v>73</v>
      </c>
      <c r="G839" t="s">
        <v>74</v>
      </c>
      <c r="H839" t="s">
        <v>58</v>
      </c>
      <c r="I839" t="s">
        <v>59</v>
      </c>
      <c r="J839" t="s">
        <v>60</v>
      </c>
      <c r="K839" t="s">
        <v>61</v>
      </c>
      <c r="L839" t="s">
        <v>1839</v>
      </c>
      <c r="M839" t="s">
        <v>44</v>
      </c>
      <c r="N839" t="s">
        <v>81</v>
      </c>
      <c r="O839" t="s">
        <v>64</v>
      </c>
      <c r="P839" t="s">
        <v>65</v>
      </c>
      <c r="Q839" t="s">
        <v>66</v>
      </c>
      <c r="R839" t="s">
        <v>49</v>
      </c>
      <c r="S839">
        <v>1</v>
      </c>
      <c r="T839" s="14">
        <v>62.58</v>
      </c>
      <c r="U839" s="7">
        <v>12</v>
      </c>
      <c r="V839" s="7">
        <v>22</v>
      </c>
      <c r="W839" s="14">
        <v>96.58</v>
      </c>
      <c r="X839" s="14">
        <v>208.6</v>
      </c>
      <c r="Y839" s="16">
        <v>0</v>
      </c>
      <c r="Z839" s="12">
        <v>208.6</v>
      </c>
      <c r="AA839" s="5">
        <v>112.02</v>
      </c>
      <c r="AB839" s="18">
        <v>53.7</v>
      </c>
      <c r="AC839" t="s">
        <v>104</v>
      </c>
      <c r="AD839" t="s">
        <v>51</v>
      </c>
      <c r="AE839" t="s">
        <v>126</v>
      </c>
      <c r="AF839">
        <v>5</v>
      </c>
      <c r="AG839" t="s">
        <v>53</v>
      </c>
    </row>
    <row r="840" spans="1:33">
      <c r="A840" t="s">
        <v>1840</v>
      </c>
      <c r="B840" s="10">
        <v>45923</v>
      </c>
      <c r="C840" s="3" t="s">
        <v>182</v>
      </c>
      <c r="D840" t="s">
        <v>156</v>
      </c>
      <c r="E840" t="s">
        <v>72</v>
      </c>
      <c r="F840" t="s">
        <v>73</v>
      </c>
      <c r="G840" t="s">
        <v>74</v>
      </c>
      <c r="H840" t="s">
        <v>142</v>
      </c>
      <c r="I840" t="s">
        <v>143</v>
      </c>
      <c r="J840" t="s">
        <v>144</v>
      </c>
      <c r="K840" t="s">
        <v>145</v>
      </c>
      <c r="L840" t="s">
        <v>1841</v>
      </c>
      <c r="M840" t="s">
        <v>80</v>
      </c>
      <c r="N840" t="s">
        <v>81</v>
      </c>
      <c r="O840" t="s">
        <v>46</v>
      </c>
      <c r="P840" t="s">
        <v>47</v>
      </c>
      <c r="Q840" t="s">
        <v>48</v>
      </c>
      <c r="R840" t="s">
        <v>84</v>
      </c>
      <c r="S840">
        <v>2</v>
      </c>
      <c r="T840" s="14">
        <v>93.24</v>
      </c>
      <c r="U840" s="7">
        <v>12</v>
      </c>
      <c r="V840" s="7">
        <v>22</v>
      </c>
      <c r="W840" s="14">
        <v>127.24</v>
      </c>
      <c r="X840" s="14">
        <v>310.8</v>
      </c>
      <c r="Y840" s="16">
        <v>0</v>
      </c>
      <c r="Z840" s="12">
        <v>621.6</v>
      </c>
      <c r="AA840" s="5">
        <v>367.12</v>
      </c>
      <c r="AB840" s="18">
        <v>59.06</v>
      </c>
      <c r="AC840" t="s">
        <v>85</v>
      </c>
      <c r="AD840" t="s">
        <v>51</v>
      </c>
      <c r="AE840" t="s">
        <v>105</v>
      </c>
      <c r="AF840">
        <v>4</v>
      </c>
      <c r="AG840" t="s">
        <v>53</v>
      </c>
    </row>
    <row r="841" spans="1:33">
      <c r="A841" t="s">
        <v>1842</v>
      </c>
      <c r="B841" s="10">
        <v>45894</v>
      </c>
      <c r="C841" s="3" t="s">
        <v>339</v>
      </c>
      <c r="D841" t="s">
        <v>206</v>
      </c>
      <c r="E841" t="s">
        <v>99</v>
      </c>
      <c r="F841" t="s">
        <v>73</v>
      </c>
      <c r="G841" t="s">
        <v>74</v>
      </c>
      <c r="H841" t="s">
        <v>39</v>
      </c>
      <c r="I841" t="s">
        <v>2143</v>
      </c>
      <c r="J841" t="s">
        <v>41</v>
      </c>
      <c r="K841" t="s">
        <v>42</v>
      </c>
      <c r="L841" t="s">
        <v>1843</v>
      </c>
      <c r="M841" t="s">
        <v>80</v>
      </c>
      <c r="N841" t="s">
        <v>45</v>
      </c>
      <c r="O841" t="s">
        <v>119</v>
      </c>
      <c r="P841" t="s">
        <v>120</v>
      </c>
      <c r="Q841" t="s">
        <v>103</v>
      </c>
      <c r="R841" t="s">
        <v>67</v>
      </c>
      <c r="S841">
        <v>3</v>
      </c>
      <c r="T841" s="14">
        <v>38.700000000000003</v>
      </c>
      <c r="U841" s="7">
        <v>12</v>
      </c>
      <c r="V841" s="7">
        <v>22</v>
      </c>
      <c r="W841" s="14">
        <v>72.7</v>
      </c>
      <c r="X841" s="14">
        <v>129</v>
      </c>
      <c r="Y841" s="16">
        <v>0</v>
      </c>
      <c r="Z841" s="12">
        <v>387</v>
      </c>
      <c r="AA841" s="5">
        <v>168.9</v>
      </c>
      <c r="AB841" s="18">
        <v>43.64</v>
      </c>
      <c r="AC841" t="s">
        <v>50</v>
      </c>
      <c r="AD841" t="s">
        <v>86</v>
      </c>
      <c r="AE841" t="s">
        <v>52</v>
      </c>
      <c r="AF841" t="s">
        <v>2124</v>
      </c>
      <c r="AG841" t="s">
        <v>53</v>
      </c>
    </row>
    <row r="842" spans="1:33">
      <c r="A842" t="s">
        <v>1844</v>
      </c>
      <c r="B842" s="10">
        <v>45990</v>
      </c>
      <c r="C842" s="3" t="s">
        <v>155</v>
      </c>
      <c r="D842" t="s">
        <v>71</v>
      </c>
      <c r="E842" t="s">
        <v>57</v>
      </c>
      <c r="F842" t="s">
        <v>37</v>
      </c>
      <c r="G842" t="s">
        <v>38</v>
      </c>
      <c r="H842" t="s">
        <v>39</v>
      </c>
      <c r="I842" t="s">
        <v>2143</v>
      </c>
      <c r="J842" t="s">
        <v>41</v>
      </c>
      <c r="K842" t="s">
        <v>42</v>
      </c>
      <c r="L842" t="s">
        <v>1845</v>
      </c>
      <c r="M842" t="s">
        <v>63</v>
      </c>
      <c r="N842" t="s">
        <v>110</v>
      </c>
      <c r="O842" t="s">
        <v>94</v>
      </c>
      <c r="P842" t="s">
        <v>95</v>
      </c>
      <c r="Q842" t="s">
        <v>66</v>
      </c>
      <c r="R842" t="s">
        <v>67</v>
      </c>
      <c r="S842">
        <v>1</v>
      </c>
      <c r="T842" s="14">
        <v>65.7</v>
      </c>
      <c r="U842" s="7">
        <v>12</v>
      </c>
      <c r="V842" s="7">
        <v>22</v>
      </c>
      <c r="W842" s="14">
        <v>99.7</v>
      </c>
      <c r="X842" s="14">
        <v>219</v>
      </c>
      <c r="Y842" s="16">
        <v>10</v>
      </c>
      <c r="Z842" s="12">
        <v>197.1</v>
      </c>
      <c r="AA842" s="5">
        <v>97.4</v>
      </c>
      <c r="AB842" s="18">
        <v>49.42</v>
      </c>
      <c r="AC842" t="s">
        <v>104</v>
      </c>
      <c r="AD842" t="s">
        <v>86</v>
      </c>
      <c r="AE842" t="s">
        <v>126</v>
      </c>
      <c r="AF842" t="s">
        <v>2124</v>
      </c>
      <c r="AG842" t="s">
        <v>53</v>
      </c>
    </row>
    <row r="843" spans="1:33">
      <c r="A843" t="s">
        <v>1846</v>
      </c>
      <c r="B843" s="10">
        <v>45794</v>
      </c>
      <c r="C843" s="3" t="s">
        <v>219</v>
      </c>
      <c r="D843" t="s">
        <v>71</v>
      </c>
      <c r="E843" t="s">
        <v>130</v>
      </c>
      <c r="F843" t="s">
        <v>131</v>
      </c>
      <c r="G843" t="s">
        <v>132</v>
      </c>
      <c r="H843" t="s">
        <v>75</v>
      </c>
      <c r="I843" t="s">
        <v>76</v>
      </c>
      <c r="J843" t="s">
        <v>77</v>
      </c>
      <c r="K843" t="s">
        <v>78</v>
      </c>
      <c r="L843" t="s">
        <v>1847</v>
      </c>
      <c r="M843" t="s">
        <v>44</v>
      </c>
      <c r="N843" t="s">
        <v>45</v>
      </c>
      <c r="O843" t="s">
        <v>213</v>
      </c>
      <c r="P843" t="s">
        <v>214</v>
      </c>
      <c r="Q843" t="s">
        <v>215</v>
      </c>
      <c r="R843" t="s">
        <v>49</v>
      </c>
      <c r="S843">
        <v>1</v>
      </c>
      <c r="T843" s="14">
        <v>125.58</v>
      </c>
      <c r="U843" s="7">
        <v>12</v>
      </c>
      <c r="V843" s="7">
        <v>22</v>
      </c>
      <c r="W843" s="14">
        <v>159.58000000000001</v>
      </c>
      <c r="X843" s="14">
        <v>418.6</v>
      </c>
      <c r="Y843" s="16">
        <v>15</v>
      </c>
      <c r="Z843" s="12">
        <v>355.81</v>
      </c>
      <c r="AA843" s="5">
        <v>196.23</v>
      </c>
      <c r="AB843" s="18">
        <v>55.15</v>
      </c>
      <c r="AC843" t="s">
        <v>50</v>
      </c>
      <c r="AD843" t="s">
        <v>51</v>
      </c>
      <c r="AE843" t="s">
        <v>68</v>
      </c>
      <c r="AF843">
        <v>4</v>
      </c>
      <c r="AG843" t="s">
        <v>53</v>
      </c>
    </row>
    <row r="844" spans="1:33">
      <c r="A844" t="s">
        <v>1848</v>
      </c>
      <c r="B844" s="10">
        <v>45840</v>
      </c>
      <c r="C844" s="3" t="s">
        <v>98</v>
      </c>
      <c r="D844" t="s">
        <v>129</v>
      </c>
      <c r="E844" t="s">
        <v>114</v>
      </c>
      <c r="F844" t="s">
        <v>73</v>
      </c>
      <c r="G844" t="s">
        <v>74</v>
      </c>
      <c r="H844" t="s">
        <v>75</v>
      </c>
      <c r="I844" t="s">
        <v>76</v>
      </c>
      <c r="J844" t="s">
        <v>77</v>
      </c>
      <c r="K844" t="s">
        <v>78</v>
      </c>
      <c r="L844" t="s">
        <v>1849</v>
      </c>
      <c r="M844" t="s">
        <v>80</v>
      </c>
      <c r="N844" t="s">
        <v>110</v>
      </c>
      <c r="O844" t="s">
        <v>176</v>
      </c>
      <c r="P844" t="s">
        <v>177</v>
      </c>
      <c r="Q844" t="s">
        <v>66</v>
      </c>
      <c r="R844" t="s">
        <v>49</v>
      </c>
      <c r="S844">
        <v>1</v>
      </c>
      <c r="T844" s="14">
        <v>70.98</v>
      </c>
      <c r="U844" s="7">
        <v>12</v>
      </c>
      <c r="V844" s="7">
        <v>22</v>
      </c>
      <c r="W844" s="14">
        <v>104.98</v>
      </c>
      <c r="X844" s="14">
        <v>236.6</v>
      </c>
      <c r="Y844" s="16">
        <v>10</v>
      </c>
      <c r="Z844" s="12">
        <v>212.94</v>
      </c>
      <c r="AA844" s="5">
        <v>107.96</v>
      </c>
      <c r="AB844" s="18">
        <v>50.7</v>
      </c>
      <c r="AC844" t="s">
        <v>50</v>
      </c>
      <c r="AD844" t="s">
        <v>86</v>
      </c>
      <c r="AE844" t="s">
        <v>105</v>
      </c>
      <c r="AF844">
        <v>4</v>
      </c>
      <c r="AG844" t="s">
        <v>53</v>
      </c>
    </row>
    <row r="845" spans="1:33">
      <c r="A845" t="s">
        <v>1850</v>
      </c>
      <c r="B845" s="10">
        <v>46022</v>
      </c>
      <c r="C845" s="3" t="s">
        <v>211</v>
      </c>
      <c r="D845" t="s">
        <v>129</v>
      </c>
      <c r="E845" t="s">
        <v>149</v>
      </c>
      <c r="F845" t="s">
        <v>37</v>
      </c>
      <c r="G845" t="s">
        <v>92</v>
      </c>
      <c r="H845" t="s">
        <v>75</v>
      </c>
      <c r="I845" t="s">
        <v>76</v>
      </c>
      <c r="J845" t="s">
        <v>77</v>
      </c>
      <c r="K845" t="s">
        <v>78</v>
      </c>
      <c r="L845" t="s">
        <v>1851</v>
      </c>
      <c r="M845" t="s">
        <v>63</v>
      </c>
      <c r="N845" t="s">
        <v>110</v>
      </c>
      <c r="O845" t="s">
        <v>176</v>
      </c>
      <c r="P845" t="s">
        <v>177</v>
      </c>
      <c r="Q845" t="s">
        <v>66</v>
      </c>
      <c r="R845" t="s">
        <v>67</v>
      </c>
      <c r="S845">
        <v>3</v>
      </c>
      <c r="T845" s="14">
        <v>50.7</v>
      </c>
      <c r="U845" s="7">
        <v>12</v>
      </c>
      <c r="V845" s="7">
        <v>22</v>
      </c>
      <c r="W845" s="14">
        <v>84.7</v>
      </c>
      <c r="X845" s="14">
        <v>169</v>
      </c>
      <c r="Y845" s="16">
        <v>10</v>
      </c>
      <c r="Z845" s="12">
        <v>456.3</v>
      </c>
      <c r="AA845" s="5">
        <v>202.2</v>
      </c>
      <c r="AB845" s="18">
        <v>44.31</v>
      </c>
      <c r="AC845" t="s">
        <v>50</v>
      </c>
      <c r="AD845" t="s">
        <v>86</v>
      </c>
      <c r="AE845" t="s">
        <v>105</v>
      </c>
      <c r="AF845">
        <v>4</v>
      </c>
      <c r="AG845" t="s">
        <v>53</v>
      </c>
    </row>
    <row r="846" spans="1:33">
      <c r="A846" t="s">
        <v>1852</v>
      </c>
      <c r="B846" s="10">
        <v>45923</v>
      </c>
      <c r="C846" s="3" t="s">
        <v>310</v>
      </c>
      <c r="D846" t="s">
        <v>156</v>
      </c>
      <c r="E846" t="s">
        <v>72</v>
      </c>
      <c r="F846" t="s">
        <v>73</v>
      </c>
      <c r="G846" t="s">
        <v>74</v>
      </c>
      <c r="H846" t="s">
        <v>75</v>
      </c>
      <c r="I846" t="s">
        <v>76</v>
      </c>
      <c r="J846" t="s">
        <v>77</v>
      </c>
      <c r="K846" t="s">
        <v>78</v>
      </c>
      <c r="L846" t="s">
        <v>1853</v>
      </c>
      <c r="M846" t="s">
        <v>80</v>
      </c>
      <c r="N846" t="s">
        <v>45</v>
      </c>
      <c r="O846" t="s">
        <v>119</v>
      </c>
      <c r="P846" t="s">
        <v>120</v>
      </c>
      <c r="Q846" t="s">
        <v>103</v>
      </c>
      <c r="R846" t="s">
        <v>67</v>
      </c>
      <c r="S846">
        <v>2</v>
      </c>
      <c r="T846" s="14">
        <v>38.700000000000003</v>
      </c>
      <c r="U846" s="7">
        <v>12</v>
      </c>
      <c r="V846" s="7">
        <v>22</v>
      </c>
      <c r="W846" s="14">
        <v>72.7</v>
      </c>
      <c r="X846" s="14">
        <v>129</v>
      </c>
      <c r="Y846" s="16">
        <v>5</v>
      </c>
      <c r="Z846" s="12">
        <v>245.1</v>
      </c>
      <c r="AA846" s="5">
        <v>99.7</v>
      </c>
      <c r="AB846" s="18">
        <v>40.68</v>
      </c>
      <c r="AC846" t="s">
        <v>104</v>
      </c>
      <c r="AD846" t="s">
        <v>86</v>
      </c>
      <c r="AE846" t="s">
        <v>52</v>
      </c>
      <c r="AF846">
        <v>5</v>
      </c>
      <c r="AG846" t="s">
        <v>53</v>
      </c>
    </row>
    <row r="847" spans="1:33">
      <c r="A847" t="s">
        <v>1854</v>
      </c>
      <c r="B847" s="10">
        <v>46020</v>
      </c>
      <c r="C847" s="3" t="s">
        <v>128</v>
      </c>
      <c r="D847" t="s">
        <v>206</v>
      </c>
      <c r="E847" t="s">
        <v>149</v>
      </c>
      <c r="F847" t="s">
        <v>37</v>
      </c>
      <c r="G847" t="s">
        <v>92</v>
      </c>
      <c r="H847" t="s">
        <v>133</v>
      </c>
      <c r="I847" t="s">
        <v>134</v>
      </c>
      <c r="J847" t="s">
        <v>135</v>
      </c>
      <c r="K847" t="s">
        <v>42</v>
      </c>
      <c r="L847" t="s">
        <v>1855</v>
      </c>
      <c r="M847" t="s">
        <v>63</v>
      </c>
      <c r="N847" t="s">
        <v>45</v>
      </c>
      <c r="O847" t="s">
        <v>82</v>
      </c>
      <c r="P847" t="s">
        <v>83</v>
      </c>
      <c r="Q847" t="s">
        <v>66</v>
      </c>
      <c r="R847" t="s">
        <v>67</v>
      </c>
      <c r="S847">
        <v>2</v>
      </c>
      <c r="T847" s="14">
        <v>71.7</v>
      </c>
      <c r="U847" s="7">
        <v>12</v>
      </c>
      <c r="V847" s="7">
        <v>22</v>
      </c>
      <c r="W847" s="14">
        <v>105.7</v>
      </c>
      <c r="X847" s="14">
        <v>239</v>
      </c>
      <c r="Y847" s="16">
        <v>10</v>
      </c>
      <c r="Z847" s="12">
        <v>430.2</v>
      </c>
      <c r="AA847" s="5">
        <v>218.8</v>
      </c>
      <c r="AB847" s="18">
        <v>50.86</v>
      </c>
      <c r="AC847" t="s">
        <v>104</v>
      </c>
      <c r="AD847" t="s">
        <v>51</v>
      </c>
      <c r="AE847" t="s">
        <v>52</v>
      </c>
      <c r="AF847">
        <v>4</v>
      </c>
      <c r="AG847" t="s">
        <v>53</v>
      </c>
    </row>
    <row r="848" spans="1:33">
      <c r="A848" t="s">
        <v>1856</v>
      </c>
      <c r="B848" s="10">
        <v>45696</v>
      </c>
      <c r="C848" s="3" t="s">
        <v>219</v>
      </c>
      <c r="D848" t="s">
        <v>71</v>
      </c>
      <c r="E848" t="s">
        <v>90</v>
      </c>
      <c r="F848" t="s">
        <v>91</v>
      </c>
      <c r="G848" t="s">
        <v>92</v>
      </c>
      <c r="H848" t="s">
        <v>115</v>
      </c>
      <c r="I848" t="s">
        <v>116</v>
      </c>
      <c r="J848" t="s">
        <v>117</v>
      </c>
      <c r="K848" t="s">
        <v>61</v>
      </c>
      <c r="L848" t="s">
        <v>1857</v>
      </c>
      <c r="M848" t="s">
        <v>63</v>
      </c>
      <c r="N848" t="s">
        <v>45</v>
      </c>
      <c r="O848" t="s">
        <v>64</v>
      </c>
      <c r="P848" t="s">
        <v>65</v>
      </c>
      <c r="Q848" t="s">
        <v>66</v>
      </c>
      <c r="R848" t="s">
        <v>67</v>
      </c>
      <c r="S848">
        <v>2</v>
      </c>
      <c r="T848" s="14">
        <v>44.7</v>
      </c>
      <c r="U848" s="7">
        <v>12</v>
      </c>
      <c r="V848" s="7">
        <v>22</v>
      </c>
      <c r="W848" s="14">
        <v>78.7</v>
      </c>
      <c r="X848" s="14">
        <v>149</v>
      </c>
      <c r="Y848" s="16">
        <v>10</v>
      </c>
      <c r="Z848" s="12">
        <v>268.2</v>
      </c>
      <c r="AA848" s="5">
        <v>110.8</v>
      </c>
      <c r="AB848" s="18">
        <v>41.31</v>
      </c>
      <c r="AC848" t="s">
        <v>85</v>
      </c>
      <c r="AD848" t="s">
        <v>158</v>
      </c>
      <c r="AE848" t="s">
        <v>68</v>
      </c>
      <c r="AF848">
        <v>5</v>
      </c>
      <c r="AG848" t="s">
        <v>53</v>
      </c>
    </row>
    <row r="849" spans="1:33">
      <c r="A849" t="s">
        <v>1858</v>
      </c>
      <c r="B849" s="10">
        <v>45738</v>
      </c>
      <c r="C849" s="3" t="s">
        <v>155</v>
      </c>
      <c r="D849" t="s">
        <v>71</v>
      </c>
      <c r="E849" t="s">
        <v>108</v>
      </c>
      <c r="F849" t="s">
        <v>91</v>
      </c>
      <c r="G849" t="s">
        <v>38</v>
      </c>
      <c r="H849" t="s">
        <v>115</v>
      </c>
      <c r="I849" t="s">
        <v>116</v>
      </c>
      <c r="J849" t="s">
        <v>117</v>
      </c>
      <c r="K849" t="s">
        <v>61</v>
      </c>
      <c r="L849" t="s">
        <v>1859</v>
      </c>
      <c r="M849" t="s">
        <v>63</v>
      </c>
      <c r="N849" t="s">
        <v>81</v>
      </c>
      <c r="O849" t="s">
        <v>213</v>
      </c>
      <c r="P849" t="s">
        <v>214</v>
      </c>
      <c r="Q849" t="s">
        <v>215</v>
      </c>
      <c r="R849" t="s">
        <v>49</v>
      </c>
      <c r="S849">
        <v>3</v>
      </c>
      <c r="T849" s="14">
        <v>125.58</v>
      </c>
      <c r="U849" s="7">
        <v>12</v>
      </c>
      <c r="V849" s="7">
        <v>22</v>
      </c>
      <c r="W849" s="14">
        <v>159.58000000000001</v>
      </c>
      <c r="X849" s="14">
        <v>418.6</v>
      </c>
      <c r="Y849" s="16">
        <v>10</v>
      </c>
      <c r="Z849" s="12">
        <v>1130.22</v>
      </c>
      <c r="AA849" s="5">
        <v>651.48</v>
      </c>
      <c r="AB849" s="18">
        <v>57.64</v>
      </c>
      <c r="AC849" t="s">
        <v>111</v>
      </c>
      <c r="AD849" t="s">
        <v>158</v>
      </c>
      <c r="AE849" t="s">
        <v>52</v>
      </c>
      <c r="AF849">
        <v>5</v>
      </c>
      <c r="AG849" t="s">
        <v>53</v>
      </c>
    </row>
    <row r="850" spans="1:33">
      <c r="A850" t="s">
        <v>1860</v>
      </c>
      <c r="B850" s="10">
        <v>45776</v>
      </c>
      <c r="C850" s="3" t="s">
        <v>199</v>
      </c>
      <c r="D850" t="s">
        <v>156</v>
      </c>
      <c r="E850" t="s">
        <v>280</v>
      </c>
      <c r="F850" t="s">
        <v>131</v>
      </c>
      <c r="G850" t="s">
        <v>132</v>
      </c>
      <c r="H850" t="s">
        <v>115</v>
      </c>
      <c r="I850" t="s">
        <v>116</v>
      </c>
      <c r="J850" t="s">
        <v>117</v>
      </c>
      <c r="K850" t="s">
        <v>61</v>
      </c>
      <c r="L850" t="s">
        <v>1861</v>
      </c>
      <c r="M850" t="s">
        <v>63</v>
      </c>
      <c r="N850" t="s">
        <v>110</v>
      </c>
      <c r="O850" t="s">
        <v>46</v>
      </c>
      <c r="P850" t="s">
        <v>47</v>
      </c>
      <c r="Q850" t="s">
        <v>48</v>
      </c>
      <c r="R850" t="s">
        <v>49</v>
      </c>
      <c r="S850">
        <v>1</v>
      </c>
      <c r="T850" s="14">
        <v>108.78</v>
      </c>
      <c r="U850" s="7">
        <v>12</v>
      </c>
      <c r="V850" s="7">
        <v>22</v>
      </c>
      <c r="W850" s="14">
        <v>142.78</v>
      </c>
      <c r="X850" s="14">
        <v>362.6</v>
      </c>
      <c r="Y850" s="16">
        <v>5</v>
      </c>
      <c r="Z850" s="12">
        <v>344.47</v>
      </c>
      <c r="AA850" s="5">
        <v>201.69</v>
      </c>
      <c r="AB850" s="18">
        <v>58.55</v>
      </c>
      <c r="AC850" t="s">
        <v>104</v>
      </c>
      <c r="AD850" t="s">
        <v>51</v>
      </c>
      <c r="AE850" t="s">
        <v>68</v>
      </c>
      <c r="AF850">
        <v>4</v>
      </c>
      <c r="AG850" t="s">
        <v>53</v>
      </c>
    </row>
    <row r="851" spans="1:33">
      <c r="A851" t="s">
        <v>1862</v>
      </c>
      <c r="B851" s="10">
        <v>45720</v>
      </c>
      <c r="C851" s="3" t="s">
        <v>182</v>
      </c>
      <c r="D851" t="s">
        <v>156</v>
      </c>
      <c r="E851" t="s">
        <v>108</v>
      </c>
      <c r="F851" t="s">
        <v>91</v>
      </c>
      <c r="G851" t="s">
        <v>38</v>
      </c>
      <c r="H851" t="s">
        <v>75</v>
      </c>
      <c r="I851" t="s">
        <v>76</v>
      </c>
      <c r="J851" t="s">
        <v>77</v>
      </c>
      <c r="K851" t="s">
        <v>78</v>
      </c>
      <c r="L851" t="s">
        <v>1863</v>
      </c>
      <c r="M851" t="s">
        <v>44</v>
      </c>
      <c r="N851" t="s">
        <v>45</v>
      </c>
      <c r="O851" t="s">
        <v>46</v>
      </c>
      <c r="P851" t="s">
        <v>47</v>
      </c>
      <c r="Q851" t="s">
        <v>48</v>
      </c>
      <c r="R851" t="s">
        <v>49</v>
      </c>
      <c r="S851">
        <v>1</v>
      </c>
      <c r="T851" s="14">
        <v>108.78</v>
      </c>
      <c r="U851" s="7">
        <v>12</v>
      </c>
      <c r="V851" s="7">
        <v>22</v>
      </c>
      <c r="W851" s="14">
        <v>142.78</v>
      </c>
      <c r="X851" s="14">
        <v>362.6</v>
      </c>
      <c r="Y851" s="16">
        <v>10</v>
      </c>
      <c r="Z851" s="12">
        <v>326.33999999999997</v>
      </c>
      <c r="AA851" s="5">
        <v>183.56</v>
      </c>
      <c r="AB851" s="18">
        <v>56.25</v>
      </c>
      <c r="AC851" t="s">
        <v>111</v>
      </c>
      <c r="AD851" t="s">
        <v>86</v>
      </c>
      <c r="AE851" t="s">
        <v>105</v>
      </c>
      <c r="AF851">
        <v>3</v>
      </c>
      <c r="AG851" t="s">
        <v>53</v>
      </c>
    </row>
    <row r="852" spans="1:33">
      <c r="A852" t="s">
        <v>1864</v>
      </c>
      <c r="B852" s="10">
        <v>45772</v>
      </c>
      <c r="C852" s="3" t="s">
        <v>185</v>
      </c>
      <c r="D852" t="s">
        <v>35</v>
      </c>
      <c r="E852" t="s">
        <v>280</v>
      </c>
      <c r="F852" t="s">
        <v>131</v>
      </c>
      <c r="G852" t="s">
        <v>132</v>
      </c>
      <c r="H852" t="s">
        <v>133</v>
      </c>
      <c r="I852" t="s">
        <v>134</v>
      </c>
      <c r="J852" t="s">
        <v>135</v>
      </c>
      <c r="K852" t="s">
        <v>42</v>
      </c>
      <c r="L852" t="s">
        <v>1865</v>
      </c>
      <c r="M852" t="s">
        <v>63</v>
      </c>
      <c r="N852" t="s">
        <v>110</v>
      </c>
      <c r="O852" t="s">
        <v>46</v>
      </c>
      <c r="P852" t="s">
        <v>47</v>
      </c>
      <c r="Q852" t="s">
        <v>48</v>
      </c>
      <c r="R852" t="s">
        <v>84</v>
      </c>
      <c r="S852">
        <v>3</v>
      </c>
      <c r="T852" s="14">
        <v>93.24</v>
      </c>
      <c r="U852" s="7">
        <v>12</v>
      </c>
      <c r="V852" s="7">
        <v>22</v>
      </c>
      <c r="W852" s="14">
        <v>127.24</v>
      </c>
      <c r="X852" s="14">
        <v>310.8</v>
      </c>
      <c r="Y852" s="16">
        <v>0</v>
      </c>
      <c r="Z852" s="12">
        <v>932.4</v>
      </c>
      <c r="AA852" s="5">
        <v>550.67999999999995</v>
      </c>
      <c r="AB852" s="18">
        <v>59.06</v>
      </c>
      <c r="AC852" t="s">
        <v>111</v>
      </c>
      <c r="AD852" t="s">
        <v>86</v>
      </c>
      <c r="AE852" t="s">
        <v>105</v>
      </c>
      <c r="AF852">
        <v>5</v>
      </c>
      <c r="AG852" t="s">
        <v>53</v>
      </c>
    </row>
    <row r="853" spans="1:33">
      <c r="A853" t="s">
        <v>1866</v>
      </c>
      <c r="B853" s="10">
        <v>45880</v>
      </c>
      <c r="C853" s="3" t="s">
        <v>113</v>
      </c>
      <c r="D853" t="s">
        <v>206</v>
      </c>
      <c r="E853" t="s">
        <v>99</v>
      </c>
      <c r="F853" t="s">
        <v>73</v>
      </c>
      <c r="G853" t="s">
        <v>74</v>
      </c>
      <c r="H853" t="s">
        <v>115</v>
      </c>
      <c r="I853" t="s">
        <v>116</v>
      </c>
      <c r="J853" t="s">
        <v>117</v>
      </c>
      <c r="K853" t="s">
        <v>61</v>
      </c>
      <c r="L853" t="s">
        <v>1867</v>
      </c>
      <c r="M853" t="s">
        <v>80</v>
      </c>
      <c r="N853" t="s">
        <v>81</v>
      </c>
      <c r="O853" t="s">
        <v>94</v>
      </c>
      <c r="P853" t="s">
        <v>95</v>
      </c>
      <c r="Q853" t="s">
        <v>66</v>
      </c>
      <c r="R853" t="s">
        <v>84</v>
      </c>
      <c r="S853">
        <v>3</v>
      </c>
      <c r="T853" s="14">
        <v>78.84</v>
      </c>
      <c r="U853" s="7">
        <v>12</v>
      </c>
      <c r="V853" s="7">
        <v>22</v>
      </c>
      <c r="W853" s="14">
        <v>112.84</v>
      </c>
      <c r="X853" s="14">
        <v>262.8</v>
      </c>
      <c r="Y853" s="16">
        <v>5</v>
      </c>
      <c r="Z853" s="12">
        <v>748.98</v>
      </c>
      <c r="AA853" s="5">
        <v>410.46</v>
      </c>
      <c r="AB853" s="18">
        <v>54.8</v>
      </c>
      <c r="AC853" t="s">
        <v>111</v>
      </c>
      <c r="AD853" t="s">
        <v>158</v>
      </c>
      <c r="AE853" t="s">
        <v>52</v>
      </c>
      <c r="AF853">
        <v>4</v>
      </c>
      <c r="AG853" t="s">
        <v>53</v>
      </c>
    </row>
    <row r="854" spans="1:33">
      <c r="A854" t="s">
        <v>1868</v>
      </c>
      <c r="B854" s="10">
        <v>45952</v>
      </c>
      <c r="C854" s="3" t="s">
        <v>55</v>
      </c>
      <c r="D854" t="s">
        <v>129</v>
      </c>
      <c r="E854" t="s">
        <v>36</v>
      </c>
      <c r="F854" t="s">
        <v>37</v>
      </c>
      <c r="G854" t="s">
        <v>38</v>
      </c>
      <c r="H854" t="s">
        <v>39</v>
      </c>
      <c r="I854" t="s">
        <v>2143</v>
      </c>
      <c r="J854" t="s">
        <v>41</v>
      </c>
      <c r="K854" t="s">
        <v>42</v>
      </c>
      <c r="L854" t="s">
        <v>1869</v>
      </c>
      <c r="M854" t="s">
        <v>80</v>
      </c>
      <c r="N854" t="s">
        <v>110</v>
      </c>
      <c r="O854" t="s">
        <v>137</v>
      </c>
      <c r="P854" t="s">
        <v>138</v>
      </c>
      <c r="Q854" t="s">
        <v>139</v>
      </c>
      <c r="R854" t="s">
        <v>49</v>
      </c>
      <c r="S854">
        <v>3</v>
      </c>
      <c r="T854" s="14">
        <v>83.58</v>
      </c>
      <c r="U854" s="7">
        <v>12</v>
      </c>
      <c r="V854" s="7">
        <v>22</v>
      </c>
      <c r="W854" s="14">
        <v>117.58</v>
      </c>
      <c r="X854" s="14">
        <v>278.60000000000002</v>
      </c>
      <c r="Y854" s="16">
        <v>10</v>
      </c>
      <c r="Z854" s="12">
        <v>752.22</v>
      </c>
      <c r="AA854" s="5">
        <v>399.48</v>
      </c>
      <c r="AB854" s="18">
        <v>53.11</v>
      </c>
      <c r="AC854" t="s">
        <v>50</v>
      </c>
      <c r="AD854" t="s">
        <v>51</v>
      </c>
      <c r="AE854" t="s">
        <v>68</v>
      </c>
      <c r="AF854">
        <v>4</v>
      </c>
      <c r="AG854" t="s">
        <v>53</v>
      </c>
    </row>
    <row r="855" spans="1:33">
      <c r="A855" t="s">
        <v>1870</v>
      </c>
      <c r="B855" s="10">
        <v>45861</v>
      </c>
      <c r="C855" s="3" t="s">
        <v>148</v>
      </c>
      <c r="D855" t="s">
        <v>129</v>
      </c>
      <c r="E855" t="s">
        <v>114</v>
      </c>
      <c r="F855" t="s">
        <v>73</v>
      </c>
      <c r="G855" t="s">
        <v>74</v>
      </c>
      <c r="H855" t="s">
        <v>75</v>
      </c>
      <c r="I855" t="s">
        <v>76</v>
      </c>
      <c r="J855" t="s">
        <v>77</v>
      </c>
      <c r="K855" t="s">
        <v>78</v>
      </c>
      <c r="L855" t="s">
        <v>1871</v>
      </c>
      <c r="M855" t="s">
        <v>63</v>
      </c>
      <c r="N855" t="s">
        <v>45</v>
      </c>
      <c r="O855" t="s">
        <v>119</v>
      </c>
      <c r="P855" t="s">
        <v>120</v>
      </c>
      <c r="Q855" t="s">
        <v>103</v>
      </c>
      <c r="R855" t="s">
        <v>49</v>
      </c>
      <c r="S855">
        <v>3</v>
      </c>
      <c r="T855" s="14">
        <v>54.18</v>
      </c>
      <c r="U855" s="7">
        <v>12</v>
      </c>
      <c r="V855" s="7">
        <v>22</v>
      </c>
      <c r="W855" s="14">
        <v>88.18</v>
      </c>
      <c r="X855" s="14">
        <v>180.6</v>
      </c>
      <c r="Y855" s="16">
        <v>0</v>
      </c>
      <c r="Z855" s="12">
        <v>541.79999999999995</v>
      </c>
      <c r="AA855" s="5">
        <v>277.26</v>
      </c>
      <c r="AB855" s="18">
        <v>51.17</v>
      </c>
      <c r="AC855" t="s">
        <v>50</v>
      </c>
      <c r="AD855" t="s">
        <v>51</v>
      </c>
      <c r="AE855" t="s">
        <v>126</v>
      </c>
      <c r="AF855">
        <v>5</v>
      </c>
      <c r="AG855" t="s">
        <v>53</v>
      </c>
    </row>
    <row r="856" spans="1:33">
      <c r="A856" t="s">
        <v>1872</v>
      </c>
      <c r="B856" s="10">
        <v>45671</v>
      </c>
      <c r="C856" s="3" t="s">
        <v>98</v>
      </c>
      <c r="D856" t="s">
        <v>156</v>
      </c>
      <c r="E856" t="s">
        <v>152</v>
      </c>
      <c r="F856" t="s">
        <v>91</v>
      </c>
      <c r="G856" t="s">
        <v>92</v>
      </c>
      <c r="H856" t="s">
        <v>58</v>
      </c>
      <c r="I856" t="s">
        <v>59</v>
      </c>
      <c r="J856" t="s">
        <v>60</v>
      </c>
      <c r="K856" t="s">
        <v>61</v>
      </c>
      <c r="L856" t="s">
        <v>1873</v>
      </c>
      <c r="M856" t="s">
        <v>63</v>
      </c>
      <c r="N856" t="s">
        <v>110</v>
      </c>
      <c r="O856" t="s">
        <v>176</v>
      </c>
      <c r="P856" t="s">
        <v>177</v>
      </c>
      <c r="Q856" t="s">
        <v>66</v>
      </c>
      <c r="R856" t="s">
        <v>84</v>
      </c>
      <c r="S856">
        <v>2</v>
      </c>
      <c r="T856" s="14">
        <v>60.84</v>
      </c>
      <c r="U856" s="7">
        <v>12</v>
      </c>
      <c r="V856" s="7">
        <v>22</v>
      </c>
      <c r="W856" s="14">
        <v>94.84</v>
      </c>
      <c r="X856" s="14">
        <v>202.8</v>
      </c>
      <c r="Y856" s="16">
        <v>0</v>
      </c>
      <c r="Z856" s="12">
        <v>405.6</v>
      </c>
      <c r="AA856" s="5">
        <v>215.92</v>
      </c>
      <c r="AB856" s="18">
        <v>53.23</v>
      </c>
      <c r="AC856" t="s">
        <v>50</v>
      </c>
      <c r="AD856" t="s">
        <v>158</v>
      </c>
      <c r="AE856" t="s">
        <v>126</v>
      </c>
      <c r="AF856">
        <v>5</v>
      </c>
      <c r="AG856" t="s">
        <v>53</v>
      </c>
    </row>
    <row r="857" spans="1:33">
      <c r="A857" t="s">
        <v>1874</v>
      </c>
      <c r="B857" s="10">
        <v>45723</v>
      </c>
      <c r="C857" s="3" t="s">
        <v>55</v>
      </c>
      <c r="D857" t="s">
        <v>35</v>
      </c>
      <c r="E857" t="s">
        <v>108</v>
      </c>
      <c r="F857" t="s">
        <v>91</v>
      </c>
      <c r="G857" t="s">
        <v>38</v>
      </c>
      <c r="H857" t="s">
        <v>75</v>
      </c>
      <c r="I857" t="s">
        <v>76</v>
      </c>
      <c r="J857" t="s">
        <v>77</v>
      </c>
      <c r="K857" t="s">
        <v>78</v>
      </c>
      <c r="L857" t="s">
        <v>1875</v>
      </c>
      <c r="M857" t="s">
        <v>80</v>
      </c>
      <c r="N857" t="s">
        <v>81</v>
      </c>
      <c r="O857" t="s">
        <v>168</v>
      </c>
      <c r="P857" t="s">
        <v>169</v>
      </c>
      <c r="Q857" t="s">
        <v>139</v>
      </c>
      <c r="R857" t="s">
        <v>67</v>
      </c>
      <c r="S857">
        <v>3</v>
      </c>
      <c r="T857" s="14">
        <v>47.7</v>
      </c>
      <c r="U857" s="7">
        <v>12</v>
      </c>
      <c r="V857" s="7">
        <v>22</v>
      </c>
      <c r="W857" s="14">
        <v>81.7</v>
      </c>
      <c r="X857" s="14">
        <v>159</v>
      </c>
      <c r="Y857" s="16">
        <v>0</v>
      </c>
      <c r="Z857" s="12">
        <v>477</v>
      </c>
      <c r="AA857" s="5">
        <v>231.9</v>
      </c>
      <c r="AB857" s="18">
        <v>48.62</v>
      </c>
      <c r="AC857" t="s">
        <v>111</v>
      </c>
      <c r="AD857" t="s">
        <v>51</v>
      </c>
      <c r="AE857" t="s">
        <v>96</v>
      </c>
      <c r="AF857">
        <v>4</v>
      </c>
      <c r="AG857" t="s">
        <v>53</v>
      </c>
    </row>
    <row r="858" spans="1:33">
      <c r="A858" t="s">
        <v>1876</v>
      </c>
      <c r="B858" s="10">
        <v>45760</v>
      </c>
      <c r="C858" s="3" t="s">
        <v>107</v>
      </c>
      <c r="D858" t="s">
        <v>89</v>
      </c>
      <c r="E858" t="s">
        <v>280</v>
      </c>
      <c r="F858" t="s">
        <v>131</v>
      </c>
      <c r="G858" t="s">
        <v>132</v>
      </c>
      <c r="H858" t="s">
        <v>133</v>
      </c>
      <c r="I858" t="s">
        <v>134</v>
      </c>
      <c r="J858" t="s">
        <v>135</v>
      </c>
      <c r="K858" t="s">
        <v>42</v>
      </c>
      <c r="L858" t="s">
        <v>1877</v>
      </c>
      <c r="M858" t="s">
        <v>63</v>
      </c>
      <c r="N858" t="s">
        <v>45</v>
      </c>
      <c r="O858" t="s">
        <v>189</v>
      </c>
      <c r="P858" t="s">
        <v>190</v>
      </c>
      <c r="Q858" t="s">
        <v>48</v>
      </c>
      <c r="R858" t="s">
        <v>67</v>
      </c>
      <c r="S858">
        <v>1</v>
      </c>
      <c r="T858" s="14">
        <v>47.7</v>
      </c>
      <c r="U858" s="7">
        <v>12</v>
      </c>
      <c r="V858" s="7">
        <v>22</v>
      </c>
      <c r="W858" s="14">
        <v>81.7</v>
      </c>
      <c r="X858" s="14">
        <v>159</v>
      </c>
      <c r="Y858" s="16">
        <v>10</v>
      </c>
      <c r="Z858" s="12">
        <v>143.1</v>
      </c>
      <c r="AA858" s="5">
        <v>61.4</v>
      </c>
      <c r="AB858" s="18">
        <v>42.91</v>
      </c>
      <c r="AC858" t="s">
        <v>111</v>
      </c>
      <c r="AD858" t="s">
        <v>51</v>
      </c>
      <c r="AE858" t="s">
        <v>126</v>
      </c>
      <c r="AF858">
        <v>4</v>
      </c>
      <c r="AG858" t="s">
        <v>53</v>
      </c>
    </row>
    <row r="859" spans="1:33">
      <c r="A859" t="s">
        <v>1878</v>
      </c>
      <c r="B859" s="10">
        <v>45922</v>
      </c>
      <c r="C859" s="3" t="s">
        <v>219</v>
      </c>
      <c r="D859" t="s">
        <v>206</v>
      </c>
      <c r="E859" t="s">
        <v>72</v>
      </c>
      <c r="F859" t="s">
        <v>73</v>
      </c>
      <c r="G859" t="s">
        <v>74</v>
      </c>
      <c r="H859" t="s">
        <v>133</v>
      </c>
      <c r="I859" t="s">
        <v>134</v>
      </c>
      <c r="J859" t="s">
        <v>135</v>
      </c>
      <c r="K859" t="s">
        <v>42</v>
      </c>
      <c r="L859" t="s">
        <v>1879</v>
      </c>
      <c r="M859" t="s">
        <v>63</v>
      </c>
      <c r="N859" t="s">
        <v>45</v>
      </c>
      <c r="O859" t="s">
        <v>94</v>
      </c>
      <c r="P859" t="s">
        <v>95</v>
      </c>
      <c r="Q859" t="s">
        <v>66</v>
      </c>
      <c r="R859" t="s">
        <v>84</v>
      </c>
      <c r="S859">
        <v>1</v>
      </c>
      <c r="T859" s="14">
        <v>78.84</v>
      </c>
      <c r="U859" s="7">
        <v>12</v>
      </c>
      <c r="V859" s="7">
        <v>22</v>
      </c>
      <c r="W859" s="14">
        <v>112.84</v>
      </c>
      <c r="X859" s="14">
        <v>262.8</v>
      </c>
      <c r="Y859" s="16">
        <v>10</v>
      </c>
      <c r="Z859" s="12">
        <v>236.52</v>
      </c>
      <c r="AA859" s="5">
        <v>123.68</v>
      </c>
      <c r="AB859" s="18">
        <v>52.29</v>
      </c>
      <c r="AC859" t="s">
        <v>104</v>
      </c>
      <c r="AD859" t="s">
        <v>158</v>
      </c>
      <c r="AE859" t="s">
        <v>126</v>
      </c>
      <c r="AF859">
        <v>4</v>
      </c>
      <c r="AG859" t="s">
        <v>53</v>
      </c>
    </row>
    <row r="860" spans="1:33">
      <c r="A860" t="s">
        <v>1880</v>
      </c>
      <c r="B860" s="10">
        <v>45980</v>
      </c>
      <c r="C860" s="3" t="s">
        <v>219</v>
      </c>
      <c r="D860" t="s">
        <v>129</v>
      </c>
      <c r="E860" t="s">
        <v>57</v>
      </c>
      <c r="F860" t="s">
        <v>37</v>
      </c>
      <c r="G860" t="s">
        <v>38</v>
      </c>
      <c r="H860" t="s">
        <v>115</v>
      </c>
      <c r="I860" t="s">
        <v>116</v>
      </c>
      <c r="J860" t="s">
        <v>117</v>
      </c>
      <c r="K860" t="s">
        <v>61</v>
      </c>
      <c r="L860" t="s">
        <v>1881</v>
      </c>
      <c r="M860" t="s">
        <v>44</v>
      </c>
      <c r="N860" t="s">
        <v>110</v>
      </c>
      <c r="O860" t="s">
        <v>64</v>
      </c>
      <c r="P860" t="s">
        <v>65</v>
      </c>
      <c r="Q860" t="s">
        <v>66</v>
      </c>
      <c r="R860" t="s">
        <v>84</v>
      </c>
      <c r="S860">
        <v>1</v>
      </c>
      <c r="T860" s="14">
        <v>53.64</v>
      </c>
      <c r="U860" s="7">
        <v>12</v>
      </c>
      <c r="V860" s="7">
        <v>22</v>
      </c>
      <c r="W860" s="14">
        <v>87.64</v>
      </c>
      <c r="X860" s="14">
        <v>178.8</v>
      </c>
      <c r="Y860" s="16">
        <v>5</v>
      </c>
      <c r="Z860" s="12">
        <v>169.86</v>
      </c>
      <c r="AA860" s="5">
        <v>82.22</v>
      </c>
      <c r="AB860" s="18">
        <v>48.4</v>
      </c>
      <c r="AC860" t="s">
        <v>104</v>
      </c>
      <c r="AD860" t="s">
        <v>86</v>
      </c>
      <c r="AE860" t="s">
        <v>68</v>
      </c>
      <c r="AF860">
        <v>5</v>
      </c>
      <c r="AG860" t="s">
        <v>53</v>
      </c>
    </row>
    <row r="861" spans="1:33">
      <c r="A861" t="s">
        <v>1882</v>
      </c>
      <c r="B861" s="10">
        <v>45976</v>
      </c>
      <c r="C861" s="3" t="s">
        <v>128</v>
      </c>
      <c r="D861" t="s">
        <v>71</v>
      </c>
      <c r="E861" t="s">
        <v>57</v>
      </c>
      <c r="F861" t="s">
        <v>37</v>
      </c>
      <c r="G861" t="s">
        <v>38</v>
      </c>
      <c r="H861" t="s">
        <v>58</v>
      </c>
      <c r="I861" t="s">
        <v>59</v>
      </c>
      <c r="J861" t="s">
        <v>60</v>
      </c>
      <c r="K861" t="s">
        <v>61</v>
      </c>
      <c r="L861" t="s">
        <v>1883</v>
      </c>
      <c r="M861" t="s">
        <v>80</v>
      </c>
      <c r="N861" t="s">
        <v>81</v>
      </c>
      <c r="O861" t="s">
        <v>213</v>
      </c>
      <c r="P861" t="s">
        <v>214</v>
      </c>
      <c r="Q861" t="s">
        <v>215</v>
      </c>
      <c r="R861" t="s">
        <v>49</v>
      </c>
      <c r="S861">
        <v>3</v>
      </c>
      <c r="T861" s="14">
        <v>125.58</v>
      </c>
      <c r="U861" s="7">
        <v>12</v>
      </c>
      <c r="V861" s="7">
        <v>22</v>
      </c>
      <c r="W861" s="14">
        <v>159.58000000000001</v>
      </c>
      <c r="X861" s="14">
        <v>418.6</v>
      </c>
      <c r="Y861" s="16">
        <v>10</v>
      </c>
      <c r="Z861" s="12">
        <v>1130.22</v>
      </c>
      <c r="AA861" s="5">
        <v>651.48</v>
      </c>
      <c r="AB861" s="18">
        <v>57.64</v>
      </c>
      <c r="AC861" t="s">
        <v>104</v>
      </c>
      <c r="AD861" t="s">
        <v>86</v>
      </c>
      <c r="AE861" t="s">
        <v>52</v>
      </c>
      <c r="AF861">
        <v>4</v>
      </c>
      <c r="AG861" t="s">
        <v>53</v>
      </c>
    </row>
    <row r="862" spans="1:33">
      <c r="A862" t="s">
        <v>1884</v>
      </c>
      <c r="B862" s="10">
        <v>45877</v>
      </c>
      <c r="C862" s="3" t="s">
        <v>98</v>
      </c>
      <c r="D862" t="s">
        <v>35</v>
      </c>
      <c r="E862" t="s">
        <v>99</v>
      </c>
      <c r="F862" t="s">
        <v>73</v>
      </c>
      <c r="G862" t="s">
        <v>74</v>
      </c>
      <c r="H862" t="s">
        <v>39</v>
      </c>
      <c r="I862" t="s">
        <v>2143</v>
      </c>
      <c r="J862" t="s">
        <v>41</v>
      </c>
      <c r="K862" t="s">
        <v>42</v>
      </c>
      <c r="L862" t="s">
        <v>1885</v>
      </c>
      <c r="M862" t="s">
        <v>44</v>
      </c>
      <c r="N862" t="s">
        <v>45</v>
      </c>
      <c r="O862" t="s">
        <v>101</v>
      </c>
      <c r="P862" t="s">
        <v>102</v>
      </c>
      <c r="Q862" t="s">
        <v>103</v>
      </c>
      <c r="R862" t="s">
        <v>84</v>
      </c>
      <c r="S862">
        <v>2</v>
      </c>
      <c r="T862" s="14">
        <v>53.64</v>
      </c>
      <c r="U862" s="7">
        <v>12</v>
      </c>
      <c r="V862" s="7">
        <v>22</v>
      </c>
      <c r="W862" s="14">
        <v>87.64</v>
      </c>
      <c r="X862" s="14">
        <v>178.8</v>
      </c>
      <c r="Y862" s="16">
        <v>5</v>
      </c>
      <c r="Z862" s="12">
        <v>339.72</v>
      </c>
      <c r="AA862" s="5">
        <v>164.44</v>
      </c>
      <c r="AB862" s="18">
        <v>48.4</v>
      </c>
      <c r="AC862" t="s">
        <v>50</v>
      </c>
      <c r="AD862" t="s">
        <v>86</v>
      </c>
      <c r="AE862" t="s">
        <v>96</v>
      </c>
      <c r="AF862">
        <v>5</v>
      </c>
      <c r="AG862" t="s">
        <v>53</v>
      </c>
    </row>
    <row r="863" spans="1:33">
      <c r="A863" t="s">
        <v>1886</v>
      </c>
      <c r="B863" s="10">
        <v>45845</v>
      </c>
      <c r="C863" s="3" t="s">
        <v>113</v>
      </c>
      <c r="D863" t="s">
        <v>206</v>
      </c>
      <c r="E863" t="s">
        <v>114</v>
      </c>
      <c r="F863" t="s">
        <v>73</v>
      </c>
      <c r="G863" t="s">
        <v>74</v>
      </c>
      <c r="H863" t="s">
        <v>58</v>
      </c>
      <c r="I863" t="s">
        <v>59</v>
      </c>
      <c r="J863" t="s">
        <v>60</v>
      </c>
      <c r="K863" t="s">
        <v>61</v>
      </c>
      <c r="L863" t="s">
        <v>1887</v>
      </c>
      <c r="M863" t="s">
        <v>63</v>
      </c>
      <c r="N863" t="s">
        <v>45</v>
      </c>
      <c r="O863" t="s">
        <v>119</v>
      </c>
      <c r="P863" t="s">
        <v>120</v>
      </c>
      <c r="Q863" t="s">
        <v>103</v>
      </c>
      <c r="R863" t="s">
        <v>84</v>
      </c>
      <c r="S863">
        <v>1</v>
      </c>
      <c r="T863" s="14">
        <v>46.44</v>
      </c>
      <c r="U863" s="7">
        <v>12</v>
      </c>
      <c r="V863" s="7">
        <v>22</v>
      </c>
      <c r="W863" s="14">
        <v>80.44</v>
      </c>
      <c r="X863" s="14">
        <v>154.80000000000001</v>
      </c>
      <c r="Y863" s="16">
        <v>0</v>
      </c>
      <c r="Z863" s="12">
        <v>154.80000000000001</v>
      </c>
      <c r="AA863" s="5">
        <v>74.36</v>
      </c>
      <c r="AB863" s="18">
        <v>48.04</v>
      </c>
      <c r="AC863" t="s">
        <v>104</v>
      </c>
      <c r="AD863" t="s">
        <v>86</v>
      </c>
      <c r="AE863" t="s">
        <v>105</v>
      </c>
      <c r="AF863">
        <v>5</v>
      </c>
      <c r="AG863" t="s">
        <v>53</v>
      </c>
    </row>
    <row r="864" spans="1:33">
      <c r="A864" t="s">
        <v>1888</v>
      </c>
      <c r="B864" s="10">
        <v>45837</v>
      </c>
      <c r="C864" s="3" t="s">
        <v>182</v>
      </c>
      <c r="D864" t="s">
        <v>89</v>
      </c>
      <c r="E864" t="s">
        <v>174</v>
      </c>
      <c r="F864" t="s">
        <v>131</v>
      </c>
      <c r="G864" t="s">
        <v>132</v>
      </c>
      <c r="H864" t="s">
        <v>133</v>
      </c>
      <c r="I864" t="s">
        <v>134</v>
      </c>
      <c r="J864" t="s">
        <v>135</v>
      </c>
      <c r="K864" t="s">
        <v>42</v>
      </c>
      <c r="L864" t="s">
        <v>1889</v>
      </c>
      <c r="M864" t="s">
        <v>44</v>
      </c>
      <c r="N864" t="s">
        <v>110</v>
      </c>
      <c r="O864" t="s">
        <v>162</v>
      </c>
      <c r="P864" t="s">
        <v>163</v>
      </c>
      <c r="Q864" t="s">
        <v>48</v>
      </c>
      <c r="R864" t="s">
        <v>84</v>
      </c>
      <c r="S864">
        <v>2</v>
      </c>
      <c r="T864" s="14">
        <v>89.64</v>
      </c>
      <c r="U864" s="7">
        <v>12</v>
      </c>
      <c r="V864" s="7">
        <v>22</v>
      </c>
      <c r="W864" s="14">
        <v>123.64</v>
      </c>
      <c r="X864" s="14">
        <v>298.8</v>
      </c>
      <c r="Y864" s="16">
        <v>15</v>
      </c>
      <c r="Z864" s="12">
        <v>507.96</v>
      </c>
      <c r="AA864" s="5">
        <v>260.68</v>
      </c>
      <c r="AB864" s="18">
        <v>51.32</v>
      </c>
      <c r="AC864" t="s">
        <v>104</v>
      </c>
      <c r="AD864" t="s">
        <v>86</v>
      </c>
      <c r="AE864" t="s">
        <v>96</v>
      </c>
      <c r="AF864">
        <v>3</v>
      </c>
      <c r="AG864" t="s">
        <v>53</v>
      </c>
    </row>
    <row r="865" spans="1:33">
      <c r="A865" t="s">
        <v>1890</v>
      </c>
      <c r="B865" s="10">
        <v>45761</v>
      </c>
      <c r="C865" s="3" t="s">
        <v>34</v>
      </c>
      <c r="D865" t="s">
        <v>206</v>
      </c>
      <c r="E865" t="s">
        <v>280</v>
      </c>
      <c r="F865" t="s">
        <v>131</v>
      </c>
      <c r="G865" t="s">
        <v>132</v>
      </c>
      <c r="H865" t="s">
        <v>133</v>
      </c>
      <c r="I865" t="s">
        <v>134</v>
      </c>
      <c r="J865" t="s">
        <v>135</v>
      </c>
      <c r="K865" t="s">
        <v>42</v>
      </c>
      <c r="L865" t="s">
        <v>1891</v>
      </c>
      <c r="M865" t="s">
        <v>63</v>
      </c>
      <c r="N865" t="s">
        <v>81</v>
      </c>
      <c r="O865" t="s">
        <v>189</v>
      </c>
      <c r="P865" t="s">
        <v>190</v>
      </c>
      <c r="Q865" t="s">
        <v>48</v>
      </c>
      <c r="R865" t="s">
        <v>67</v>
      </c>
      <c r="S865">
        <v>3</v>
      </c>
      <c r="T865" s="14">
        <v>47.7</v>
      </c>
      <c r="U865" s="7">
        <v>12</v>
      </c>
      <c r="V865" s="7">
        <v>22</v>
      </c>
      <c r="W865" s="14">
        <v>81.7</v>
      </c>
      <c r="X865" s="14">
        <v>159</v>
      </c>
      <c r="Y865" s="16">
        <v>0</v>
      </c>
      <c r="Z865" s="12">
        <v>429.3</v>
      </c>
      <c r="AA865" s="5">
        <v>184.2</v>
      </c>
      <c r="AB865" s="18">
        <v>42.91</v>
      </c>
      <c r="AC865" t="s">
        <v>111</v>
      </c>
      <c r="AD865" t="s">
        <v>51</v>
      </c>
      <c r="AE865" t="s">
        <v>105</v>
      </c>
      <c r="AF865">
        <v>5</v>
      </c>
      <c r="AG865" t="s">
        <v>53</v>
      </c>
    </row>
    <row r="866" spans="1:33">
      <c r="A866" t="s">
        <v>1892</v>
      </c>
      <c r="B866" s="10">
        <v>45678</v>
      </c>
      <c r="C866" s="3" t="s">
        <v>107</v>
      </c>
      <c r="D866" t="s">
        <v>156</v>
      </c>
      <c r="E866" t="s">
        <v>152</v>
      </c>
      <c r="F866" t="s">
        <v>91</v>
      </c>
      <c r="G866" t="s">
        <v>92</v>
      </c>
      <c r="H866" t="s">
        <v>75</v>
      </c>
      <c r="I866" t="s">
        <v>76</v>
      </c>
      <c r="J866" t="s">
        <v>77</v>
      </c>
      <c r="K866" t="s">
        <v>78</v>
      </c>
      <c r="L866" t="s">
        <v>1893</v>
      </c>
      <c r="M866" t="s">
        <v>80</v>
      </c>
      <c r="N866" t="s">
        <v>81</v>
      </c>
      <c r="O866" t="s">
        <v>94</v>
      </c>
      <c r="P866" t="s">
        <v>95</v>
      </c>
      <c r="Q866" t="s">
        <v>66</v>
      </c>
      <c r="R866" t="s">
        <v>84</v>
      </c>
      <c r="S866">
        <v>2</v>
      </c>
      <c r="T866" s="14">
        <v>78.84</v>
      </c>
      <c r="U866" s="7">
        <v>12</v>
      </c>
      <c r="V866" s="7">
        <v>22</v>
      </c>
      <c r="W866" s="14">
        <v>112.84</v>
      </c>
      <c r="X866" s="14">
        <v>262.8</v>
      </c>
      <c r="Y866" s="16">
        <v>5</v>
      </c>
      <c r="Z866" s="12">
        <v>499.32</v>
      </c>
      <c r="AA866" s="5">
        <v>273.64</v>
      </c>
      <c r="AB866" s="18">
        <v>54.8</v>
      </c>
      <c r="AC866" t="s">
        <v>104</v>
      </c>
      <c r="AD866" t="s">
        <v>51</v>
      </c>
      <c r="AE866" t="s">
        <v>96</v>
      </c>
      <c r="AF866">
        <v>5</v>
      </c>
      <c r="AG866" t="s">
        <v>53</v>
      </c>
    </row>
    <row r="867" spans="1:33">
      <c r="A867" t="s">
        <v>1894</v>
      </c>
      <c r="B867" s="10">
        <v>45832</v>
      </c>
      <c r="C867" s="3" t="s">
        <v>88</v>
      </c>
      <c r="D867" t="s">
        <v>156</v>
      </c>
      <c r="E867" t="s">
        <v>174</v>
      </c>
      <c r="F867" t="s">
        <v>131</v>
      </c>
      <c r="G867" t="s">
        <v>132</v>
      </c>
      <c r="H867" t="s">
        <v>39</v>
      </c>
      <c r="I867" t="s">
        <v>2143</v>
      </c>
      <c r="J867" t="s">
        <v>41</v>
      </c>
      <c r="K867" t="s">
        <v>42</v>
      </c>
      <c r="L867" t="s">
        <v>1895</v>
      </c>
      <c r="M867" t="s">
        <v>80</v>
      </c>
      <c r="N867" t="s">
        <v>110</v>
      </c>
      <c r="O867" t="s">
        <v>162</v>
      </c>
      <c r="P867" t="s">
        <v>163</v>
      </c>
      <c r="Q867" t="s">
        <v>48</v>
      </c>
      <c r="R867" t="s">
        <v>49</v>
      </c>
      <c r="S867">
        <v>2</v>
      </c>
      <c r="T867" s="14">
        <v>104.58</v>
      </c>
      <c r="U867" s="7">
        <v>12</v>
      </c>
      <c r="V867" s="7">
        <v>22</v>
      </c>
      <c r="W867" s="14">
        <v>138.58000000000001</v>
      </c>
      <c r="X867" s="14">
        <v>348.6</v>
      </c>
      <c r="Y867" s="16">
        <v>5</v>
      </c>
      <c r="Z867" s="12">
        <v>662.34</v>
      </c>
      <c r="AA867" s="5">
        <v>385.18</v>
      </c>
      <c r="AB867" s="18">
        <v>58.15</v>
      </c>
      <c r="AC867" t="s">
        <v>104</v>
      </c>
      <c r="AD867" t="s">
        <v>158</v>
      </c>
      <c r="AE867" t="s">
        <v>68</v>
      </c>
      <c r="AF867">
        <v>3</v>
      </c>
      <c r="AG867" t="s">
        <v>53</v>
      </c>
    </row>
    <row r="868" spans="1:33">
      <c r="A868" t="s">
        <v>1896</v>
      </c>
      <c r="B868" s="10">
        <v>45883</v>
      </c>
      <c r="C868" s="3" t="s">
        <v>128</v>
      </c>
      <c r="D868" t="s">
        <v>56</v>
      </c>
      <c r="E868" t="s">
        <v>99</v>
      </c>
      <c r="F868" t="s">
        <v>73</v>
      </c>
      <c r="G868" t="s">
        <v>74</v>
      </c>
      <c r="H868" t="s">
        <v>39</v>
      </c>
      <c r="I868" t="s">
        <v>2143</v>
      </c>
      <c r="J868" t="s">
        <v>41</v>
      </c>
      <c r="K868" t="s">
        <v>42</v>
      </c>
      <c r="L868" t="s">
        <v>1897</v>
      </c>
      <c r="M868" t="s">
        <v>80</v>
      </c>
      <c r="N868" t="s">
        <v>110</v>
      </c>
      <c r="O868" t="s">
        <v>119</v>
      </c>
      <c r="P868" t="s">
        <v>120</v>
      </c>
      <c r="Q868" t="s">
        <v>103</v>
      </c>
      <c r="R868" t="s">
        <v>84</v>
      </c>
      <c r="S868">
        <v>1</v>
      </c>
      <c r="T868" s="14">
        <v>46.44</v>
      </c>
      <c r="U868" s="7">
        <v>12</v>
      </c>
      <c r="V868" s="7">
        <v>22</v>
      </c>
      <c r="W868" s="14">
        <v>80.44</v>
      </c>
      <c r="X868" s="14">
        <v>154.80000000000001</v>
      </c>
      <c r="Y868" s="16">
        <v>0</v>
      </c>
      <c r="Z868" s="12">
        <v>154.80000000000001</v>
      </c>
      <c r="AA868" s="5">
        <v>74.36</v>
      </c>
      <c r="AB868" s="18">
        <v>48.04</v>
      </c>
      <c r="AC868" t="s">
        <v>85</v>
      </c>
      <c r="AD868" t="s">
        <v>86</v>
      </c>
      <c r="AE868" t="s">
        <v>52</v>
      </c>
      <c r="AF868">
        <v>5</v>
      </c>
      <c r="AG868" t="s">
        <v>53</v>
      </c>
    </row>
    <row r="869" spans="1:33">
      <c r="A869" t="s">
        <v>1898</v>
      </c>
      <c r="B869" s="10">
        <v>45804</v>
      </c>
      <c r="C869" s="3" t="s">
        <v>194</v>
      </c>
      <c r="D869" t="s">
        <v>156</v>
      </c>
      <c r="E869" t="s">
        <v>130</v>
      </c>
      <c r="F869" t="s">
        <v>131</v>
      </c>
      <c r="G869" t="s">
        <v>132</v>
      </c>
      <c r="H869" t="s">
        <v>115</v>
      </c>
      <c r="I869" t="s">
        <v>116</v>
      </c>
      <c r="J869" t="s">
        <v>117</v>
      </c>
      <c r="K869" t="s">
        <v>61</v>
      </c>
      <c r="L869" t="s">
        <v>1899</v>
      </c>
      <c r="M869" t="s">
        <v>80</v>
      </c>
      <c r="N869" t="s">
        <v>110</v>
      </c>
      <c r="O869" t="s">
        <v>119</v>
      </c>
      <c r="P869" t="s">
        <v>120</v>
      </c>
      <c r="Q869" t="s">
        <v>103</v>
      </c>
      <c r="R869" t="s">
        <v>67</v>
      </c>
      <c r="S869">
        <v>2</v>
      </c>
      <c r="T869" s="14">
        <v>38.700000000000003</v>
      </c>
      <c r="U869" s="7">
        <v>12</v>
      </c>
      <c r="V869" s="7">
        <v>22</v>
      </c>
      <c r="W869" s="14">
        <v>72.7</v>
      </c>
      <c r="X869" s="14">
        <v>129</v>
      </c>
      <c r="Y869" s="16">
        <v>0</v>
      </c>
      <c r="Z869" s="12">
        <v>258</v>
      </c>
      <c r="AA869" s="5">
        <v>112.6</v>
      </c>
      <c r="AB869" s="18">
        <v>43.64</v>
      </c>
      <c r="AC869" t="s">
        <v>50</v>
      </c>
      <c r="AD869" t="s">
        <v>86</v>
      </c>
      <c r="AE869" t="s">
        <v>96</v>
      </c>
      <c r="AF869">
        <v>5</v>
      </c>
      <c r="AG869" t="s">
        <v>53</v>
      </c>
    </row>
    <row r="870" spans="1:33">
      <c r="A870" t="s">
        <v>1900</v>
      </c>
      <c r="B870" s="10">
        <v>46017</v>
      </c>
      <c r="C870" s="3" t="s">
        <v>148</v>
      </c>
      <c r="D870" t="s">
        <v>35</v>
      </c>
      <c r="E870" t="s">
        <v>149</v>
      </c>
      <c r="F870" t="s">
        <v>37</v>
      </c>
      <c r="G870" t="s">
        <v>92</v>
      </c>
      <c r="H870" t="s">
        <v>133</v>
      </c>
      <c r="I870" t="s">
        <v>134</v>
      </c>
      <c r="J870" t="s">
        <v>135</v>
      </c>
      <c r="K870" t="s">
        <v>42</v>
      </c>
      <c r="L870" t="s">
        <v>1901</v>
      </c>
      <c r="M870" t="s">
        <v>63</v>
      </c>
      <c r="N870" t="s">
        <v>110</v>
      </c>
      <c r="O870" t="s">
        <v>94</v>
      </c>
      <c r="P870" t="s">
        <v>95</v>
      </c>
      <c r="Q870" t="s">
        <v>66</v>
      </c>
      <c r="R870" t="s">
        <v>84</v>
      </c>
      <c r="S870">
        <v>2</v>
      </c>
      <c r="T870" s="14">
        <v>78.84</v>
      </c>
      <c r="U870" s="7">
        <v>12</v>
      </c>
      <c r="V870" s="7">
        <v>22</v>
      </c>
      <c r="W870" s="14">
        <v>112.84</v>
      </c>
      <c r="X870" s="14">
        <v>262.8</v>
      </c>
      <c r="Y870" s="16">
        <v>0</v>
      </c>
      <c r="Z870" s="12">
        <v>525.6</v>
      </c>
      <c r="AA870" s="5">
        <v>299.92</v>
      </c>
      <c r="AB870" s="18">
        <v>57.06</v>
      </c>
      <c r="AC870" t="s">
        <v>111</v>
      </c>
      <c r="AD870" t="s">
        <v>86</v>
      </c>
      <c r="AE870" t="s">
        <v>96</v>
      </c>
      <c r="AF870">
        <v>4</v>
      </c>
      <c r="AG870" t="s">
        <v>53</v>
      </c>
    </row>
    <row r="871" spans="1:33">
      <c r="A871" t="s">
        <v>1902</v>
      </c>
      <c r="B871" s="10">
        <v>45702</v>
      </c>
      <c r="C871" s="3" t="s">
        <v>70</v>
      </c>
      <c r="D871" t="s">
        <v>35</v>
      </c>
      <c r="E871" t="s">
        <v>90</v>
      </c>
      <c r="F871" t="s">
        <v>91</v>
      </c>
      <c r="G871" t="s">
        <v>92</v>
      </c>
      <c r="H871" t="s">
        <v>39</v>
      </c>
      <c r="I871" t="s">
        <v>2143</v>
      </c>
      <c r="J871" t="s">
        <v>41</v>
      </c>
      <c r="K871" t="s">
        <v>42</v>
      </c>
      <c r="L871" t="s">
        <v>1903</v>
      </c>
      <c r="M871" t="s">
        <v>63</v>
      </c>
      <c r="N871" t="s">
        <v>81</v>
      </c>
      <c r="O871" t="s">
        <v>82</v>
      </c>
      <c r="P871" t="s">
        <v>83</v>
      </c>
      <c r="Q871" t="s">
        <v>66</v>
      </c>
      <c r="R871" t="s">
        <v>67</v>
      </c>
      <c r="S871">
        <v>1</v>
      </c>
      <c r="T871" s="14">
        <v>71.7</v>
      </c>
      <c r="U871" s="7">
        <v>12</v>
      </c>
      <c r="V871" s="7">
        <v>22</v>
      </c>
      <c r="W871" s="14">
        <v>105.7</v>
      </c>
      <c r="X871" s="14">
        <v>239</v>
      </c>
      <c r="Y871" s="16">
        <v>5</v>
      </c>
      <c r="Z871" s="12">
        <v>227.05</v>
      </c>
      <c r="AA871" s="5">
        <v>121.35</v>
      </c>
      <c r="AB871" s="18">
        <v>53.45</v>
      </c>
      <c r="AC871" t="s">
        <v>111</v>
      </c>
      <c r="AD871" t="s">
        <v>51</v>
      </c>
      <c r="AE871" t="s">
        <v>52</v>
      </c>
      <c r="AF871">
        <v>5</v>
      </c>
      <c r="AG871" t="s">
        <v>53</v>
      </c>
    </row>
    <row r="872" spans="1:33">
      <c r="A872" t="s">
        <v>1904</v>
      </c>
      <c r="B872" s="10">
        <v>45959</v>
      </c>
      <c r="C872" s="3" t="s">
        <v>55</v>
      </c>
      <c r="D872" t="s">
        <v>129</v>
      </c>
      <c r="E872" t="s">
        <v>36</v>
      </c>
      <c r="F872" t="s">
        <v>37</v>
      </c>
      <c r="G872" t="s">
        <v>38</v>
      </c>
      <c r="H872" t="s">
        <v>142</v>
      </c>
      <c r="I872" t="s">
        <v>143</v>
      </c>
      <c r="J872" t="s">
        <v>144</v>
      </c>
      <c r="K872" t="s">
        <v>145</v>
      </c>
      <c r="L872" t="s">
        <v>1905</v>
      </c>
      <c r="M872" t="s">
        <v>63</v>
      </c>
      <c r="N872" t="s">
        <v>45</v>
      </c>
      <c r="O872" t="s">
        <v>94</v>
      </c>
      <c r="P872" t="s">
        <v>95</v>
      </c>
      <c r="Q872" t="s">
        <v>66</v>
      </c>
      <c r="R872" t="s">
        <v>84</v>
      </c>
      <c r="S872">
        <v>1</v>
      </c>
      <c r="T872" s="14">
        <v>78.84</v>
      </c>
      <c r="U872" s="7">
        <v>12</v>
      </c>
      <c r="V872" s="7">
        <v>22</v>
      </c>
      <c r="W872" s="14">
        <v>112.84</v>
      </c>
      <c r="X872" s="14">
        <v>262.8</v>
      </c>
      <c r="Y872" s="16">
        <v>0</v>
      </c>
      <c r="Z872" s="12">
        <v>262.8</v>
      </c>
      <c r="AA872" s="5">
        <v>149.96</v>
      </c>
      <c r="AB872" s="18">
        <v>57.06</v>
      </c>
      <c r="AC872" t="s">
        <v>111</v>
      </c>
      <c r="AD872" t="s">
        <v>51</v>
      </c>
      <c r="AE872" t="s">
        <v>52</v>
      </c>
      <c r="AF872">
        <v>3</v>
      </c>
      <c r="AG872" t="s">
        <v>53</v>
      </c>
    </row>
    <row r="873" spans="1:33">
      <c r="A873" t="s">
        <v>1906</v>
      </c>
      <c r="B873" s="10">
        <v>45814</v>
      </c>
      <c r="C873" s="3" t="s">
        <v>128</v>
      </c>
      <c r="D873" t="s">
        <v>35</v>
      </c>
      <c r="E873" t="s">
        <v>174</v>
      </c>
      <c r="F873" t="s">
        <v>131</v>
      </c>
      <c r="G873" t="s">
        <v>132</v>
      </c>
      <c r="H873" t="s">
        <v>115</v>
      </c>
      <c r="I873" t="s">
        <v>116</v>
      </c>
      <c r="J873" t="s">
        <v>117</v>
      </c>
      <c r="K873" t="s">
        <v>61</v>
      </c>
      <c r="L873" t="s">
        <v>1907</v>
      </c>
      <c r="M873" t="s">
        <v>63</v>
      </c>
      <c r="N873" t="s">
        <v>110</v>
      </c>
      <c r="O873" t="s">
        <v>94</v>
      </c>
      <c r="P873" t="s">
        <v>95</v>
      </c>
      <c r="Q873" t="s">
        <v>66</v>
      </c>
      <c r="R873" t="s">
        <v>49</v>
      </c>
      <c r="S873">
        <v>3</v>
      </c>
      <c r="T873" s="14">
        <v>91.98</v>
      </c>
      <c r="U873" s="7">
        <v>12</v>
      </c>
      <c r="V873" s="7">
        <v>22</v>
      </c>
      <c r="W873" s="14">
        <v>125.98</v>
      </c>
      <c r="X873" s="14">
        <v>306.60000000000002</v>
      </c>
      <c r="Y873" s="16">
        <v>10</v>
      </c>
      <c r="Z873" s="12">
        <v>827.82</v>
      </c>
      <c r="AA873" s="5">
        <v>449.88</v>
      </c>
      <c r="AB873" s="18">
        <v>54.35</v>
      </c>
      <c r="AC873" t="s">
        <v>50</v>
      </c>
      <c r="AD873" t="s">
        <v>86</v>
      </c>
      <c r="AE873" t="s">
        <v>126</v>
      </c>
      <c r="AF873">
        <v>5</v>
      </c>
      <c r="AG873" t="s">
        <v>53</v>
      </c>
    </row>
    <row r="874" spans="1:33">
      <c r="A874" t="s">
        <v>1908</v>
      </c>
      <c r="B874" s="10">
        <v>45799</v>
      </c>
      <c r="C874" s="3" t="s">
        <v>390</v>
      </c>
      <c r="D874" t="s">
        <v>56</v>
      </c>
      <c r="E874" t="s">
        <v>130</v>
      </c>
      <c r="F874" t="s">
        <v>131</v>
      </c>
      <c r="G874" t="s">
        <v>132</v>
      </c>
      <c r="H874" t="s">
        <v>75</v>
      </c>
      <c r="I874" t="s">
        <v>76</v>
      </c>
      <c r="J874" t="s">
        <v>77</v>
      </c>
      <c r="K874" t="s">
        <v>78</v>
      </c>
      <c r="L874" t="s">
        <v>1909</v>
      </c>
      <c r="M874" t="s">
        <v>80</v>
      </c>
      <c r="N874" t="s">
        <v>45</v>
      </c>
      <c r="O874" t="s">
        <v>46</v>
      </c>
      <c r="P874" t="s">
        <v>47</v>
      </c>
      <c r="Q874" t="s">
        <v>48</v>
      </c>
      <c r="R874" t="s">
        <v>49</v>
      </c>
      <c r="S874">
        <v>1</v>
      </c>
      <c r="T874" s="14">
        <v>108.78</v>
      </c>
      <c r="U874" s="7">
        <v>12</v>
      </c>
      <c r="V874" s="7">
        <v>22</v>
      </c>
      <c r="W874" s="14">
        <v>142.78</v>
      </c>
      <c r="X874" s="14">
        <v>362.6</v>
      </c>
      <c r="Y874" s="16">
        <v>0</v>
      </c>
      <c r="Z874" s="12">
        <v>362.6</v>
      </c>
      <c r="AA874" s="5">
        <v>219.82</v>
      </c>
      <c r="AB874" s="18">
        <v>60.62</v>
      </c>
      <c r="AC874" t="s">
        <v>111</v>
      </c>
      <c r="AD874" t="s">
        <v>51</v>
      </c>
      <c r="AE874" t="s">
        <v>68</v>
      </c>
      <c r="AF874">
        <v>5</v>
      </c>
      <c r="AG874" t="s">
        <v>53</v>
      </c>
    </row>
    <row r="875" spans="1:33">
      <c r="A875" t="s">
        <v>1910</v>
      </c>
      <c r="B875" s="10">
        <v>45917</v>
      </c>
      <c r="C875" s="3" t="s">
        <v>185</v>
      </c>
      <c r="D875" t="s">
        <v>129</v>
      </c>
      <c r="E875" t="s">
        <v>72</v>
      </c>
      <c r="F875" t="s">
        <v>73</v>
      </c>
      <c r="G875" t="s">
        <v>74</v>
      </c>
      <c r="H875" t="s">
        <v>142</v>
      </c>
      <c r="I875" t="s">
        <v>143</v>
      </c>
      <c r="J875" t="s">
        <v>144</v>
      </c>
      <c r="K875" t="s">
        <v>145</v>
      </c>
      <c r="L875" t="s">
        <v>1911</v>
      </c>
      <c r="M875" t="s">
        <v>44</v>
      </c>
      <c r="N875" t="s">
        <v>45</v>
      </c>
      <c r="O875" t="s">
        <v>119</v>
      </c>
      <c r="P875" t="s">
        <v>120</v>
      </c>
      <c r="Q875" t="s">
        <v>103</v>
      </c>
      <c r="R875" t="s">
        <v>84</v>
      </c>
      <c r="S875">
        <v>1</v>
      </c>
      <c r="T875" s="14">
        <v>46.44</v>
      </c>
      <c r="U875" s="7">
        <v>12</v>
      </c>
      <c r="V875" s="7">
        <v>22</v>
      </c>
      <c r="W875" s="14">
        <v>80.44</v>
      </c>
      <c r="X875" s="14">
        <v>154.80000000000001</v>
      </c>
      <c r="Y875" s="16">
        <v>0</v>
      </c>
      <c r="Z875" s="12">
        <v>154.80000000000001</v>
      </c>
      <c r="AA875" s="5">
        <v>74.36</v>
      </c>
      <c r="AB875" s="18">
        <v>48.04</v>
      </c>
      <c r="AC875" t="s">
        <v>85</v>
      </c>
      <c r="AD875" t="s">
        <v>158</v>
      </c>
      <c r="AE875" t="s">
        <v>52</v>
      </c>
      <c r="AF875">
        <v>5</v>
      </c>
      <c r="AG875" t="s">
        <v>53</v>
      </c>
    </row>
    <row r="876" spans="1:33">
      <c r="A876" t="s">
        <v>1912</v>
      </c>
      <c r="B876" s="10">
        <v>45720</v>
      </c>
      <c r="C876" s="3" t="s">
        <v>339</v>
      </c>
      <c r="D876" t="s">
        <v>156</v>
      </c>
      <c r="E876" t="s">
        <v>108</v>
      </c>
      <c r="F876" t="s">
        <v>91</v>
      </c>
      <c r="G876" t="s">
        <v>38</v>
      </c>
      <c r="H876" t="s">
        <v>142</v>
      </c>
      <c r="I876" t="s">
        <v>143</v>
      </c>
      <c r="J876" t="s">
        <v>144</v>
      </c>
      <c r="K876" t="s">
        <v>145</v>
      </c>
      <c r="L876" t="s">
        <v>1913</v>
      </c>
      <c r="M876" t="s">
        <v>80</v>
      </c>
      <c r="N876" t="s">
        <v>110</v>
      </c>
      <c r="O876" t="s">
        <v>176</v>
      </c>
      <c r="P876" t="s">
        <v>177</v>
      </c>
      <c r="Q876" t="s">
        <v>66</v>
      </c>
      <c r="R876" t="s">
        <v>49</v>
      </c>
      <c r="S876">
        <v>2</v>
      </c>
      <c r="T876" s="14">
        <v>70.98</v>
      </c>
      <c r="U876" s="7">
        <v>12</v>
      </c>
      <c r="V876" s="7">
        <v>22</v>
      </c>
      <c r="W876" s="14">
        <v>104.98</v>
      </c>
      <c r="X876" s="14">
        <v>236.6</v>
      </c>
      <c r="Y876" s="16">
        <v>10</v>
      </c>
      <c r="Z876" s="12">
        <v>425.88</v>
      </c>
      <c r="AA876" s="5">
        <v>215.92</v>
      </c>
      <c r="AB876" s="18">
        <v>50.7</v>
      </c>
      <c r="AC876" t="s">
        <v>111</v>
      </c>
      <c r="AD876" t="s">
        <v>86</v>
      </c>
      <c r="AE876" t="s">
        <v>96</v>
      </c>
      <c r="AF876">
        <v>4</v>
      </c>
      <c r="AG876" t="s">
        <v>53</v>
      </c>
    </row>
    <row r="877" spans="1:33">
      <c r="A877" t="s">
        <v>1914</v>
      </c>
      <c r="B877" s="10">
        <v>45730</v>
      </c>
      <c r="C877" s="3" t="s">
        <v>339</v>
      </c>
      <c r="D877" t="s">
        <v>35</v>
      </c>
      <c r="E877" t="s">
        <v>108</v>
      </c>
      <c r="F877" t="s">
        <v>91</v>
      </c>
      <c r="G877" t="s">
        <v>38</v>
      </c>
      <c r="H877" t="s">
        <v>39</v>
      </c>
      <c r="I877" t="s">
        <v>2143</v>
      </c>
      <c r="J877" t="s">
        <v>41</v>
      </c>
      <c r="K877" t="s">
        <v>42</v>
      </c>
      <c r="L877" t="s">
        <v>1915</v>
      </c>
      <c r="M877" t="s">
        <v>63</v>
      </c>
      <c r="N877" t="s">
        <v>110</v>
      </c>
      <c r="O877" t="s">
        <v>176</v>
      </c>
      <c r="P877" t="s">
        <v>177</v>
      </c>
      <c r="Q877" t="s">
        <v>66</v>
      </c>
      <c r="R877" t="s">
        <v>67</v>
      </c>
      <c r="S877">
        <v>1</v>
      </c>
      <c r="T877" s="14">
        <v>50.7</v>
      </c>
      <c r="U877" s="7">
        <v>12</v>
      </c>
      <c r="V877" s="7">
        <v>22</v>
      </c>
      <c r="W877" s="14">
        <v>84.7</v>
      </c>
      <c r="X877" s="14">
        <v>169</v>
      </c>
      <c r="Y877" s="16">
        <v>5</v>
      </c>
      <c r="Z877" s="12">
        <v>160.55000000000001</v>
      </c>
      <c r="AA877" s="5">
        <v>75.849999999999994</v>
      </c>
      <c r="AB877" s="18">
        <v>47.24</v>
      </c>
      <c r="AC877" t="s">
        <v>85</v>
      </c>
      <c r="AD877" t="s">
        <v>51</v>
      </c>
      <c r="AE877" t="s">
        <v>96</v>
      </c>
      <c r="AF877">
        <v>5</v>
      </c>
      <c r="AG877" t="s">
        <v>53</v>
      </c>
    </row>
    <row r="878" spans="1:33">
      <c r="A878" t="s">
        <v>1916</v>
      </c>
      <c r="B878" s="10">
        <v>45909</v>
      </c>
      <c r="C878" s="3" t="s">
        <v>182</v>
      </c>
      <c r="D878" t="s">
        <v>156</v>
      </c>
      <c r="E878" t="s">
        <v>72</v>
      </c>
      <c r="F878" t="s">
        <v>73</v>
      </c>
      <c r="G878" t="s">
        <v>74</v>
      </c>
      <c r="H878" t="s">
        <v>58</v>
      </c>
      <c r="I878" t="s">
        <v>59</v>
      </c>
      <c r="J878" t="s">
        <v>60</v>
      </c>
      <c r="K878" t="s">
        <v>61</v>
      </c>
      <c r="L878" t="s">
        <v>1917</v>
      </c>
      <c r="M878" t="s">
        <v>63</v>
      </c>
      <c r="N878" t="s">
        <v>81</v>
      </c>
      <c r="O878" t="s">
        <v>189</v>
      </c>
      <c r="P878" t="s">
        <v>190</v>
      </c>
      <c r="Q878" t="s">
        <v>48</v>
      </c>
      <c r="R878" t="s">
        <v>67</v>
      </c>
      <c r="S878">
        <v>1</v>
      </c>
      <c r="T878" s="14">
        <v>47.7</v>
      </c>
      <c r="U878" s="7">
        <v>12</v>
      </c>
      <c r="V878" s="7">
        <v>22</v>
      </c>
      <c r="W878" s="14">
        <v>81.7</v>
      </c>
      <c r="X878" s="14">
        <v>159</v>
      </c>
      <c r="Y878" s="16">
        <v>0</v>
      </c>
      <c r="Z878" s="12">
        <v>159</v>
      </c>
      <c r="AA878" s="5">
        <v>77.3</v>
      </c>
      <c r="AB878" s="18">
        <v>48.62</v>
      </c>
      <c r="AC878" t="s">
        <v>111</v>
      </c>
      <c r="AD878" t="s">
        <v>86</v>
      </c>
      <c r="AE878" t="s">
        <v>105</v>
      </c>
      <c r="AF878">
        <v>4</v>
      </c>
      <c r="AG878" t="s">
        <v>53</v>
      </c>
    </row>
    <row r="879" spans="1:33">
      <c r="A879" t="s">
        <v>1918</v>
      </c>
      <c r="B879" s="10">
        <v>45684</v>
      </c>
      <c r="C879" s="3" t="s">
        <v>113</v>
      </c>
      <c r="D879" t="s">
        <v>206</v>
      </c>
      <c r="E879" t="s">
        <v>152</v>
      </c>
      <c r="F879" t="s">
        <v>91</v>
      </c>
      <c r="G879" t="s">
        <v>92</v>
      </c>
      <c r="H879" t="s">
        <v>39</v>
      </c>
      <c r="I879" t="s">
        <v>2143</v>
      </c>
      <c r="J879" t="s">
        <v>41</v>
      </c>
      <c r="K879" t="s">
        <v>42</v>
      </c>
      <c r="L879" t="s">
        <v>1919</v>
      </c>
      <c r="M879" t="s">
        <v>80</v>
      </c>
      <c r="N879" t="s">
        <v>81</v>
      </c>
      <c r="O879" t="s">
        <v>176</v>
      </c>
      <c r="P879" t="s">
        <v>177</v>
      </c>
      <c r="Q879" t="s">
        <v>66</v>
      </c>
      <c r="R879" t="s">
        <v>67</v>
      </c>
      <c r="S879">
        <v>1</v>
      </c>
      <c r="T879" s="14">
        <v>50.7</v>
      </c>
      <c r="U879" s="7">
        <v>12</v>
      </c>
      <c r="V879" s="7">
        <v>22</v>
      </c>
      <c r="W879" s="14">
        <v>84.7</v>
      </c>
      <c r="X879" s="14">
        <v>169</v>
      </c>
      <c r="Y879" s="16">
        <v>0</v>
      </c>
      <c r="Z879" s="12">
        <v>169</v>
      </c>
      <c r="AA879" s="5">
        <v>84.3</v>
      </c>
      <c r="AB879" s="18">
        <v>49.88</v>
      </c>
      <c r="AC879" t="s">
        <v>111</v>
      </c>
      <c r="AD879" t="s">
        <v>86</v>
      </c>
      <c r="AE879" t="s">
        <v>105</v>
      </c>
      <c r="AF879">
        <v>5</v>
      </c>
      <c r="AG879" t="s">
        <v>53</v>
      </c>
    </row>
    <row r="880" spans="1:33">
      <c r="A880" t="s">
        <v>1920</v>
      </c>
      <c r="B880" s="10">
        <v>45931</v>
      </c>
      <c r="C880" s="3" t="s">
        <v>171</v>
      </c>
      <c r="D880" t="s">
        <v>129</v>
      </c>
      <c r="E880" t="s">
        <v>36</v>
      </c>
      <c r="F880" t="s">
        <v>37</v>
      </c>
      <c r="G880" t="s">
        <v>38</v>
      </c>
      <c r="H880" t="s">
        <v>58</v>
      </c>
      <c r="I880" t="s">
        <v>59</v>
      </c>
      <c r="J880" t="s">
        <v>60</v>
      </c>
      <c r="K880" t="s">
        <v>61</v>
      </c>
      <c r="L880" t="s">
        <v>1921</v>
      </c>
      <c r="M880" t="s">
        <v>63</v>
      </c>
      <c r="N880" t="s">
        <v>45</v>
      </c>
      <c r="O880" t="s">
        <v>64</v>
      </c>
      <c r="P880" t="s">
        <v>65</v>
      </c>
      <c r="Q880" t="s">
        <v>66</v>
      </c>
      <c r="R880" t="s">
        <v>67</v>
      </c>
      <c r="S880">
        <v>2</v>
      </c>
      <c r="T880" s="14">
        <v>44.7</v>
      </c>
      <c r="U880" s="7">
        <v>12</v>
      </c>
      <c r="V880" s="7">
        <v>22</v>
      </c>
      <c r="W880" s="14">
        <v>78.7</v>
      </c>
      <c r="X880" s="14">
        <v>149</v>
      </c>
      <c r="Y880" s="16">
        <v>5</v>
      </c>
      <c r="Z880" s="12">
        <v>283.10000000000002</v>
      </c>
      <c r="AA880" s="5">
        <v>125.7</v>
      </c>
      <c r="AB880" s="18">
        <v>44.4</v>
      </c>
      <c r="AC880" t="s">
        <v>50</v>
      </c>
      <c r="AD880" t="s">
        <v>86</v>
      </c>
      <c r="AE880" t="s">
        <v>96</v>
      </c>
      <c r="AF880">
        <v>4</v>
      </c>
      <c r="AG880" t="s">
        <v>53</v>
      </c>
    </row>
    <row r="881" spans="1:33">
      <c r="A881" t="s">
        <v>1922</v>
      </c>
      <c r="B881" s="10">
        <v>45875</v>
      </c>
      <c r="C881" s="3" t="s">
        <v>107</v>
      </c>
      <c r="D881" t="s">
        <v>129</v>
      </c>
      <c r="E881" t="s">
        <v>99</v>
      </c>
      <c r="F881" t="s">
        <v>73</v>
      </c>
      <c r="G881" t="s">
        <v>74</v>
      </c>
      <c r="H881" t="s">
        <v>115</v>
      </c>
      <c r="I881" t="s">
        <v>116</v>
      </c>
      <c r="J881" t="s">
        <v>117</v>
      </c>
      <c r="K881" t="s">
        <v>61</v>
      </c>
      <c r="L881" t="s">
        <v>1923</v>
      </c>
      <c r="M881" t="s">
        <v>44</v>
      </c>
      <c r="N881" t="s">
        <v>81</v>
      </c>
      <c r="O881" t="s">
        <v>101</v>
      </c>
      <c r="P881" t="s">
        <v>102</v>
      </c>
      <c r="Q881" t="s">
        <v>103</v>
      </c>
      <c r="R881" t="s">
        <v>67</v>
      </c>
      <c r="S881">
        <v>1</v>
      </c>
      <c r="T881" s="14">
        <v>44.7</v>
      </c>
      <c r="U881" s="7">
        <v>12</v>
      </c>
      <c r="V881" s="7">
        <v>22</v>
      </c>
      <c r="W881" s="14">
        <v>78.7</v>
      </c>
      <c r="X881" s="14">
        <v>149</v>
      </c>
      <c r="Y881" s="16">
        <v>0</v>
      </c>
      <c r="Z881" s="12">
        <v>149</v>
      </c>
      <c r="AA881" s="5">
        <v>70.3</v>
      </c>
      <c r="AB881" s="18">
        <v>47.18</v>
      </c>
      <c r="AC881" t="s">
        <v>85</v>
      </c>
      <c r="AD881" t="s">
        <v>51</v>
      </c>
      <c r="AE881" t="s">
        <v>68</v>
      </c>
      <c r="AF881">
        <v>5</v>
      </c>
      <c r="AG881" t="s">
        <v>53</v>
      </c>
    </row>
    <row r="882" spans="1:33">
      <c r="A882" t="s">
        <v>1924</v>
      </c>
      <c r="B882" s="10">
        <v>45927</v>
      </c>
      <c r="C882" s="3" t="s">
        <v>70</v>
      </c>
      <c r="D882" t="s">
        <v>71</v>
      </c>
      <c r="E882" t="s">
        <v>72</v>
      </c>
      <c r="F882" t="s">
        <v>73</v>
      </c>
      <c r="G882" t="s">
        <v>74</v>
      </c>
      <c r="H882" t="s">
        <v>142</v>
      </c>
      <c r="I882" t="s">
        <v>143</v>
      </c>
      <c r="J882" t="s">
        <v>144</v>
      </c>
      <c r="K882" t="s">
        <v>145</v>
      </c>
      <c r="L882" t="s">
        <v>1925</v>
      </c>
      <c r="M882" t="s">
        <v>63</v>
      </c>
      <c r="N882" t="s">
        <v>45</v>
      </c>
      <c r="O882" t="s">
        <v>452</v>
      </c>
      <c r="P882" t="s">
        <v>453</v>
      </c>
      <c r="Q882" t="s">
        <v>215</v>
      </c>
      <c r="R882" t="s">
        <v>84</v>
      </c>
      <c r="S882">
        <v>2</v>
      </c>
      <c r="T882" s="14">
        <v>118.44</v>
      </c>
      <c r="U882" s="7">
        <v>12</v>
      </c>
      <c r="V882" s="7">
        <v>22</v>
      </c>
      <c r="W882" s="14">
        <v>152.44</v>
      </c>
      <c r="X882" s="14">
        <v>394.8</v>
      </c>
      <c r="Y882" s="16">
        <v>10</v>
      </c>
      <c r="Z882" s="12">
        <v>710.64</v>
      </c>
      <c r="AA882" s="5">
        <v>405.76</v>
      </c>
      <c r="AB882" s="18">
        <v>57.1</v>
      </c>
      <c r="AC882" t="s">
        <v>50</v>
      </c>
      <c r="AD882" t="s">
        <v>158</v>
      </c>
      <c r="AE882" t="s">
        <v>105</v>
      </c>
      <c r="AF882">
        <v>5</v>
      </c>
      <c r="AG882" t="s">
        <v>53</v>
      </c>
    </row>
    <row r="883" spans="1:33">
      <c r="A883" t="s">
        <v>1926</v>
      </c>
      <c r="B883" s="10">
        <v>45812</v>
      </c>
      <c r="C883" s="3" t="s">
        <v>339</v>
      </c>
      <c r="D883" t="s">
        <v>129</v>
      </c>
      <c r="E883" t="s">
        <v>174</v>
      </c>
      <c r="F883" t="s">
        <v>131</v>
      </c>
      <c r="G883" t="s">
        <v>132</v>
      </c>
      <c r="H883" t="s">
        <v>115</v>
      </c>
      <c r="I883" t="s">
        <v>116</v>
      </c>
      <c r="J883" t="s">
        <v>117</v>
      </c>
      <c r="K883" t="s">
        <v>61</v>
      </c>
      <c r="L883" t="s">
        <v>1927</v>
      </c>
      <c r="M883" t="s">
        <v>44</v>
      </c>
      <c r="N883" t="s">
        <v>81</v>
      </c>
      <c r="O883" t="s">
        <v>82</v>
      </c>
      <c r="P883" t="s">
        <v>83</v>
      </c>
      <c r="Q883" t="s">
        <v>66</v>
      </c>
      <c r="R883" t="s">
        <v>67</v>
      </c>
      <c r="S883">
        <v>3</v>
      </c>
      <c r="T883" s="14">
        <v>71.7</v>
      </c>
      <c r="U883" s="7">
        <v>12</v>
      </c>
      <c r="V883" s="7">
        <v>22</v>
      </c>
      <c r="W883" s="14">
        <v>105.7</v>
      </c>
      <c r="X883" s="14">
        <v>239</v>
      </c>
      <c r="Y883" s="16">
        <v>10</v>
      </c>
      <c r="Z883" s="12">
        <v>645.29999999999995</v>
      </c>
      <c r="AA883" s="5">
        <v>328.2</v>
      </c>
      <c r="AB883" s="18">
        <v>50.86</v>
      </c>
      <c r="AC883" t="s">
        <v>85</v>
      </c>
      <c r="AD883" t="s">
        <v>158</v>
      </c>
      <c r="AE883" t="s">
        <v>68</v>
      </c>
      <c r="AF883">
        <v>5</v>
      </c>
      <c r="AG883" t="s">
        <v>53</v>
      </c>
    </row>
    <row r="884" spans="1:33">
      <c r="A884" t="s">
        <v>1928</v>
      </c>
      <c r="B884" s="10">
        <v>45887</v>
      </c>
      <c r="C884" s="3" t="s">
        <v>339</v>
      </c>
      <c r="D884" t="s">
        <v>206</v>
      </c>
      <c r="E884" t="s">
        <v>99</v>
      </c>
      <c r="F884" t="s">
        <v>73</v>
      </c>
      <c r="G884" t="s">
        <v>74</v>
      </c>
      <c r="H884" t="s">
        <v>133</v>
      </c>
      <c r="I884" t="s">
        <v>134</v>
      </c>
      <c r="J884" t="s">
        <v>135</v>
      </c>
      <c r="K884" t="s">
        <v>42</v>
      </c>
      <c r="L884" t="s">
        <v>1929</v>
      </c>
      <c r="M884" t="s">
        <v>44</v>
      </c>
      <c r="N884" t="s">
        <v>81</v>
      </c>
      <c r="O884" t="s">
        <v>94</v>
      </c>
      <c r="P884" t="s">
        <v>95</v>
      </c>
      <c r="Q884" t="s">
        <v>66</v>
      </c>
      <c r="R884" t="s">
        <v>67</v>
      </c>
      <c r="S884">
        <v>2</v>
      </c>
      <c r="T884" s="14">
        <v>65.7</v>
      </c>
      <c r="U884" s="7">
        <v>12</v>
      </c>
      <c r="V884" s="7">
        <v>22</v>
      </c>
      <c r="W884" s="14">
        <v>99.7</v>
      </c>
      <c r="X884" s="14">
        <v>219</v>
      </c>
      <c r="Y884" s="16">
        <v>0</v>
      </c>
      <c r="Z884" s="12">
        <v>438</v>
      </c>
      <c r="AA884" s="5">
        <v>238.6</v>
      </c>
      <c r="AB884" s="18">
        <v>54.47</v>
      </c>
      <c r="AC884" t="s">
        <v>111</v>
      </c>
      <c r="AD884" t="s">
        <v>51</v>
      </c>
      <c r="AE884" t="s">
        <v>68</v>
      </c>
      <c r="AF884">
        <v>5</v>
      </c>
      <c r="AG884" t="s">
        <v>53</v>
      </c>
    </row>
    <row r="885" spans="1:33">
      <c r="A885" t="s">
        <v>1930</v>
      </c>
      <c r="B885" s="10">
        <v>45672</v>
      </c>
      <c r="C885" s="3" t="s">
        <v>55</v>
      </c>
      <c r="D885" t="s">
        <v>129</v>
      </c>
      <c r="E885" t="s">
        <v>152</v>
      </c>
      <c r="F885" t="s">
        <v>91</v>
      </c>
      <c r="G885" t="s">
        <v>92</v>
      </c>
      <c r="H885" t="s">
        <v>142</v>
      </c>
      <c r="I885" t="s">
        <v>143</v>
      </c>
      <c r="J885" t="s">
        <v>144</v>
      </c>
      <c r="K885" t="s">
        <v>145</v>
      </c>
      <c r="L885" t="s">
        <v>1931</v>
      </c>
      <c r="M885" t="s">
        <v>44</v>
      </c>
      <c r="N885" t="s">
        <v>45</v>
      </c>
      <c r="O885" t="s">
        <v>82</v>
      </c>
      <c r="P885" t="s">
        <v>83</v>
      </c>
      <c r="Q885" t="s">
        <v>66</v>
      </c>
      <c r="R885" t="s">
        <v>49</v>
      </c>
      <c r="S885">
        <v>1</v>
      </c>
      <c r="T885" s="14">
        <v>100.38</v>
      </c>
      <c r="U885" s="7">
        <v>12</v>
      </c>
      <c r="V885" s="7">
        <v>22</v>
      </c>
      <c r="W885" s="14">
        <v>134.38</v>
      </c>
      <c r="X885" s="14">
        <v>334.6</v>
      </c>
      <c r="Y885" s="16">
        <v>0</v>
      </c>
      <c r="Z885" s="12">
        <v>334.6</v>
      </c>
      <c r="AA885" s="5">
        <v>200.22</v>
      </c>
      <c r="AB885" s="18">
        <v>59.84</v>
      </c>
      <c r="AC885" t="s">
        <v>85</v>
      </c>
      <c r="AD885" t="s">
        <v>51</v>
      </c>
      <c r="AE885" t="s">
        <v>52</v>
      </c>
      <c r="AF885">
        <v>5</v>
      </c>
      <c r="AG885" t="s">
        <v>53</v>
      </c>
    </row>
    <row r="886" spans="1:33">
      <c r="A886" t="s">
        <v>1932</v>
      </c>
      <c r="B886" s="10">
        <v>45838</v>
      </c>
      <c r="C886" s="3" t="s">
        <v>113</v>
      </c>
      <c r="D886" t="s">
        <v>206</v>
      </c>
      <c r="E886" t="s">
        <v>174</v>
      </c>
      <c r="F886" t="s">
        <v>131</v>
      </c>
      <c r="G886" t="s">
        <v>132</v>
      </c>
      <c r="H886" t="s">
        <v>75</v>
      </c>
      <c r="I886" t="s">
        <v>76</v>
      </c>
      <c r="J886" t="s">
        <v>77</v>
      </c>
      <c r="K886" t="s">
        <v>78</v>
      </c>
      <c r="L886" t="s">
        <v>1933</v>
      </c>
      <c r="M886" t="s">
        <v>80</v>
      </c>
      <c r="N886" t="s">
        <v>110</v>
      </c>
      <c r="O886" t="s">
        <v>94</v>
      </c>
      <c r="P886" t="s">
        <v>95</v>
      </c>
      <c r="Q886" t="s">
        <v>66</v>
      </c>
      <c r="R886" t="s">
        <v>49</v>
      </c>
      <c r="S886">
        <v>1</v>
      </c>
      <c r="T886" s="14">
        <v>91.98</v>
      </c>
      <c r="U886" s="7">
        <v>12</v>
      </c>
      <c r="V886" s="7">
        <v>22</v>
      </c>
      <c r="W886" s="14">
        <v>125.98</v>
      </c>
      <c r="X886" s="14">
        <v>306.60000000000002</v>
      </c>
      <c r="Y886" s="16">
        <v>0</v>
      </c>
      <c r="Z886" s="12">
        <v>306.60000000000002</v>
      </c>
      <c r="AA886" s="5">
        <v>180.62</v>
      </c>
      <c r="AB886" s="18">
        <v>58.91</v>
      </c>
      <c r="AC886" t="s">
        <v>111</v>
      </c>
      <c r="AD886" t="s">
        <v>86</v>
      </c>
      <c r="AE886" t="s">
        <v>68</v>
      </c>
      <c r="AF886">
        <v>5</v>
      </c>
      <c r="AG886" t="s">
        <v>53</v>
      </c>
    </row>
    <row r="887" spans="1:33">
      <c r="A887" t="s">
        <v>1934</v>
      </c>
      <c r="B887" s="10">
        <v>45659</v>
      </c>
      <c r="C887" s="3" t="s">
        <v>107</v>
      </c>
      <c r="D887" t="s">
        <v>56</v>
      </c>
      <c r="E887" t="s">
        <v>152</v>
      </c>
      <c r="F887" t="s">
        <v>91</v>
      </c>
      <c r="G887" t="s">
        <v>92</v>
      </c>
      <c r="H887" t="s">
        <v>142</v>
      </c>
      <c r="I887" t="s">
        <v>143</v>
      </c>
      <c r="J887" t="s">
        <v>144</v>
      </c>
      <c r="K887" t="s">
        <v>145</v>
      </c>
      <c r="L887" t="s">
        <v>1935</v>
      </c>
      <c r="M887" t="s">
        <v>44</v>
      </c>
      <c r="N887" t="s">
        <v>110</v>
      </c>
      <c r="O887" t="s">
        <v>94</v>
      </c>
      <c r="P887" t="s">
        <v>95</v>
      </c>
      <c r="Q887" t="s">
        <v>66</v>
      </c>
      <c r="R887" t="s">
        <v>84</v>
      </c>
      <c r="S887">
        <v>1</v>
      </c>
      <c r="T887" s="14">
        <v>78.84</v>
      </c>
      <c r="U887" s="7">
        <v>12</v>
      </c>
      <c r="V887" s="7">
        <v>22</v>
      </c>
      <c r="W887" s="14">
        <v>112.84</v>
      </c>
      <c r="X887" s="14">
        <v>262.8</v>
      </c>
      <c r="Y887" s="16">
        <v>0</v>
      </c>
      <c r="Z887" s="12">
        <v>262.8</v>
      </c>
      <c r="AA887" s="5">
        <v>149.96</v>
      </c>
      <c r="AB887" s="18">
        <v>57.06</v>
      </c>
      <c r="AC887" t="s">
        <v>50</v>
      </c>
      <c r="AD887" t="s">
        <v>86</v>
      </c>
      <c r="AE887" t="s">
        <v>68</v>
      </c>
      <c r="AF887">
        <v>5</v>
      </c>
      <c r="AG887" t="s">
        <v>53</v>
      </c>
    </row>
    <row r="888" spans="1:33">
      <c r="A888" t="s">
        <v>1936</v>
      </c>
      <c r="B888" s="10">
        <v>45694</v>
      </c>
      <c r="C888" s="3" t="s">
        <v>194</v>
      </c>
      <c r="D888" t="s">
        <v>56</v>
      </c>
      <c r="E888" t="s">
        <v>90</v>
      </c>
      <c r="F888" t="s">
        <v>91</v>
      </c>
      <c r="G888" t="s">
        <v>92</v>
      </c>
      <c r="H888" t="s">
        <v>39</v>
      </c>
      <c r="I888" t="s">
        <v>2143</v>
      </c>
      <c r="J888" t="s">
        <v>41</v>
      </c>
      <c r="K888" t="s">
        <v>42</v>
      </c>
      <c r="L888" t="s">
        <v>1937</v>
      </c>
      <c r="M888" t="s">
        <v>63</v>
      </c>
      <c r="N888" t="s">
        <v>110</v>
      </c>
      <c r="O888" t="s">
        <v>94</v>
      </c>
      <c r="P888" t="s">
        <v>95</v>
      </c>
      <c r="Q888" t="s">
        <v>66</v>
      </c>
      <c r="R888" t="s">
        <v>67</v>
      </c>
      <c r="S888">
        <v>3</v>
      </c>
      <c r="T888" s="14">
        <v>65.7</v>
      </c>
      <c r="U888" s="7">
        <v>12</v>
      </c>
      <c r="V888" s="7">
        <v>22</v>
      </c>
      <c r="W888" s="14">
        <v>99.7</v>
      </c>
      <c r="X888" s="14">
        <v>219</v>
      </c>
      <c r="Y888" s="16">
        <v>10</v>
      </c>
      <c r="Z888" s="12">
        <v>591.29999999999995</v>
      </c>
      <c r="AA888" s="5">
        <v>292.2</v>
      </c>
      <c r="AB888" s="18">
        <v>49.42</v>
      </c>
      <c r="AC888" t="s">
        <v>111</v>
      </c>
      <c r="AD888" t="s">
        <v>86</v>
      </c>
      <c r="AE888" t="s">
        <v>96</v>
      </c>
      <c r="AF888">
        <v>5</v>
      </c>
      <c r="AG888" t="s">
        <v>53</v>
      </c>
    </row>
    <row r="889" spans="1:33">
      <c r="A889" t="s">
        <v>1938</v>
      </c>
      <c r="B889" s="10">
        <v>45880</v>
      </c>
      <c r="C889" s="3" t="s">
        <v>185</v>
      </c>
      <c r="D889" t="s">
        <v>206</v>
      </c>
      <c r="E889" t="s">
        <v>99</v>
      </c>
      <c r="F889" t="s">
        <v>73</v>
      </c>
      <c r="G889" t="s">
        <v>74</v>
      </c>
      <c r="H889" t="s">
        <v>75</v>
      </c>
      <c r="I889" t="s">
        <v>76</v>
      </c>
      <c r="J889" t="s">
        <v>77</v>
      </c>
      <c r="K889" t="s">
        <v>78</v>
      </c>
      <c r="L889" t="s">
        <v>1939</v>
      </c>
      <c r="M889" t="s">
        <v>63</v>
      </c>
      <c r="N889" t="s">
        <v>110</v>
      </c>
      <c r="O889" t="s">
        <v>82</v>
      </c>
      <c r="P889" t="s">
        <v>83</v>
      </c>
      <c r="Q889" t="s">
        <v>66</v>
      </c>
      <c r="R889" t="s">
        <v>67</v>
      </c>
      <c r="S889">
        <v>3</v>
      </c>
      <c r="T889" s="14">
        <v>71.7</v>
      </c>
      <c r="U889" s="7">
        <v>12</v>
      </c>
      <c r="V889" s="7">
        <v>22</v>
      </c>
      <c r="W889" s="14">
        <v>105.7</v>
      </c>
      <c r="X889" s="14">
        <v>239</v>
      </c>
      <c r="Y889" s="16">
        <v>5</v>
      </c>
      <c r="Z889" s="12">
        <v>681.15</v>
      </c>
      <c r="AA889" s="5">
        <v>364.05</v>
      </c>
      <c r="AB889" s="18">
        <v>53.45</v>
      </c>
      <c r="AC889" t="s">
        <v>50</v>
      </c>
      <c r="AD889" t="s">
        <v>86</v>
      </c>
      <c r="AE889" t="s">
        <v>126</v>
      </c>
      <c r="AF889">
        <v>5</v>
      </c>
      <c r="AG889" t="s">
        <v>53</v>
      </c>
    </row>
    <row r="890" spans="1:33">
      <c r="A890" t="s">
        <v>1940</v>
      </c>
      <c r="B890" s="10">
        <v>45817</v>
      </c>
      <c r="C890" s="3" t="s">
        <v>107</v>
      </c>
      <c r="D890" t="s">
        <v>206</v>
      </c>
      <c r="E890" t="s">
        <v>174</v>
      </c>
      <c r="F890" t="s">
        <v>131</v>
      </c>
      <c r="G890" t="s">
        <v>132</v>
      </c>
      <c r="H890" t="s">
        <v>58</v>
      </c>
      <c r="I890" t="s">
        <v>59</v>
      </c>
      <c r="J890" t="s">
        <v>60</v>
      </c>
      <c r="K890" t="s">
        <v>61</v>
      </c>
      <c r="L890" t="s">
        <v>1941</v>
      </c>
      <c r="M890" t="s">
        <v>63</v>
      </c>
      <c r="N890" t="s">
        <v>45</v>
      </c>
      <c r="O890" t="s">
        <v>94</v>
      </c>
      <c r="P890" t="s">
        <v>95</v>
      </c>
      <c r="Q890" t="s">
        <v>66</v>
      </c>
      <c r="R890" t="s">
        <v>67</v>
      </c>
      <c r="S890">
        <v>2</v>
      </c>
      <c r="T890" s="14">
        <v>65.7</v>
      </c>
      <c r="U890" s="7">
        <v>12</v>
      </c>
      <c r="V890" s="7">
        <v>22</v>
      </c>
      <c r="W890" s="14">
        <v>99.7</v>
      </c>
      <c r="X890" s="14">
        <v>219</v>
      </c>
      <c r="Y890" s="16">
        <v>10</v>
      </c>
      <c r="Z890" s="12">
        <v>394.2</v>
      </c>
      <c r="AA890" s="5">
        <v>194.8</v>
      </c>
      <c r="AB890" s="18">
        <v>49.42</v>
      </c>
      <c r="AC890" t="s">
        <v>111</v>
      </c>
      <c r="AD890" t="s">
        <v>86</v>
      </c>
      <c r="AE890" t="s">
        <v>105</v>
      </c>
      <c r="AF890">
        <v>5</v>
      </c>
      <c r="AG890" t="s">
        <v>53</v>
      </c>
    </row>
    <row r="891" spans="1:33">
      <c r="A891" t="s">
        <v>1942</v>
      </c>
      <c r="B891" s="10">
        <v>45990</v>
      </c>
      <c r="C891" s="3" t="s">
        <v>211</v>
      </c>
      <c r="D891" t="s">
        <v>71</v>
      </c>
      <c r="E891" t="s">
        <v>57</v>
      </c>
      <c r="F891" t="s">
        <v>37</v>
      </c>
      <c r="G891" t="s">
        <v>38</v>
      </c>
      <c r="H891" t="s">
        <v>58</v>
      </c>
      <c r="I891" t="s">
        <v>59</v>
      </c>
      <c r="J891" t="s">
        <v>60</v>
      </c>
      <c r="K891" t="s">
        <v>61</v>
      </c>
      <c r="L891" t="s">
        <v>1943</v>
      </c>
      <c r="M891" t="s">
        <v>44</v>
      </c>
      <c r="N891" t="s">
        <v>45</v>
      </c>
      <c r="O891" t="s">
        <v>176</v>
      </c>
      <c r="P891" t="s">
        <v>177</v>
      </c>
      <c r="Q891" t="s">
        <v>66</v>
      </c>
      <c r="R891" t="s">
        <v>84</v>
      </c>
      <c r="S891">
        <v>1</v>
      </c>
      <c r="T891" s="14">
        <v>60.84</v>
      </c>
      <c r="U891" s="7">
        <v>12</v>
      </c>
      <c r="V891" s="7">
        <v>22</v>
      </c>
      <c r="W891" s="14">
        <v>94.84</v>
      </c>
      <c r="X891" s="14">
        <v>202.8</v>
      </c>
      <c r="Y891" s="16">
        <v>15</v>
      </c>
      <c r="Z891" s="12">
        <v>172.38</v>
      </c>
      <c r="AA891" s="5">
        <v>77.540000000000006</v>
      </c>
      <c r="AB891" s="18">
        <v>44.98</v>
      </c>
      <c r="AC891" t="s">
        <v>111</v>
      </c>
      <c r="AD891" t="s">
        <v>158</v>
      </c>
      <c r="AE891" t="s">
        <v>96</v>
      </c>
      <c r="AF891">
        <v>5</v>
      </c>
      <c r="AG891" t="s">
        <v>53</v>
      </c>
    </row>
    <row r="892" spans="1:33">
      <c r="A892" t="s">
        <v>1944</v>
      </c>
      <c r="B892" s="10">
        <v>45671</v>
      </c>
      <c r="C892" s="3" t="s">
        <v>70</v>
      </c>
      <c r="D892" t="s">
        <v>156</v>
      </c>
      <c r="E892" t="s">
        <v>152</v>
      </c>
      <c r="F892" t="s">
        <v>91</v>
      </c>
      <c r="G892" t="s">
        <v>92</v>
      </c>
      <c r="H892" t="s">
        <v>133</v>
      </c>
      <c r="I892" t="s">
        <v>134</v>
      </c>
      <c r="J892" t="s">
        <v>135</v>
      </c>
      <c r="K892" t="s">
        <v>42</v>
      </c>
      <c r="L892" t="s">
        <v>1945</v>
      </c>
      <c r="M892" t="s">
        <v>44</v>
      </c>
      <c r="N892" t="s">
        <v>81</v>
      </c>
      <c r="O892" t="s">
        <v>137</v>
      </c>
      <c r="P892" t="s">
        <v>138</v>
      </c>
      <c r="Q892" t="s">
        <v>139</v>
      </c>
      <c r="R892" t="s">
        <v>84</v>
      </c>
      <c r="S892">
        <v>1</v>
      </c>
      <c r="T892" s="14">
        <v>71.64</v>
      </c>
      <c r="U892" s="7">
        <v>12</v>
      </c>
      <c r="V892" s="7">
        <v>22</v>
      </c>
      <c r="W892" s="14">
        <v>105.64</v>
      </c>
      <c r="X892" s="14">
        <v>238.8</v>
      </c>
      <c r="Y892" s="16">
        <v>0</v>
      </c>
      <c r="Z892" s="12">
        <v>238.8</v>
      </c>
      <c r="AA892" s="5">
        <v>133.16</v>
      </c>
      <c r="AB892" s="18">
        <v>55.76</v>
      </c>
      <c r="AC892" t="s">
        <v>85</v>
      </c>
      <c r="AD892" t="s">
        <v>51</v>
      </c>
      <c r="AE892" t="s">
        <v>68</v>
      </c>
      <c r="AF892">
        <v>4</v>
      </c>
      <c r="AG892" t="s">
        <v>53</v>
      </c>
    </row>
    <row r="893" spans="1:33">
      <c r="A893" t="s">
        <v>1946</v>
      </c>
      <c r="B893" s="10">
        <v>45796</v>
      </c>
      <c r="C893" s="3" t="s">
        <v>34</v>
      </c>
      <c r="D893" t="s">
        <v>206</v>
      </c>
      <c r="E893" t="s">
        <v>130</v>
      </c>
      <c r="F893" t="s">
        <v>131</v>
      </c>
      <c r="G893" t="s">
        <v>132</v>
      </c>
      <c r="H893" t="s">
        <v>39</v>
      </c>
      <c r="I893" t="s">
        <v>2143</v>
      </c>
      <c r="J893" t="s">
        <v>41</v>
      </c>
      <c r="K893" t="s">
        <v>42</v>
      </c>
      <c r="L893" t="s">
        <v>1947</v>
      </c>
      <c r="M893" t="s">
        <v>44</v>
      </c>
      <c r="N893" t="s">
        <v>45</v>
      </c>
      <c r="O893" t="s">
        <v>275</v>
      </c>
      <c r="P893" t="s">
        <v>276</v>
      </c>
      <c r="Q893" t="s">
        <v>125</v>
      </c>
      <c r="R893" t="s">
        <v>84</v>
      </c>
      <c r="S893">
        <v>3</v>
      </c>
      <c r="T893" s="14">
        <v>82.44</v>
      </c>
      <c r="U893" s="7">
        <v>12</v>
      </c>
      <c r="V893" s="7">
        <v>22</v>
      </c>
      <c r="W893" s="14">
        <v>116.44</v>
      </c>
      <c r="X893" s="14">
        <v>274.8</v>
      </c>
      <c r="Y893" s="16">
        <v>5</v>
      </c>
      <c r="Z893" s="12">
        <v>783.18</v>
      </c>
      <c r="AA893" s="5">
        <v>433.86</v>
      </c>
      <c r="AB893" s="18">
        <v>55.4</v>
      </c>
      <c r="AC893" t="s">
        <v>111</v>
      </c>
      <c r="AD893" t="s">
        <v>158</v>
      </c>
      <c r="AE893" t="s">
        <v>126</v>
      </c>
      <c r="AF893">
        <v>5</v>
      </c>
      <c r="AG893" t="s">
        <v>53</v>
      </c>
    </row>
    <row r="894" spans="1:33">
      <c r="A894" t="s">
        <v>1948</v>
      </c>
      <c r="B894" s="10">
        <v>45854</v>
      </c>
      <c r="C894" s="3" t="s">
        <v>128</v>
      </c>
      <c r="D894" t="s">
        <v>129</v>
      </c>
      <c r="E894" t="s">
        <v>114</v>
      </c>
      <c r="F894" t="s">
        <v>73</v>
      </c>
      <c r="G894" t="s">
        <v>74</v>
      </c>
      <c r="H894" t="s">
        <v>142</v>
      </c>
      <c r="I894" t="s">
        <v>143</v>
      </c>
      <c r="J894" t="s">
        <v>144</v>
      </c>
      <c r="K894" t="s">
        <v>145</v>
      </c>
      <c r="L894" t="s">
        <v>1949</v>
      </c>
      <c r="M894" t="s">
        <v>63</v>
      </c>
      <c r="N894" t="s">
        <v>110</v>
      </c>
      <c r="O894" t="s">
        <v>119</v>
      </c>
      <c r="P894" t="s">
        <v>120</v>
      </c>
      <c r="Q894" t="s">
        <v>103</v>
      </c>
      <c r="R894" t="s">
        <v>84</v>
      </c>
      <c r="S894">
        <v>1</v>
      </c>
      <c r="T894" s="14">
        <v>46.44</v>
      </c>
      <c r="U894" s="7">
        <v>12</v>
      </c>
      <c r="V894" s="7">
        <v>22</v>
      </c>
      <c r="W894" s="14">
        <v>80.44</v>
      </c>
      <c r="X894" s="14">
        <v>154.80000000000001</v>
      </c>
      <c r="Y894" s="16">
        <v>10</v>
      </c>
      <c r="Z894" s="12">
        <v>139.32</v>
      </c>
      <c r="AA894" s="5">
        <v>58.88</v>
      </c>
      <c r="AB894" s="18">
        <v>42.26</v>
      </c>
      <c r="AC894" t="s">
        <v>85</v>
      </c>
      <c r="AD894" t="s">
        <v>51</v>
      </c>
      <c r="AE894" t="s">
        <v>52</v>
      </c>
      <c r="AF894">
        <v>4</v>
      </c>
      <c r="AG894" t="s">
        <v>53</v>
      </c>
    </row>
    <row r="895" spans="1:33">
      <c r="A895" t="s">
        <v>1950</v>
      </c>
      <c r="B895" s="10">
        <v>45868</v>
      </c>
      <c r="C895" s="3" t="s">
        <v>107</v>
      </c>
      <c r="D895" t="s">
        <v>129</v>
      </c>
      <c r="E895" t="s">
        <v>114</v>
      </c>
      <c r="F895" t="s">
        <v>73</v>
      </c>
      <c r="G895" t="s">
        <v>74</v>
      </c>
      <c r="H895" t="s">
        <v>39</v>
      </c>
      <c r="I895" t="s">
        <v>2143</v>
      </c>
      <c r="J895" t="s">
        <v>41</v>
      </c>
      <c r="K895" t="s">
        <v>42</v>
      </c>
      <c r="L895" t="s">
        <v>1951</v>
      </c>
      <c r="M895" t="s">
        <v>44</v>
      </c>
      <c r="N895" t="s">
        <v>110</v>
      </c>
      <c r="O895" t="s">
        <v>82</v>
      </c>
      <c r="P895" t="s">
        <v>83</v>
      </c>
      <c r="Q895" t="s">
        <v>66</v>
      </c>
      <c r="R895" t="s">
        <v>49</v>
      </c>
      <c r="S895">
        <v>2</v>
      </c>
      <c r="T895" s="14">
        <v>100.38</v>
      </c>
      <c r="U895" s="7">
        <v>12</v>
      </c>
      <c r="V895" s="7">
        <v>22</v>
      </c>
      <c r="W895" s="14">
        <v>134.38</v>
      </c>
      <c r="X895" s="14">
        <v>334.6</v>
      </c>
      <c r="Y895" s="16">
        <v>0</v>
      </c>
      <c r="Z895" s="12">
        <v>669.2</v>
      </c>
      <c r="AA895" s="5">
        <v>400.44</v>
      </c>
      <c r="AB895" s="18">
        <v>59.84</v>
      </c>
      <c r="AC895" t="s">
        <v>111</v>
      </c>
      <c r="AD895" t="s">
        <v>158</v>
      </c>
      <c r="AE895" t="s">
        <v>126</v>
      </c>
      <c r="AF895">
        <v>5</v>
      </c>
      <c r="AG895" t="s">
        <v>53</v>
      </c>
    </row>
    <row r="896" spans="1:33">
      <c r="A896" t="s">
        <v>1952</v>
      </c>
      <c r="B896" s="10">
        <v>45836</v>
      </c>
      <c r="C896" s="3" t="s">
        <v>55</v>
      </c>
      <c r="D896" t="s">
        <v>71</v>
      </c>
      <c r="E896" t="s">
        <v>174</v>
      </c>
      <c r="F896" t="s">
        <v>131</v>
      </c>
      <c r="G896" t="s">
        <v>132</v>
      </c>
      <c r="H896" t="s">
        <v>133</v>
      </c>
      <c r="I896" t="s">
        <v>134</v>
      </c>
      <c r="J896" t="s">
        <v>135</v>
      </c>
      <c r="K896" t="s">
        <v>42</v>
      </c>
      <c r="L896" t="s">
        <v>1953</v>
      </c>
      <c r="M896" t="s">
        <v>63</v>
      </c>
      <c r="N896" t="s">
        <v>81</v>
      </c>
      <c r="O896" t="s">
        <v>213</v>
      </c>
      <c r="P896" t="s">
        <v>214</v>
      </c>
      <c r="Q896" t="s">
        <v>215</v>
      </c>
      <c r="R896" t="s">
        <v>49</v>
      </c>
      <c r="S896">
        <v>3</v>
      </c>
      <c r="T896" s="14">
        <v>125.58</v>
      </c>
      <c r="U896" s="7">
        <v>12</v>
      </c>
      <c r="V896" s="7">
        <v>22</v>
      </c>
      <c r="W896" s="14">
        <v>159.58000000000001</v>
      </c>
      <c r="X896" s="14">
        <v>418.6</v>
      </c>
      <c r="Y896" s="16">
        <v>15</v>
      </c>
      <c r="Z896" s="12">
        <v>1067.43</v>
      </c>
      <c r="AA896" s="5">
        <v>588.69000000000005</v>
      </c>
      <c r="AB896" s="18">
        <v>55.15</v>
      </c>
      <c r="AC896" t="s">
        <v>85</v>
      </c>
      <c r="AD896" t="s">
        <v>86</v>
      </c>
      <c r="AE896" t="s">
        <v>105</v>
      </c>
      <c r="AF896" t="s">
        <v>2124</v>
      </c>
      <c r="AG896" t="s">
        <v>53</v>
      </c>
    </row>
    <row r="897" spans="1:33">
      <c r="A897" t="s">
        <v>1954</v>
      </c>
      <c r="B897" s="10">
        <v>45867</v>
      </c>
      <c r="C897" s="3" t="s">
        <v>155</v>
      </c>
      <c r="D897" t="s">
        <v>156</v>
      </c>
      <c r="E897" t="s">
        <v>114</v>
      </c>
      <c r="F897" t="s">
        <v>73</v>
      </c>
      <c r="G897" t="s">
        <v>74</v>
      </c>
      <c r="H897" t="s">
        <v>115</v>
      </c>
      <c r="I897" t="s">
        <v>116</v>
      </c>
      <c r="J897" t="s">
        <v>117</v>
      </c>
      <c r="K897" t="s">
        <v>61</v>
      </c>
      <c r="L897" t="s">
        <v>1955</v>
      </c>
      <c r="M897" t="s">
        <v>44</v>
      </c>
      <c r="N897" t="s">
        <v>81</v>
      </c>
      <c r="O897" t="s">
        <v>64</v>
      </c>
      <c r="P897" t="s">
        <v>65</v>
      </c>
      <c r="Q897" t="s">
        <v>66</v>
      </c>
      <c r="R897" t="s">
        <v>84</v>
      </c>
      <c r="S897">
        <v>3</v>
      </c>
      <c r="T897" s="14">
        <v>53.64</v>
      </c>
      <c r="U897" s="7">
        <v>12</v>
      </c>
      <c r="V897" s="7">
        <v>22</v>
      </c>
      <c r="W897" s="14">
        <v>87.64</v>
      </c>
      <c r="X897" s="14">
        <v>178.8</v>
      </c>
      <c r="Y897" s="16">
        <v>0</v>
      </c>
      <c r="Z897" s="12">
        <v>536.4</v>
      </c>
      <c r="AA897" s="5">
        <v>273.48</v>
      </c>
      <c r="AB897" s="18">
        <v>50.98</v>
      </c>
      <c r="AC897" t="s">
        <v>111</v>
      </c>
      <c r="AD897" t="s">
        <v>86</v>
      </c>
      <c r="AE897" t="s">
        <v>52</v>
      </c>
      <c r="AF897">
        <v>5</v>
      </c>
      <c r="AG897" t="s">
        <v>53</v>
      </c>
    </row>
    <row r="898" spans="1:33">
      <c r="A898" t="s">
        <v>1956</v>
      </c>
      <c r="B898" s="10">
        <v>45963</v>
      </c>
      <c r="C898" s="3" t="s">
        <v>148</v>
      </c>
      <c r="D898" t="s">
        <v>89</v>
      </c>
      <c r="E898" t="s">
        <v>57</v>
      </c>
      <c r="F898" t="s">
        <v>37</v>
      </c>
      <c r="G898" t="s">
        <v>38</v>
      </c>
      <c r="H898" t="s">
        <v>133</v>
      </c>
      <c r="I898" t="s">
        <v>134</v>
      </c>
      <c r="J898" t="s">
        <v>135</v>
      </c>
      <c r="K898" t="s">
        <v>42</v>
      </c>
      <c r="L898" t="s">
        <v>1957</v>
      </c>
      <c r="M898" t="s">
        <v>63</v>
      </c>
      <c r="N898" t="s">
        <v>110</v>
      </c>
      <c r="O898" t="s">
        <v>119</v>
      </c>
      <c r="P898" t="s">
        <v>120</v>
      </c>
      <c r="Q898" t="s">
        <v>103</v>
      </c>
      <c r="R898" t="s">
        <v>49</v>
      </c>
      <c r="S898">
        <v>3</v>
      </c>
      <c r="T898" s="14">
        <v>54.18</v>
      </c>
      <c r="U898" s="7">
        <v>12</v>
      </c>
      <c r="V898" s="7">
        <v>22</v>
      </c>
      <c r="W898" s="14">
        <v>88.18</v>
      </c>
      <c r="X898" s="14">
        <v>180.6</v>
      </c>
      <c r="Y898" s="16">
        <v>10</v>
      </c>
      <c r="Z898" s="12">
        <v>487.62</v>
      </c>
      <c r="AA898" s="5">
        <v>223.08</v>
      </c>
      <c r="AB898" s="18">
        <v>45.75</v>
      </c>
      <c r="AC898" t="s">
        <v>85</v>
      </c>
      <c r="AD898" t="s">
        <v>86</v>
      </c>
      <c r="AE898" t="s">
        <v>52</v>
      </c>
      <c r="AF898">
        <v>5</v>
      </c>
      <c r="AG898" t="s">
        <v>53</v>
      </c>
    </row>
    <row r="899" spans="1:33">
      <c r="A899" t="s">
        <v>1958</v>
      </c>
      <c r="B899" s="10">
        <v>46019</v>
      </c>
      <c r="C899" s="3" t="s">
        <v>339</v>
      </c>
      <c r="D899" t="s">
        <v>89</v>
      </c>
      <c r="E899" t="s">
        <v>149</v>
      </c>
      <c r="F899" t="s">
        <v>37</v>
      </c>
      <c r="G899" t="s">
        <v>92</v>
      </c>
      <c r="H899" t="s">
        <v>133</v>
      </c>
      <c r="I899" t="s">
        <v>134</v>
      </c>
      <c r="J899" t="s">
        <v>135</v>
      </c>
      <c r="K899" t="s">
        <v>42</v>
      </c>
      <c r="L899" t="s">
        <v>1959</v>
      </c>
      <c r="M899" t="s">
        <v>44</v>
      </c>
      <c r="N899" t="s">
        <v>81</v>
      </c>
      <c r="O899" t="s">
        <v>213</v>
      </c>
      <c r="P899" t="s">
        <v>214</v>
      </c>
      <c r="Q899" t="s">
        <v>215</v>
      </c>
      <c r="R899" t="s">
        <v>67</v>
      </c>
      <c r="S899">
        <v>3</v>
      </c>
      <c r="T899" s="14">
        <v>89.7</v>
      </c>
      <c r="U899" s="7">
        <v>12</v>
      </c>
      <c r="V899" s="7">
        <v>22</v>
      </c>
      <c r="W899" s="14">
        <v>123.7</v>
      </c>
      <c r="X899" s="14">
        <v>299</v>
      </c>
      <c r="Y899" s="16">
        <v>10</v>
      </c>
      <c r="Z899" s="12">
        <v>807.3</v>
      </c>
      <c r="AA899" s="5">
        <v>436.2</v>
      </c>
      <c r="AB899" s="18">
        <v>54.03</v>
      </c>
      <c r="AC899" t="s">
        <v>104</v>
      </c>
      <c r="AD899" t="s">
        <v>51</v>
      </c>
      <c r="AE899" t="s">
        <v>126</v>
      </c>
      <c r="AF899">
        <v>5</v>
      </c>
      <c r="AG899" t="s">
        <v>53</v>
      </c>
    </row>
    <row r="900" spans="1:33">
      <c r="A900" t="s">
        <v>1960</v>
      </c>
      <c r="B900" s="10">
        <v>45913</v>
      </c>
      <c r="C900" s="3" t="s">
        <v>182</v>
      </c>
      <c r="D900" t="s">
        <v>71</v>
      </c>
      <c r="E900" t="s">
        <v>72</v>
      </c>
      <c r="F900" t="s">
        <v>73</v>
      </c>
      <c r="G900" t="s">
        <v>74</v>
      </c>
      <c r="H900" t="s">
        <v>58</v>
      </c>
      <c r="I900" t="s">
        <v>59</v>
      </c>
      <c r="J900" t="s">
        <v>60</v>
      </c>
      <c r="K900" t="s">
        <v>61</v>
      </c>
      <c r="L900" t="s">
        <v>1961</v>
      </c>
      <c r="M900" t="s">
        <v>63</v>
      </c>
      <c r="N900" t="s">
        <v>110</v>
      </c>
      <c r="O900" t="s">
        <v>101</v>
      </c>
      <c r="P900" t="s">
        <v>102</v>
      </c>
      <c r="Q900" t="s">
        <v>103</v>
      </c>
      <c r="R900" t="s">
        <v>84</v>
      </c>
      <c r="S900">
        <v>1</v>
      </c>
      <c r="T900" s="14">
        <v>53.64</v>
      </c>
      <c r="U900" s="7">
        <v>12</v>
      </c>
      <c r="V900" s="7">
        <v>22</v>
      </c>
      <c r="W900" s="14">
        <v>87.64</v>
      </c>
      <c r="X900" s="14">
        <v>178.8</v>
      </c>
      <c r="Y900" s="16">
        <v>10</v>
      </c>
      <c r="Z900" s="12">
        <v>160.91999999999999</v>
      </c>
      <c r="AA900" s="5">
        <v>73.28</v>
      </c>
      <c r="AB900" s="18">
        <v>45.54</v>
      </c>
      <c r="AC900" t="s">
        <v>50</v>
      </c>
      <c r="AD900" t="s">
        <v>51</v>
      </c>
      <c r="AE900" t="s">
        <v>68</v>
      </c>
      <c r="AF900">
        <v>5</v>
      </c>
      <c r="AG900" t="s">
        <v>53</v>
      </c>
    </row>
    <row r="901" spans="1:33">
      <c r="A901" t="s">
        <v>1962</v>
      </c>
      <c r="B901" s="10">
        <v>45993</v>
      </c>
      <c r="C901" s="3" t="s">
        <v>211</v>
      </c>
      <c r="D901" t="s">
        <v>156</v>
      </c>
      <c r="E901" t="s">
        <v>149</v>
      </c>
      <c r="F901" t="s">
        <v>37</v>
      </c>
      <c r="G901" t="s">
        <v>92</v>
      </c>
      <c r="H901" t="s">
        <v>115</v>
      </c>
      <c r="I901" t="s">
        <v>116</v>
      </c>
      <c r="J901" t="s">
        <v>117</v>
      </c>
      <c r="K901" t="s">
        <v>61</v>
      </c>
      <c r="L901" t="s">
        <v>1963</v>
      </c>
      <c r="M901" t="s">
        <v>44</v>
      </c>
      <c r="N901" t="s">
        <v>110</v>
      </c>
      <c r="O901" t="s">
        <v>94</v>
      </c>
      <c r="P901" t="s">
        <v>95</v>
      </c>
      <c r="Q901" t="s">
        <v>66</v>
      </c>
      <c r="R901" t="s">
        <v>49</v>
      </c>
      <c r="S901">
        <v>1</v>
      </c>
      <c r="T901" s="14">
        <v>91.98</v>
      </c>
      <c r="U901" s="7">
        <v>12</v>
      </c>
      <c r="V901" s="7">
        <v>22</v>
      </c>
      <c r="W901" s="14">
        <v>125.98</v>
      </c>
      <c r="X901" s="14">
        <v>306.60000000000002</v>
      </c>
      <c r="Y901" s="16">
        <v>5</v>
      </c>
      <c r="Z901" s="12">
        <v>291.27</v>
      </c>
      <c r="AA901" s="5">
        <v>165.29</v>
      </c>
      <c r="AB901" s="18">
        <v>56.75</v>
      </c>
      <c r="AC901" t="s">
        <v>111</v>
      </c>
      <c r="AD901" t="s">
        <v>51</v>
      </c>
      <c r="AE901" t="s">
        <v>52</v>
      </c>
      <c r="AF901">
        <v>5</v>
      </c>
      <c r="AG901" t="s">
        <v>53</v>
      </c>
    </row>
    <row r="902" spans="1:33">
      <c r="A902" t="s">
        <v>1964</v>
      </c>
      <c r="B902" s="10">
        <v>45999</v>
      </c>
      <c r="C902" s="3" t="s">
        <v>113</v>
      </c>
      <c r="D902" t="s">
        <v>206</v>
      </c>
      <c r="E902" t="s">
        <v>149</v>
      </c>
      <c r="F902" t="s">
        <v>37</v>
      </c>
      <c r="G902" t="s">
        <v>92</v>
      </c>
      <c r="H902" t="s">
        <v>133</v>
      </c>
      <c r="I902" t="s">
        <v>134</v>
      </c>
      <c r="J902" t="s">
        <v>135</v>
      </c>
      <c r="K902" t="s">
        <v>42</v>
      </c>
      <c r="L902" t="s">
        <v>1965</v>
      </c>
      <c r="M902" t="s">
        <v>63</v>
      </c>
      <c r="N902" t="s">
        <v>110</v>
      </c>
      <c r="O902" t="s">
        <v>64</v>
      </c>
      <c r="P902" t="s">
        <v>65</v>
      </c>
      <c r="Q902" t="s">
        <v>66</v>
      </c>
      <c r="R902" t="s">
        <v>67</v>
      </c>
      <c r="S902">
        <v>2</v>
      </c>
      <c r="T902" s="14">
        <v>44.7</v>
      </c>
      <c r="U902" s="7">
        <v>12</v>
      </c>
      <c r="V902" s="7">
        <v>22</v>
      </c>
      <c r="W902" s="14">
        <v>78.7</v>
      </c>
      <c r="X902" s="14">
        <v>149</v>
      </c>
      <c r="Y902" s="16">
        <v>0</v>
      </c>
      <c r="Z902" s="12">
        <v>298</v>
      </c>
      <c r="AA902" s="5">
        <v>140.6</v>
      </c>
      <c r="AB902" s="18">
        <v>47.18</v>
      </c>
      <c r="AC902" t="s">
        <v>104</v>
      </c>
      <c r="AD902" t="s">
        <v>86</v>
      </c>
      <c r="AE902" t="s">
        <v>105</v>
      </c>
      <c r="AF902">
        <v>3</v>
      </c>
      <c r="AG902" t="s">
        <v>53</v>
      </c>
    </row>
    <row r="903" spans="1:33">
      <c r="A903" t="s">
        <v>1966</v>
      </c>
      <c r="B903" s="10">
        <v>46004</v>
      </c>
      <c r="C903" s="3" t="s">
        <v>98</v>
      </c>
      <c r="D903" t="s">
        <v>71</v>
      </c>
      <c r="E903" t="s">
        <v>149</v>
      </c>
      <c r="F903" t="s">
        <v>37</v>
      </c>
      <c r="G903" t="s">
        <v>92</v>
      </c>
      <c r="H903" t="s">
        <v>133</v>
      </c>
      <c r="I903" t="s">
        <v>134</v>
      </c>
      <c r="J903" t="s">
        <v>135</v>
      </c>
      <c r="K903" t="s">
        <v>42</v>
      </c>
      <c r="L903" t="s">
        <v>1967</v>
      </c>
      <c r="M903" t="s">
        <v>63</v>
      </c>
      <c r="N903" t="s">
        <v>81</v>
      </c>
      <c r="O903" t="s">
        <v>176</v>
      </c>
      <c r="P903" t="s">
        <v>177</v>
      </c>
      <c r="Q903" t="s">
        <v>66</v>
      </c>
      <c r="R903" t="s">
        <v>67</v>
      </c>
      <c r="S903">
        <v>3</v>
      </c>
      <c r="T903" s="14">
        <v>50.7</v>
      </c>
      <c r="U903" s="7">
        <v>12</v>
      </c>
      <c r="V903" s="7">
        <v>22</v>
      </c>
      <c r="W903" s="14">
        <v>84.7</v>
      </c>
      <c r="X903" s="14">
        <v>169</v>
      </c>
      <c r="Y903" s="16">
        <v>10</v>
      </c>
      <c r="Z903" s="12">
        <v>456.3</v>
      </c>
      <c r="AA903" s="5">
        <v>202.2</v>
      </c>
      <c r="AB903" s="18">
        <v>44.31</v>
      </c>
      <c r="AC903" t="s">
        <v>104</v>
      </c>
      <c r="AD903" t="s">
        <v>86</v>
      </c>
      <c r="AE903" t="s">
        <v>68</v>
      </c>
      <c r="AF903">
        <v>3</v>
      </c>
      <c r="AG903" t="s">
        <v>53</v>
      </c>
    </row>
    <row r="904" spans="1:33">
      <c r="A904" t="s">
        <v>1968</v>
      </c>
      <c r="B904" s="10">
        <v>45870</v>
      </c>
      <c r="C904" s="3" t="s">
        <v>310</v>
      </c>
      <c r="D904" t="s">
        <v>35</v>
      </c>
      <c r="E904" t="s">
        <v>99</v>
      </c>
      <c r="F904" t="s">
        <v>73</v>
      </c>
      <c r="G904" t="s">
        <v>74</v>
      </c>
      <c r="H904" t="s">
        <v>75</v>
      </c>
      <c r="I904" t="s">
        <v>76</v>
      </c>
      <c r="J904" t="s">
        <v>77</v>
      </c>
      <c r="K904" t="s">
        <v>78</v>
      </c>
      <c r="L904" t="s">
        <v>1969</v>
      </c>
      <c r="M904" t="s">
        <v>80</v>
      </c>
      <c r="N904" t="s">
        <v>110</v>
      </c>
      <c r="O904" t="s">
        <v>119</v>
      </c>
      <c r="P904" t="s">
        <v>120</v>
      </c>
      <c r="Q904" t="s">
        <v>103</v>
      </c>
      <c r="R904" t="s">
        <v>49</v>
      </c>
      <c r="S904">
        <v>3</v>
      </c>
      <c r="T904" s="14">
        <v>54.18</v>
      </c>
      <c r="U904" s="7">
        <v>12</v>
      </c>
      <c r="V904" s="7">
        <v>22</v>
      </c>
      <c r="W904" s="14">
        <v>88.18</v>
      </c>
      <c r="X904" s="14">
        <v>180.6</v>
      </c>
      <c r="Y904" s="16">
        <v>10</v>
      </c>
      <c r="Z904" s="12">
        <v>487.62</v>
      </c>
      <c r="AA904" s="5">
        <v>223.08</v>
      </c>
      <c r="AB904" s="18">
        <v>45.75</v>
      </c>
      <c r="AC904" t="s">
        <v>85</v>
      </c>
      <c r="AD904" t="s">
        <v>51</v>
      </c>
      <c r="AE904" t="s">
        <v>52</v>
      </c>
      <c r="AF904">
        <v>4</v>
      </c>
      <c r="AG904" t="s">
        <v>53</v>
      </c>
    </row>
    <row r="905" spans="1:33">
      <c r="A905" t="s">
        <v>1970</v>
      </c>
      <c r="B905" s="10">
        <v>45795</v>
      </c>
      <c r="C905" s="3" t="s">
        <v>182</v>
      </c>
      <c r="D905" t="s">
        <v>89</v>
      </c>
      <c r="E905" t="s">
        <v>130</v>
      </c>
      <c r="F905" t="s">
        <v>131</v>
      </c>
      <c r="G905" t="s">
        <v>132</v>
      </c>
      <c r="H905" t="s">
        <v>142</v>
      </c>
      <c r="I905" t="s">
        <v>143</v>
      </c>
      <c r="J905" t="s">
        <v>144</v>
      </c>
      <c r="K905" t="s">
        <v>145</v>
      </c>
      <c r="L905" t="s">
        <v>1971</v>
      </c>
      <c r="M905" t="s">
        <v>80</v>
      </c>
      <c r="N905" t="s">
        <v>81</v>
      </c>
      <c r="O905" t="s">
        <v>176</v>
      </c>
      <c r="P905" t="s">
        <v>177</v>
      </c>
      <c r="Q905" t="s">
        <v>66</v>
      </c>
      <c r="R905" t="s">
        <v>67</v>
      </c>
      <c r="S905">
        <v>2</v>
      </c>
      <c r="T905" s="14">
        <v>50.7</v>
      </c>
      <c r="U905" s="7">
        <v>12</v>
      </c>
      <c r="V905" s="7">
        <v>22</v>
      </c>
      <c r="W905" s="14">
        <v>84.7</v>
      </c>
      <c r="X905" s="14">
        <v>169</v>
      </c>
      <c r="Y905" s="16">
        <v>15</v>
      </c>
      <c r="Z905" s="12">
        <v>287.3</v>
      </c>
      <c r="AA905" s="5">
        <v>117.9</v>
      </c>
      <c r="AB905" s="18">
        <v>41.04</v>
      </c>
      <c r="AC905" t="s">
        <v>85</v>
      </c>
      <c r="AD905" t="s">
        <v>51</v>
      </c>
      <c r="AE905" t="s">
        <v>68</v>
      </c>
      <c r="AF905">
        <v>5</v>
      </c>
      <c r="AG905" t="s">
        <v>53</v>
      </c>
    </row>
    <row r="906" spans="1:33">
      <c r="A906" t="s">
        <v>1972</v>
      </c>
      <c r="B906" s="10">
        <v>45717</v>
      </c>
      <c r="C906" s="3" t="s">
        <v>155</v>
      </c>
      <c r="D906" t="s">
        <v>71</v>
      </c>
      <c r="E906" t="s">
        <v>108</v>
      </c>
      <c r="F906" t="s">
        <v>91</v>
      </c>
      <c r="G906" t="s">
        <v>38</v>
      </c>
      <c r="H906" t="s">
        <v>133</v>
      </c>
      <c r="I906" t="s">
        <v>134</v>
      </c>
      <c r="J906" t="s">
        <v>135</v>
      </c>
      <c r="K906" t="s">
        <v>42</v>
      </c>
      <c r="L906" t="s">
        <v>1973</v>
      </c>
      <c r="M906" t="s">
        <v>80</v>
      </c>
      <c r="N906" t="s">
        <v>110</v>
      </c>
      <c r="O906" t="s">
        <v>94</v>
      </c>
      <c r="P906" t="s">
        <v>95</v>
      </c>
      <c r="Q906" t="s">
        <v>66</v>
      </c>
      <c r="R906" t="s">
        <v>49</v>
      </c>
      <c r="S906">
        <v>3</v>
      </c>
      <c r="T906" s="14">
        <v>91.98</v>
      </c>
      <c r="U906" s="7">
        <v>12</v>
      </c>
      <c r="V906" s="7">
        <v>22</v>
      </c>
      <c r="W906" s="14">
        <v>125.98</v>
      </c>
      <c r="X906" s="14">
        <v>306.60000000000002</v>
      </c>
      <c r="Y906" s="16">
        <v>15</v>
      </c>
      <c r="Z906" s="12">
        <v>781.83</v>
      </c>
      <c r="AA906" s="5">
        <v>403.89</v>
      </c>
      <c r="AB906" s="18">
        <v>51.66</v>
      </c>
      <c r="AC906" t="s">
        <v>50</v>
      </c>
      <c r="AD906" t="s">
        <v>158</v>
      </c>
      <c r="AE906" t="s">
        <v>68</v>
      </c>
      <c r="AF906">
        <v>5</v>
      </c>
      <c r="AG906" t="s">
        <v>53</v>
      </c>
    </row>
    <row r="907" spans="1:33">
      <c r="A907" t="s">
        <v>1974</v>
      </c>
      <c r="B907" s="10">
        <v>46001</v>
      </c>
      <c r="C907" s="3" t="s">
        <v>179</v>
      </c>
      <c r="D907" t="s">
        <v>129</v>
      </c>
      <c r="E907" t="s">
        <v>149</v>
      </c>
      <c r="F907" t="s">
        <v>37</v>
      </c>
      <c r="G907" t="s">
        <v>92</v>
      </c>
      <c r="H907" t="s">
        <v>75</v>
      </c>
      <c r="I907" t="s">
        <v>76</v>
      </c>
      <c r="J907" t="s">
        <v>77</v>
      </c>
      <c r="K907" t="s">
        <v>78</v>
      </c>
      <c r="L907" t="s">
        <v>1975</v>
      </c>
      <c r="M907" t="s">
        <v>63</v>
      </c>
      <c r="N907" t="s">
        <v>81</v>
      </c>
      <c r="O907" t="s">
        <v>94</v>
      </c>
      <c r="P907" t="s">
        <v>95</v>
      </c>
      <c r="Q907" t="s">
        <v>66</v>
      </c>
      <c r="R907" t="s">
        <v>67</v>
      </c>
      <c r="S907">
        <v>1</v>
      </c>
      <c r="T907" s="14">
        <v>65.7</v>
      </c>
      <c r="U907" s="7">
        <v>12</v>
      </c>
      <c r="V907" s="7">
        <v>22</v>
      </c>
      <c r="W907" s="14">
        <v>99.7</v>
      </c>
      <c r="X907" s="14">
        <v>219</v>
      </c>
      <c r="Y907" s="16">
        <v>5</v>
      </c>
      <c r="Z907" s="12">
        <v>208.05</v>
      </c>
      <c r="AA907" s="5">
        <v>108.35</v>
      </c>
      <c r="AB907" s="18">
        <v>52.08</v>
      </c>
      <c r="AC907" t="s">
        <v>104</v>
      </c>
      <c r="AD907" t="s">
        <v>51</v>
      </c>
      <c r="AE907" t="s">
        <v>52</v>
      </c>
      <c r="AF907">
        <v>5</v>
      </c>
      <c r="AG907" t="s">
        <v>53</v>
      </c>
    </row>
    <row r="908" spans="1:33">
      <c r="A908" t="s">
        <v>1976</v>
      </c>
      <c r="B908" s="10">
        <v>45932</v>
      </c>
      <c r="C908" s="3" t="s">
        <v>128</v>
      </c>
      <c r="D908" t="s">
        <v>56</v>
      </c>
      <c r="E908" t="s">
        <v>36</v>
      </c>
      <c r="F908" t="s">
        <v>37</v>
      </c>
      <c r="G908" t="s">
        <v>38</v>
      </c>
      <c r="H908" t="s">
        <v>115</v>
      </c>
      <c r="I908" t="s">
        <v>116</v>
      </c>
      <c r="J908" t="s">
        <v>117</v>
      </c>
      <c r="K908" t="s">
        <v>61</v>
      </c>
      <c r="L908" t="s">
        <v>1977</v>
      </c>
      <c r="M908" t="s">
        <v>44</v>
      </c>
      <c r="N908" t="s">
        <v>81</v>
      </c>
      <c r="O908" t="s">
        <v>94</v>
      </c>
      <c r="P908" t="s">
        <v>95</v>
      </c>
      <c r="Q908" t="s">
        <v>66</v>
      </c>
      <c r="R908" t="s">
        <v>67</v>
      </c>
      <c r="S908">
        <v>3</v>
      </c>
      <c r="T908" s="14">
        <v>65.7</v>
      </c>
      <c r="U908" s="7">
        <v>12</v>
      </c>
      <c r="V908" s="7">
        <v>22</v>
      </c>
      <c r="W908" s="14">
        <v>99.7</v>
      </c>
      <c r="X908" s="14">
        <v>219</v>
      </c>
      <c r="Y908" s="16">
        <v>55</v>
      </c>
      <c r="Z908" s="12">
        <v>591.29999999999995</v>
      </c>
      <c r="AA908" s="5">
        <v>292.2</v>
      </c>
      <c r="AB908" s="18">
        <v>49.42</v>
      </c>
      <c r="AC908" t="s">
        <v>104</v>
      </c>
      <c r="AD908" t="s">
        <v>158</v>
      </c>
      <c r="AE908" t="s">
        <v>105</v>
      </c>
      <c r="AF908">
        <v>4</v>
      </c>
      <c r="AG908" t="s">
        <v>53</v>
      </c>
    </row>
    <row r="909" spans="1:33">
      <c r="A909" t="s">
        <v>1978</v>
      </c>
      <c r="B909" s="10">
        <v>45909</v>
      </c>
      <c r="C909" s="3" t="s">
        <v>107</v>
      </c>
      <c r="D909" t="s">
        <v>156</v>
      </c>
      <c r="E909" t="s">
        <v>72</v>
      </c>
      <c r="F909" t="s">
        <v>73</v>
      </c>
      <c r="G909" t="s">
        <v>74</v>
      </c>
      <c r="H909" t="s">
        <v>142</v>
      </c>
      <c r="I909" t="s">
        <v>143</v>
      </c>
      <c r="J909" t="s">
        <v>144</v>
      </c>
      <c r="K909" t="s">
        <v>145</v>
      </c>
      <c r="L909" t="s">
        <v>1979</v>
      </c>
      <c r="M909" t="s">
        <v>63</v>
      </c>
      <c r="N909" t="s">
        <v>81</v>
      </c>
      <c r="O909" t="s">
        <v>119</v>
      </c>
      <c r="P909" t="s">
        <v>120</v>
      </c>
      <c r="Q909" t="s">
        <v>103</v>
      </c>
      <c r="R909" t="s">
        <v>84</v>
      </c>
      <c r="S909">
        <v>1</v>
      </c>
      <c r="T909" s="14">
        <v>46.44</v>
      </c>
      <c r="U909" s="7">
        <v>12</v>
      </c>
      <c r="V909" s="7">
        <v>22</v>
      </c>
      <c r="W909" s="14">
        <v>80.44</v>
      </c>
      <c r="X909" s="14">
        <v>154.80000000000001</v>
      </c>
      <c r="Y909" s="16">
        <v>5</v>
      </c>
      <c r="Z909" s="12">
        <v>147.06</v>
      </c>
      <c r="AA909" s="5">
        <v>66.62</v>
      </c>
      <c r="AB909" s="18">
        <v>45.3</v>
      </c>
      <c r="AC909" t="s">
        <v>85</v>
      </c>
      <c r="AD909" t="s">
        <v>86</v>
      </c>
      <c r="AE909" t="s">
        <v>105</v>
      </c>
      <c r="AF909">
        <v>5</v>
      </c>
      <c r="AG909" t="s">
        <v>53</v>
      </c>
    </row>
    <row r="910" spans="1:33">
      <c r="A910" t="s">
        <v>1980</v>
      </c>
      <c r="B910" s="10">
        <v>45800</v>
      </c>
      <c r="C910" s="3" t="s">
        <v>148</v>
      </c>
      <c r="D910" t="s">
        <v>35</v>
      </c>
      <c r="E910" t="s">
        <v>130</v>
      </c>
      <c r="F910" t="s">
        <v>131</v>
      </c>
      <c r="G910" t="s">
        <v>132</v>
      </c>
      <c r="H910" t="s">
        <v>133</v>
      </c>
      <c r="I910" t="s">
        <v>134</v>
      </c>
      <c r="J910" t="s">
        <v>135</v>
      </c>
      <c r="K910" t="s">
        <v>42</v>
      </c>
      <c r="L910" t="s">
        <v>1981</v>
      </c>
      <c r="M910" t="s">
        <v>80</v>
      </c>
      <c r="N910" t="s">
        <v>81</v>
      </c>
      <c r="O910" t="s">
        <v>189</v>
      </c>
      <c r="P910" t="s">
        <v>190</v>
      </c>
      <c r="Q910" t="s">
        <v>48</v>
      </c>
      <c r="R910" t="s">
        <v>49</v>
      </c>
      <c r="S910">
        <v>2</v>
      </c>
      <c r="T910" s="14">
        <v>66.78</v>
      </c>
      <c r="U910" s="7">
        <v>12</v>
      </c>
      <c r="V910" s="7">
        <v>22</v>
      </c>
      <c r="W910" s="14">
        <v>100.78</v>
      </c>
      <c r="X910" s="14">
        <v>222.6</v>
      </c>
      <c r="Y910" s="16">
        <v>5</v>
      </c>
      <c r="Z910" s="12">
        <v>422.94</v>
      </c>
      <c r="AA910" s="5">
        <v>221.38</v>
      </c>
      <c r="AB910" s="18">
        <v>52.34</v>
      </c>
      <c r="AC910" t="s">
        <v>104</v>
      </c>
      <c r="AD910" t="s">
        <v>86</v>
      </c>
      <c r="AE910" t="s">
        <v>52</v>
      </c>
      <c r="AF910">
        <v>5</v>
      </c>
      <c r="AG910" t="s">
        <v>53</v>
      </c>
    </row>
    <row r="911" spans="1:33">
      <c r="A911" t="s">
        <v>1982</v>
      </c>
      <c r="B911" s="10">
        <v>45827</v>
      </c>
      <c r="C911" s="3" t="s">
        <v>219</v>
      </c>
      <c r="D911" t="s">
        <v>56</v>
      </c>
      <c r="E911" t="s">
        <v>174</v>
      </c>
      <c r="F911" t="s">
        <v>131</v>
      </c>
      <c r="G911" t="s">
        <v>132</v>
      </c>
      <c r="H911" t="s">
        <v>115</v>
      </c>
      <c r="I911" t="s">
        <v>116</v>
      </c>
      <c r="J911" t="s">
        <v>117</v>
      </c>
      <c r="K911" t="s">
        <v>61</v>
      </c>
      <c r="L911" t="s">
        <v>1983</v>
      </c>
      <c r="M911" t="s">
        <v>44</v>
      </c>
      <c r="N911" t="s">
        <v>45</v>
      </c>
      <c r="O911" t="s">
        <v>176</v>
      </c>
      <c r="P911" t="s">
        <v>177</v>
      </c>
      <c r="Q911" t="s">
        <v>66</v>
      </c>
      <c r="R911" t="s">
        <v>67</v>
      </c>
      <c r="S911">
        <v>1</v>
      </c>
      <c r="T911" s="14">
        <v>50.7</v>
      </c>
      <c r="U911" s="7">
        <v>12</v>
      </c>
      <c r="V911" s="7">
        <v>22</v>
      </c>
      <c r="W911" s="14">
        <v>84.7</v>
      </c>
      <c r="X911" s="14">
        <v>169</v>
      </c>
      <c r="Y911" s="16">
        <v>0</v>
      </c>
      <c r="Z911" s="12">
        <v>169</v>
      </c>
      <c r="AA911" s="5">
        <v>84.3</v>
      </c>
      <c r="AB911" s="18">
        <v>49.88</v>
      </c>
      <c r="AC911" t="s">
        <v>50</v>
      </c>
      <c r="AD911" t="s">
        <v>51</v>
      </c>
      <c r="AE911" t="s">
        <v>96</v>
      </c>
      <c r="AF911">
        <v>4</v>
      </c>
      <c r="AG911" t="s">
        <v>53</v>
      </c>
    </row>
    <row r="912" spans="1:33">
      <c r="A912" t="s">
        <v>1984</v>
      </c>
      <c r="B912" s="10">
        <v>45702</v>
      </c>
      <c r="C912" s="3" t="s">
        <v>310</v>
      </c>
      <c r="D912" t="s">
        <v>35</v>
      </c>
      <c r="E912" t="s">
        <v>90</v>
      </c>
      <c r="F912" t="s">
        <v>91</v>
      </c>
      <c r="G912" t="s">
        <v>92</v>
      </c>
      <c r="H912" t="s">
        <v>115</v>
      </c>
      <c r="I912" t="s">
        <v>116</v>
      </c>
      <c r="J912" t="s">
        <v>117</v>
      </c>
      <c r="K912" t="s">
        <v>61</v>
      </c>
      <c r="L912" t="s">
        <v>1985</v>
      </c>
      <c r="M912" t="s">
        <v>63</v>
      </c>
      <c r="N912" t="s">
        <v>45</v>
      </c>
      <c r="O912" t="s">
        <v>275</v>
      </c>
      <c r="P912" t="s">
        <v>276</v>
      </c>
      <c r="Q912" t="s">
        <v>125</v>
      </c>
      <c r="R912" t="s">
        <v>49</v>
      </c>
      <c r="S912">
        <v>3</v>
      </c>
      <c r="T912" s="14">
        <v>96.18</v>
      </c>
      <c r="U912" s="7">
        <v>12</v>
      </c>
      <c r="V912" s="7">
        <v>22</v>
      </c>
      <c r="W912" s="14">
        <v>130.18</v>
      </c>
      <c r="X912" s="14">
        <v>320.60000000000002</v>
      </c>
      <c r="Y912" s="16">
        <v>10</v>
      </c>
      <c r="Z912" s="12">
        <v>865.62</v>
      </c>
      <c r="AA912" s="5">
        <v>475.08</v>
      </c>
      <c r="AB912" s="18">
        <v>54.88</v>
      </c>
      <c r="AC912" t="s">
        <v>85</v>
      </c>
      <c r="AD912" t="s">
        <v>51</v>
      </c>
      <c r="AE912" t="s">
        <v>105</v>
      </c>
      <c r="AF912">
        <v>4</v>
      </c>
      <c r="AG912" t="s">
        <v>53</v>
      </c>
    </row>
    <row r="913" spans="1:33">
      <c r="A913" t="s">
        <v>1986</v>
      </c>
      <c r="B913" s="10">
        <v>45919</v>
      </c>
      <c r="C913" s="3" t="s">
        <v>339</v>
      </c>
      <c r="D913" t="s">
        <v>35</v>
      </c>
      <c r="E913" t="s">
        <v>72</v>
      </c>
      <c r="F913" t="s">
        <v>73</v>
      </c>
      <c r="G913" t="s">
        <v>74</v>
      </c>
      <c r="H913" t="s">
        <v>142</v>
      </c>
      <c r="I913" t="s">
        <v>143</v>
      </c>
      <c r="J913" t="s">
        <v>144</v>
      </c>
      <c r="K913" t="s">
        <v>145</v>
      </c>
      <c r="L913" t="s">
        <v>1987</v>
      </c>
      <c r="M913" t="s">
        <v>80</v>
      </c>
      <c r="N913" t="s">
        <v>81</v>
      </c>
      <c r="O913" t="s">
        <v>101</v>
      </c>
      <c r="P913" t="s">
        <v>102</v>
      </c>
      <c r="Q913" t="s">
        <v>103</v>
      </c>
      <c r="R913" t="s">
        <v>84</v>
      </c>
      <c r="S913">
        <v>3</v>
      </c>
      <c r="T913" s="14">
        <v>53.64</v>
      </c>
      <c r="U913" s="7">
        <v>12</v>
      </c>
      <c r="V913" s="7">
        <v>22</v>
      </c>
      <c r="W913" s="14">
        <v>87.64</v>
      </c>
      <c r="X913" s="14">
        <v>178.8</v>
      </c>
      <c r="Y913" s="16">
        <v>5</v>
      </c>
      <c r="Z913" s="12">
        <v>509.58</v>
      </c>
      <c r="AA913" s="5">
        <v>246.66</v>
      </c>
      <c r="AB913" s="18">
        <v>48.4</v>
      </c>
      <c r="AC913" t="s">
        <v>50</v>
      </c>
      <c r="AD913" t="s">
        <v>86</v>
      </c>
      <c r="AE913" t="s">
        <v>68</v>
      </c>
      <c r="AF913">
        <v>5</v>
      </c>
      <c r="AG913" t="s">
        <v>53</v>
      </c>
    </row>
    <row r="914" spans="1:33">
      <c r="A914" t="s">
        <v>1988</v>
      </c>
      <c r="B914" s="10">
        <v>45824</v>
      </c>
      <c r="C914" s="3" t="s">
        <v>148</v>
      </c>
      <c r="D914" t="s">
        <v>206</v>
      </c>
      <c r="E914" t="s">
        <v>174</v>
      </c>
      <c r="F914" t="s">
        <v>131</v>
      </c>
      <c r="G914" t="s">
        <v>132</v>
      </c>
      <c r="H914" t="s">
        <v>142</v>
      </c>
      <c r="I914" t="s">
        <v>143</v>
      </c>
      <c r="J914" t="s">
        <v>144</v>
      </c>
      <c r="K914" t="s">
        <v>145</v>
      </c>
      <c r="L914" t="s">
        <v>1989</v>
      </c>
      <c r="M914" t="s">
        <v>63</v>
      </c>
      <c r="N914" t="s">
        <v>110</v>
      </c>
      <c r="O914" t="s">
        <v>189</v>
      </c>
      <c r="P914" t="s">
        <v>190</v>
      </c>
      <c r="Q914" t="s">
        <v>48</v>
      </c>
      <c r="R914" t="s">
        <v>67</v>
      </c>
      <c r="S914">
        <v>1</v>
      </c>
      <c r="T914" s="14">
        <v>47.7</v>
      </c>
      <c r="U914" s="7">
        <v>12</v>
      </c>
      <c r="V914" s="7">
        <v>22</v>
      </c>
      <c r="W914" s="14">
        <v>81.7</v>
      </c>
      <c r="X914" s="14">
        <v>159</v>
      </c>
      <c r="Y914" s="16">
        <v>0</v>
      </c>
      <c r="Z914" s="12">
        <v>159</v>
      </c>
      <c r="AA914" s="5">
        <v>77.3</v>
      </c>
      <c r="AB914" s="18">
        <v>48.62</v>
      </c>
      <c r="AC914" t="s">
        <v>50</v>
      </c>
      <c r="AD914" t="s">
        <v>86</v>
      </c>
      <c r="AE914" t="s">
        <v>68</v>
      </c>
      <c r="AF914">
        <v>5</v>
      </c>
      <c r="AG914" t="s">
        <v>53</v>
      </c>
    </row>
    <row r="915" spans="1:33">
      <c r="A915" t="s">
        <v>1990</v>
      </c>
      <c r="B915" s="10">
        <v>45914</v>
      </c>
      <c r="C915" s="3" t="s">
        <v>182</v>
      </c>
      <c r="D915" t="s">
        <v>89</v>
      </c>
      <c r="E915" t="s">
        <v>72</v>
      </c>
      <c r="F915" t="s">
        <v>73</v>
      </c>
      <c r="G915" t="s">
        <v>74</v>
      </c>
      <c r="H915" t="s">
        <v>115</v>
      </c>
      <c r="I915" t="s">
        <v>116</v>
      </c>
      <c r="J915" t="s">
        <v>117</v>
      </c>
      <c r="K915" t="s">
        <v>61</v>
      </c>
      <c r="L915" t="s">
        <v>1991</v>
      </c>
      <c r="M915" t="s">
        <v>80</v>
      </c>
      <c r="N915" t="s">
        <v>45</v>
      </c>
      <c r="O915" t="s">
        <v>452</v>
      </c>
      <c r="P915" t="s">
        <v>453</v>
      </c>
      <c r="Q915" t="s">
        <v>215</v>
      </c>
      <c r="R915" t="s">
        <v>67</v>
      </c>
      <c r="S915">
        <v>4</v>
      </c>
      <c r="T915" s="14">
        <v>98.7</v>
      </c>
      <c r="U915" s="7">
        <v>12</v>
      </c>
      <c r="V915" s="7">
        <v>22</v>
      </c>
      <c r="W915" s="14">
        <v>132.69999999999999</v>
      </c>
      <c r="X915" s="14">
        <v>329</v>
      </c>
      <c r="Y915" s="16">
        <v>10</v>
      </c>
      <c r="Z915" s="12">
        <v>1184.4000000000001</v>
      </c>
      <c r="AA915" s="5">
        <v>653.6</v>
      </c>
      <c r="AB915" s="18">
        <v>55.18</v>
      </c>
      <c r="AC915" t="s">
        <v>104</v>
      </c>
      <c r="AD915" t="s">
        <v>158</v>
      </c>
      <c r="AE915" t="s">
        <v>105</v>
      </c>
      <c r="AF915">
        <v>5</v>
      </c>
      <c r="AG915" t="s">
        <v>53</v>
      </c>
    </row>
    <row r="916" spans="1:33">
      <c r="A916" t="s">
        <v>1992</v>
      </c>
      <c r="B916" s="10">
        <v>45910</v>
      </c>
      <c r="C916" s="3" t="s">
        <v>70</v>
      </c>
      <c r="D916" t="s">
        <v>129</v>
      </c>
      <c r="E916" t="s">
        <v>72</v>
      </c>
      <c r="F916" t="s">
        <v>73</v>
      </c>
      <c r="G916" t="s">
        <v>74</v>
      </c>
      <c r="H916" t="s">
        <v>39</v>
      </c>
      <c r="I916" t="s">
        <v>2143</v>
      </c>
      <c r="J916" t="s">
        <v>41</v>
      </c>
      <c r="K916" t="s">
        <v>42</v>
      </c>
      <c r="L916" t="s">
        <v>1993</v>
      </c>
      <c r="M916" t="s">
        <v>63</v>
      </c>
      <c r="N916" t="s">
        <v>45</v>
      </c>
      <c r="O916" t="s">
        <v>82</v>
      </c>
      <c r="P916" t="s">
        <v>83</v>
      </c>
      <c r="Q916" t="s">
        <v>66</v>
      </c>
      <c r="R916" t="s">
        <v>67</v>
      </c>
      <c r="S916">
        <v>3</v>
      </c>
      <c r="T916" s="14">
        <v>71.7</v>
      </c>
      <c r="U916" s="7">
        <v>12</v>
      </c>
      <c r="V916" s="7">
        <v>22</v>
      </c>
      <c r="W916" s="14">
        <v>105.7</v>
      </c>
      <c r="X916" s="14">
        <v>239</v>
      </c>
      <c r="Y916" s="16">
        <v>0</v>
      </c>
      <c r="Z916" s="12">
        <v>717</v>
      </c>
      <c r="AA916" s="5">
        <v>399.9</v>
      </c>
      <c r="AB916" s="18">
        <v>55.77</v>
      </c>
      <c r="AC916" t="s">
        <v>104</v>
      </c>
      <c r="AD916" t="s">
        <v>158</v>
      </c>
      <c r="AE916" t="s">
        <v>52</v>
      </c>
      <c r="AF916">
        <v>5</v>
      </c>
      <c r="AG916" t="s">
        <v>53</v>
      </c>
    </row>
    <row r="917" spans="1:33">
      <c r="A917" t="s">
        <v>1994</v>
      </c>
      <c r="B917" s="10">
        <v>45852</v>
      </c>
      <c r="C917" s="3" t="s">
        <v>160</v>
      </c>
      <c r="D917" t="s">
        <v>206</v>
      </c>
      <c r="E917" t="s">
        <v>114</v>
      </c>
      <c r="F917" t="s">
        <v>73</v>
      </c>
      <c r="G917" t="s">
        <v>74</v>
      </c>
      <c r="H917" t="s">
        <v>58</v>
      </c>
      <c r="I917" t="s">
        <v>59</v>
      </c>
      <c r="J917" t="s">
        <v>60</v>
      </c>
      <c r="K917" t="s">
        <v>61</v>
      </c>
      <c r="L917" t="s">
        <v>1995</v>
      </c>
      <c r="M917" t="s">
        <v>44</v>
      </c>
      <c r="N917" t="s">
        <v>45</v>
      </c>
      <c r="O917" t="s">
        <v>119</v>
      </c>
      <c r="P917" t="s">
        <v>120</v>
      </c>
      <c r="Q917" t="s">
        <v>103</v>
      </c>
      <c r="R917" t="s">
        <v>67</v>
      </c>
      <c r="S917">
        <v>2</v>
      </c>
      <c r="T917" s="14">
        <v>38.700000000000003</v>
      </c>
      <c r="U917" s="7">
        <v>12</v>
      </c>
      <c r="V917" s="7">
        <v>22</v>
      </c>
      <c r="W917" s="14">
        <v>72.7</v>
      </c>
      <c r="X917" s="14">
        <v>129</v>
      </c>
      <c r="Y917" s="16">
        <v>0</v>
      </c>
      <c r="Z917" s="12">
        <v>258</v>
      </c>
      <c r="AA917" s="5">
        <v>112.6</v>
      </c>
      <c r="AB917" s="18">
        <v>43.64</v>
      </c>
      <c r="AC917" t="s">
        <v>104</v>
      </c>
      <c r="AD917" t="s">
        <v>86</v>
      </c>
      <c r="AE917" t="s">
        <v>96</v>
      </c>
      <c r="AF917">
        <v>5</v>
      </c>
      <c r="AG917" t="s">
        <v>53</v>
      </c>
    </row>
    <row r="918" spans="1:33">
      <c r="A918" t="s">
        <v>1996</v>
      </c>
      <c r="B918" s="10">
        <v>45781</v>
      </c>
      <c r="C918" s="3" t="s">
        <v>211</v>
      </c>
      <c r="D918" t="s">
        <v>89</v>
      </c>
      <c r="E918" t="s">
        <v>130</v>
      </c>
      <c r="F918" t="s">
        <v>131</v>
      </c>
      <c r="G918" t="s">
        <v>132</v>
      </c>
      <c r="H918" t="s">
        <v>133</v>
      </c>
      <c r="I918" t="s">
        <v>134</v>
      </c>
      <c r="J918" t="s">
        <v>135</v>
      </c>
      <c r="K918" t="s">
        <v>42</v>
      </c>
      <c r="L918" t="s">
        <v>1997</v>
      </c>
      <c r="M918" t="s">
        <v>80</v>
      </c>
      <c r="N918" t="s">
        <v>110</v>
      </c>
      <c r="O918" t="s">
        <v>189</v>
      </c>
      <c r="P918" t="s">
        <v>190</v>
      </c>
      <c r="Q918" t="s">
        <v>48</v>
      </c>
      <c r="R918" t="s">
        <v>67</v>
      </c>
      <c r="S918">
        <v>2</v>
      </c>
      <c r="T918" s="14">
        <v>47.7</v>
      </c>
      <c r="U918" s="7">
        <v>12</v>
      </c>
      <c r="V918" s="7">
        <v>22</v>
      </c>
      <c r="W918" s="14">
        <v>81.7</v>
      </c>
      <c r="X918" s="14">
        <v>159</v>
      </c>
      <c r="Y918" s="16">
        <v>10</v>
      </c>
      <c r="Z918" s="12">
        <v>286.2</v>
      </c>
      <c r="AA918" s="5">
        <v>122.8</v>
      </c>
      <c r="AB918" s="18">
        <v>42.91</v>
      </c>
      <c r="AC918" t="s">
        <v>85</v>
      </c>
      <c r="AD918" t="s">
        <v>158</v>
      </c>
      <c r="AE918" t="s">
        <v>126</v>
      </c>
      <c r="AF918">
        <v>5</v>
      </c>
      <c r="AG918" t="s">
        <v>53</v>
      </c>
    </row>
    <row r="919" spans="1:33">
      <c r="A919" t="s">
        <v>1998</v>
      </c>
      <c r="B919" s="10">
        <v>45840</v>
      </c>
      <c r="C919" s="3" t="s">
        <v>179</v>
      </c>
      <c r="D919" t="s">
        <v>129</v>
      </c>
      <c r="E919" t="s">
        <v>114</v>
      </c>
      <c r="F919" t="s">
        <v>73</v>
      </c>
      <c r="G919" t="s">
        <v>74</v>
      </c>
      <c r="H919" t="s">
        <v>142</v>
      </c>
      <c r="I919" t="s">
        <v>143</v>
      </c>
      <c r="J919" t="s">
        <v>144</v>
      </c>
      <c r="K919" t="s">
        <v>145</v>
      </c>
      <c r="L919" t="s">
        <v>1999</v>
      </c>
      <c r="M919" t="s">
        <v>63</v>
      </c>
      <c r="N919" t="s">
        <v>81</v>
      </c>
      <c r="O919" t="s">
        <v>94</v>
      </c>
      <c r="P919" t="s">
        <v>95</v>
      </c>
      <c r="Q919" t="s">
        <v>66</v>
      </c>
      <c r="R919" t="s">
        <v>67</v>
      </c>
      <c r="S919">
        <v>3</v>
      </c>
      <c r="T919" s="14">
        <v>65.7</v>
      </c>
      <c r="U919" s="7">
        <v>12</v>
      </c>
      <c r="V919" s="7">
        <v>22</v>
      </c>
      <c r="W919" s="14">
        <v>99.7</v>
      </c>
      <c r="X919" s="14">
        <v>219</v>
      </c>
      <c r="Y919" s="16">
        <v>5</v>
      </c>
      <c r="Z919" s="12">
        <v>624.15</v>
      </c>
      <c r="AA919" s="5">
        <v>325.05</v>
      </c>
      <c r="AB919" s="18">
        <v>52.08</v>
      </c>
      <c r="AC919" t="s">
        <v>85</v>
      </c>
      <c r="AD919" t="s">
        <v>158</v>
      </c>
      <c r="AE919" t="s">
        <v>126</v>
      </c>
      <c r="AF919">
        <v>5</v>
      </c>
      <c r="AG919" t="s">
        <v>53</v>
      </c>
    </row>
    <row r="920" spans="1:33">
      <c r="A920" t="s">
        <v>2000</v>
      </c>
      <c r="B920" s="10">
        <v>45912</v>
      </c>
      <c r="C920" s="3" t="s">
        <v>70</v>
      </c>
      <c r="D920" t="s">
        <v>35</v>
      </c>
      <c r="E920" t="s">
        <v>72</v>
      </c>
      <c r="F920" t="s">
        <v>73</v>
      </c>
      <c r="G920" t="s">
        <v>74</v>
      </c>
      <c r="H920" t="s">
        <v>58</v>
      </c>
      <c r="I920" t="s">
        <v>59</v>
      </c>
      <c r="J920" t="s">
        <v>60</v>
      </c>
      <c r="K920" t="s">
        <v>61</v>
      </c>
      <c r="L920" t="s">
        <v>2001</v>
      </c>
      <c r="M920" t="s">
        <v>63</v>
      </c>
      <c r="N920" t="s">
        <v>81</v>
      </c>
      <c r="O920" t="s">
        <v>168</v>
      </c>
      <c r="P920" t="s">
        <v>169</v>
      </c>
      <c r="Q920" t="s">
        <v>139</v>
      </c>
      <c r="R920" t="s">
        <v>67</v>
      </c>
      <c r="S920">
        <v>3</v>
      </c>
      <c r="T920" s="14">
        <v>47.7</v>
      </c>
      <c r="U920" s="7">
        <v>12</v>
      </c>
      <c r="V920" s="7">
        <v>22</v>
      </c>
      <c r="W920" s="14">
        <v>81.7</v>
      </c>
      <c r="X920" s="14">
        <v>159</v>
      </c>
      <c r="Y920" s="16">
        <v>5</v>
      </c>
      <c r="Z920" s="12">
        <v>453.15</v>
      </c>
      <c r="AA920" s="5">
        <v>208.05</v>
      </c>
      <c r="AB920" s="18">
        <v>45.91</v>
      </c>
      <c r="AC920" t="s">
        <v>104</v>
      </c>
      <c r="AD920" t="s">
        <v>51</v>
      </c>
      <c r="AE920" t="s">
        <v>52</v>
      </c>
      <c r="AF920">
        <v>4</v>
      </c>
      <c r="AG920" t="s">
        <v>53</v>
      </c>
    </row>
    <row r="921" spans="1:33">
      <c r="A921" t="s">
        <v>2002</v>
      </c>
      <c r="B921" s="10">
        <v>45969</v>
      </c>
      <c r="C921" s="3" t="s">
        <v>128</v>
      </c>
      <c r="D921" t="s">
        <v>71</v>
      </c>
      <c r="E921" t="s">
        <v>57</v>
      </c>
      <c r="F921" t="s">
        <v>37</v>
      </c>
      <c r="G921" t="s">
        <v>38</v>
      </c>
      <c r="H921" t="s">
        <v>39</v>
      </c>
      <c r="I921" t="s">
        <v>2143</v>
      </c>
      <c r="J921" t="s">
        <v>41</v>
      </c>
      <c r="K921" t="s">
        <v>42</v>
      </c>
      <c r="L921" t="s">
        <v>2003</v>
      </c>
      <c r="M921" t="s">
        <v>80</v>
      </c>
      <c r="N921" t="s">
        <v>110</v>
      </c>
      <c r="O921" t="s">
        <v>82</v>
      </c>
      <c r="P921" t="s">
        <v>83</v>
      </c>
      <c r="Q921" t="s">
        <v>66</v>
      </c>
      <c r="R921" t="s">
        <v>49</v>
      </c>
      <c r="S921">
        <v>2</v>
      </c>
      <c r="T921" s="14">
        <v>100.38</v>
      </c>
      <c r="U921" s="7">
        <v>12</v>
      </c>
      <c r="V921" s="7">
        <v>22</v>
      </c>
      <c r="W921" s="14">
        <v>134.38</v>
      </c>
      <c r="X921" s="14">
        <v>334.6</v>
      </c>
      <c r="Y921" s="16">
        <v>10</v>
      </c>
      <c r="Z921" s="12">
        <v>602.28</v>
      </c>
      <c r="AA921" s="5">
        <v>333.52</v>
      </c>
      <c r="AB921" s="18">
        <v>55.38</v>
      </c>
      <c r="AC921" t="s">
        <v>50</v>
      </c>
      <c r="AD921" t="s">
        <v>51</v>
      </c>
      <c r="AE921" t="s">
        <v>96</v>
      </c>
      <c r="AF921">
        <v>5</v>
      </c>
      <c r="AG921" t="s">
        <v>53</v>
      </c>
    </row>
    <row r="922" spans="1:33">
      <c r="A922" t="s">
        <v>2004</v>
      </c>
      <c r="B922" s="10">
        <v>45733</v>
      </c>
      <c r="C922" s="3" t="s">
        <v>34</v>
      </c>
      <c r="D922" t="s">
        <v>206</v>
      </c>
      <c r="E922" t="s">
        <v>108</v>
      </c>
      <c r="F922" t="s">
        <v>91</v>
      </c>
      <c r="G922" t="s">
        <v>38</v>
      </c>
      <c r="H922" t="s">
        <v>133</v>
      </c>
      <c r="I922" t="s">
        <v>134</v>
      </c>
      <c r="J922" t="s">
        <v>135</v>
      </c>
      <c r="K922" t="s">
        <v>42</v>
      </c>
      <c r="L922" t="s">
        <v>2005</v>
      </c>
      <c r="M922" t="s">
        <v>63</v>
      </c>
      <c r="N922" t="s">
        <v>81</v>
      </c>
      <c r="O922" t="s">
        <v>275</v>
      </c>
      <c r="P922" t="s">
        <v>276</v>
      </c>
      <c r="Q922" t="s">
        <v>125</v>
      </c>
      <c r="R922" t="s">
        <v>49</v>
      </c>
      <c r="S922">
        <v>3</v>
      </c>
      <c r="T922" s="14">
        <v>96.18</v>
      </c>
      <c r="U922" s="7">
        <v>12</v>
      </c>
      <c r="V922" s="7">
        <v>22</v>
      </c>
      <c r="W922" s="14">
        <v>130.18</v>
      </c>
      <c r="X922" s="14">
        <v>320.60000000000002</v>
      </c>
      <c r="Y922" s="16">
        <v>0</v>
      </c>
      <c r="Z922" s="12">
        <v>961.8</v>
      </c>
      <c r="AA922" s="5">
        <v>571.26</v>
      </c>
      <c r="AB922" s="18">
        <v>59.39</v>
      </c>
      <c r="AC922" t="s">
        <v>50</v>
      </c>
      <c r="AD922" t="s">
        <v>51</v>
      </c>
      <c r="AE922" t="s">
        <v>105</v>
      </c>
      <c r="AF922">
        <v>4</v>
      </c>
      <c r="AG922" t="s">
        <v>53</v>
      </c>
    </row>
    <row r="923" spans="1:33">
      <c r="A923" t="s">
        <v>2006</v>
      </c>
      <c r="B923" s="10">
        <v>45714</v>
      </c>
      <c r="C923" s="3" t="s">
        <v>339</v>
      </c>
      <c r="D923" t="s">
        <v>129</v>
      </c>
      <c r="E923" t="s">
        <v>90</v>
      </c>
      <c r="F923" t="s">
        <v>91</v>
      </c>
      <c r="G923" t="s">
        <v>92</v>
      </c>
      <c r="H923" t="s">
        <v>142</v>
      </c>
      <c r="I923" t="s">
        <v>143</v>
      </c>
      <c r="J923" t="s">
        <v>144</v>
      </c>
      <c r="K923" t="s">
        <v>145</v>
      </c>
      <c r="L923" t="s">
        <v>2007</v>
      </c>
      <c r="M923" t="s">
        <v>80</v>
      </c>
      <c r="N923" t="s">
        <v>81</v>
      </c>
      <c r="O923" t="s">
        <v>94</v>
      </c>
      <c r="P923" t="s">
        <v>95</v>
      </c>
      <c r="Q923" t="s">
        <v>66</v>
      </c>
      <c r="R923" t="s">
        <v>84</v>
      </c>
      <c r="S923">
        <v>2</v>
      </c>
      <c r="T923" s="14">
        <v>78.84</v>
      </c>
      <c r="U923" s="7">
        <v>12</v>
      </c>
      <c r="V923" s="7">
        <v>22</v>
      </c>
      <c r="W923" s="14">
        <v>112.84</v>
      </c>
      <c r="X923" s="14">
        <v>262.8</v>
      </c>
      <c r="Y923" s="16">
        <v>10</v>
      </c>
      <c r="Z923" s="12">
        <v>473.04</v>
      </c>
      <c r="AA923" s="5">
        <v>247.36</v>
      </c>
      <c r="AB923" s="18">
        <v>52.29</v>
      </c>
      <c r="AC923" t="s">
        <v>111</v>
      </c>
      <c r="AD923" t="s">
        <v>158</v>
      </c>
      <c r="AE923" t="s">
        <v>96</v>
      </c>
      <c r="AF923">
        <v>5</v>
      </c>
      <c r="AG923" t="s">
        <v>53</v>
      </c>
    </row>
    <row r="924" spans="1:33">
      <c r="A924" t="s">
        <v>2008</v>
      </c>
      <c r="B924" s="10">
        <v>45907</v>
      </c>
      <c r="C924" s="3" t="s">
        <v>148</v>
      </c>
      <c r="D924" t="s">
        <v>89</v>
      </c>
      <c r="E924" t="s">
        <v>72</v>
      </c>
      <c r="F924" t="s">
        <v>73</v>
      </c>
      <c r="G924" t="s">
        <v>74</v>
      </c>
      <c r="H924" t="s">
        <v>115</v>
      </c>
      <c r="I924" t="s">
        <v>116</v>
      </c>
      <c r="J924" t="s">
        <v>117</v>
      </c>
      <c r="K924" t="s">
        <v>61</v>
      </c>
      <c r="L924" t="s">
        <v>2009</v>
      </c>
      <c r="M924" t="s">
        <v>80</v>
      </c>
      <c r="N924" t="s">
        <v>81</v>
      </c>
      <c r="O924" t="s">
        <v>64</v>
      </c>
      <c r="P924" t="s">
        <v>65</v>
      </c>
      <c r="Q924" t="s">
        <v>66</v>
      </c>
      <c r="R924" t="s">
        <v>84</v>
      </c>
      <c r="S924">
        <v>3</v>
      </c>
      <c r="T924" s="14">
        <v>53.64</v>
      </c>
      <c r="U924" s="7">
        <v>12</v>
      </c>
      <c r="V924" s="7">
        <v>22</v>
      </c>
      <c r="W924" s="14">
        <v>87.64</v>
      </c>
      <c r="X924" s="14">
        <v>178.8</v>
      </c>
      <c r="Y924" s="16">
        <v>15</v>
      </c>
      <c r="Z924" s="12">
        <v>455.94</v>
      </c>
      <c r="AA924" s="5">
        <v>193.02</v>
      </c>
      <c r="AB924" s="18">
        <v>42.33</v>
      </c>
      <c r="AC924" t="s">
        <v>111</v>
      </c>
      <c r="AD924" t="s">
        <v>86</v>
      </c>
      <c r="AE924" t="s">
        <v>126</v>
      </c>
      <c r="AF924">
        <v>5</v>
      </c>
      <c r="AG924" t="s">
        <v>53</v>
      </c>
    </row>
    <row r="925" spans="1:33">
      <c r="A925" t="s">
        <v>2010</v>
      </c>
      <c r="B925" s="10">
        <v>45945</v>
      </c>
      <c r="C925" s="3" t="s">
        <v>185</v>
      </c>
      <c r="D925" t="s">
        <v>129</v>
      </c>
      <c r="E925" t="s">
        <v>36</v>
      </c>
      <c r="F925" t="s">
        <v>37</v>
      </c>
      <c r="G925" t="s">
        <v>38</v>
      </c>
      <c r="H925" t="s">
        <v>75</v>
      </c>
      <c r="I925" t="s">
        <v>76</v>
      </c>
      <c r="J925" t="s">
        <v>77</v>
      </c>
      <c r="K925" t="s">
        <v>78</v>
      </c>
      <c r="L925" t="s">
        <v>2011</v>
      </c>
      <c r="M925" t="s">
        <v>44</v>
      </c>
      <c r="N925" t="s">
        <v>110</v>
      </c>
      <c r="O925" t="s">
        <v>119</v>
      </c>
      <c r="P925" t="s">
        <v>120</v>
      </c>
      <c r="Q925" t="s">
        <v>103</v>
      </c>
      <c r="R925" t="s">
        <v>84</v>
      </c>
      <c r="S925">
        <v>3</v>
      </c>
      <c r="T925" s="14">
        <v>46.44</v>
      </c>
      <c r="U925" s="7">
        <v>12</v>
      </c>
      <c r="V925" s="7">
        <v>22</v>
      </c>
      <c r="W925" s="14">
        <v>80.44</v>
      </c>
      <c r="X925" s="14">
        <v>154.80000000000001</v>
      </c>
      <c r="Y925" s="16">
        <v>10</v>
      </c>
      <c r="Z925" s="12">
        <v>417.96</v>
      </c>
      <c r="AA925" s="5">
        <v>176.64</v>
      </c>
      <c r="AB925" s="18">
        <v>42.26</v>
      </c>
      <c r="AC925" t="s">
        <v>50</v>
      </c>
      <c r="AD925" t="s">
        <v>86</v>
      </c>
      <c r="AE925" t="s">
        <v>68</v>
      </c>
      <c r="AF925">
        <v>3</v>
      </c>
      <c r="AG925" t="s">
        <v>53</v>
      </c>
    </row>
    <row r="926" spans="1:33">
      <c r="A926" t="s">
        <v>2012</v>
      </c>
      <c r="B926" s="10">
        <v>45799</v>
      </c>
      <c r="C926" s="3" t="s">
        <v>107</v>
      </c>
      <c r="D926" t="s">
        <v>56</v>
      </c>
      <c r="E926" t="s">
        <v>130</v>
      </c>
      <c r="F926" t="s">
        <v>131</v>
      </c>
      <c r="G926" t="s">
        <v>132</v>
      </c>
      <c r="H926" t="s">
        <v>142</v>
      </c>
      <c r="I926" t="s">
        <v>143</v>
      </c>
      <c r="J926" t="s">
        <v>144</v>
      </c>
      <c r="K926" t="s">
        <v>145</v>
      </c>
      <c r="L926" t="s">
        <v>2013</v>
      </c>
      <c r="M926" t="s">
        <v>44</v>
      </c>
      <c r="N926" t="s">
        <v>81</v>
      </c>
      <c r="O926" t="s">
        <v>189</v>
      </c>
      <c r="P926" t="s">
        <v>190</v>
      </c>
      <c r="Q926" t="s">
        <v>48</v>
      </c>
      <c r="R926" t="s">
        <v>49</v>
      </c>
      <c r="S926">
        <v>2</v>
      </c>
      <c r="T926" s="14">
        <v>66.78</v>
      </c>
      <c r="U926" s="7">
        <v>12</v>
      </c>
      <c r="V926" s="7">
        <v>22</v>
      </c>
      <c r="W926" s="14">
        <v>100.78</v>
      </c>
      <c r="X926" s="14">
        <v>222.6</v>
      </c>
      <c r="Y926" s="16">
        <v>0</v>
      </c>
      <c r="Z926" s="12">
        <v>445.2</v>
      </c>
      <c r="AA926" s="5">
        <v>243.64</v>
      </c>
      <c r="AB926" s="18">
        <v>54.73</v>
      </c>
      <c r="AC926" t="s">
        <v>111</v>
      </c>
      <c r="AD926" t="s">
        <v>158</v>
      </c>
      <c r="AE926" t="s">
        <v>96</v>
      </c>
      <c r="AF926">
        <v>5</v>
      </c>
      <c r="AG926" t="s">
        <v>53</v>
      </c>
    </row>
    <row r="927" spans="1:33">
      <c r="A927" t="s">
        <v>2014</v>
      </c>
      <c r="B927" s="10">
        <v>45926</v>
      </c>
      <c r="C927" s="3" t="s">
        <v>185</v>
      </c>
      <c r="D927" t="s">
        <v>35</v>
      </c>
      <c r="E927" t="s">
        <v>72</v>
      </c>
      <c r="F927" t="s">
        <v>73</v>
      </c>
      <c r="G927" t="s">
        <v>74</v>
      </c>
      <c r="H927" t="s">
        <v>115</v>
      </c>
      <c r="I927" t="s">
        <v>116</v>
      </c>
      <c r="J927" t="s">
        <v>117</v>
      </c>
      <c r="K927" t="s">
        <v>61</v>
      </c>
      <c r="L927" t="s">
        <v>2015</v>
      </c>
      <c r="M927" t="s">
        <v>44</v>
      </c>
      <c r="N927" t="s">
        <v>81</v>
      </c>
      <c r="O927" t="s">
        <v>82</v>
      </c>
      <c r="P927" t="s">
        <v>83</v>
      </c>
      <c r="Q927" t="s">
        <v>66</v>
      </c>
      <c r="R927" t="s">
        <v>67</v>
      </c>
      <c r="S927">
        <v>3</v>
      </c>
      <c r="T927" s="14">
        <v>71.7</v>
      </c>
      <c r="U927" s="7">
        <v>12</v>
      </c>
      <c r="V927" s="7">
        <v>22</v>
      </c>
      <c r="W927" s="14">
        <v>105.7</v>
      </c>
      <c r="X927" s="14">
        <v>239</v>
      </c>
      <c r="Y927" s="16">
        <v>0</v>
      </c>
      <c r="Z927" s="12">
        <v>717</v>
      </c>
      <c r="AA927" s="5">
        <v>399.9</v>
      </c>
      <c r="AB927" s="18">
        <v>55.77</v>
      </c>
      <c r="AC927" t="s">
        <v>85</v>
      </c>
      <c r="AD927" t="s">
        <v>86</v>
      </c>
      <c r="AE927" t="s">
        <v>68</v>
      </c>
      <c r="AF927">
        <v>5</v>
      </c>
      <c r="AG927" t="s">
        <v>53</v>
      </c>
    </row>
    <row r="928" spans="1:33">
      <c r="A928" t="s">
        <v>2016</v>
      </c>
      <c r="B928" s="10">
        <v>45973</v>
      </c>
      <c r="C928" s="3" t="s">
        <v>88</v>
      </c>
      <c r="D928" t="s">
        <v>129</v>
      </c>
      <c r="E928" t="s">
        <v>57</v>
      </c>
      <c r="F928" t="s">
        <v>37</v>
      </c>
      <c r="G928" t="s">
        <v>38</v>
      </c>
      <c r="H928" t="s">
        <v>75</v>
      </c>
      <c r="I928" t="s">
        <v>76</v>
      </c>
      <c r="J928" t="s">
        <v>77</v>
      </c>
      <c r="K928" t="s">
        <v>78</v>
      </c>
      <c r="L928" t="s">
        <v>2017</v>
      </c>
      <c r="M928" t="s">
        <v>44</v>
      </c>
      <c r="N928" t="s">
        <v>45</v>
      </c>
      <c r="O928" t="s">
        <v>82</v>
      </c>
      <c r="P928" t="s">
        <v>83</v>
      </c>
      <c r="Q928" t="s">
        <v>66</v>
      </c>
      <c r="R928" t="s">
        <v>67</v>
      </c>
      <c r="S928">
        <v>3</v>
      </c>
      <c r="T928" s="14">
        <v>71.7</v>
      </c>
      <c r="U928" s="7">
        <v>12</v>
      </c>
      <c r="V928" s="7">
        <v>22</v>
      </c>
      <c r="W928" s="14">
        <v>105.7</v>
      </c>
      <c r="X928" s="14">
        <v>239</v>
      </c>
      <c r="Y928" s="16">
        <v>0</v>
      </c>
      <c r="Z928" s="12">
        <v>717</v>
      </c>
      <c r="AA928" s="5">
        <v>399.9</v>
      </c>
      <c r="AB928" s="18">
        <v>55.77</v>
      </c>
      <c r="AC928" t="s">
        <v>104</v>
      </c>
      <c r="AD928" t="s">
        <v>86</v>
      </c>
      <c r="AE928" t="s">
        <v>126</v>
      </c>
      <c r="AF928">
        <v>4</v>
      </c>
      <c r="AG928" t="s">
        <v>53</v>
      </c>
    </row>
    <row r="929" spans="1:33">
      <c r="A929" t="s">
        <v>2018</v>
      </c>
      <c r="B929" s="10">
        <v>45733</v>
      </c>
      <c r="C929" s="3" t="s">
        <v>98</v>
      </c>
      <c r="D929" t="s">
        <v>206</v>
      </c>
      <c r="E929" t="s">
        <v>108</v>
      </c>
      <c r="F929" t="s">
        <v>91</v>
      </c>
      <c r="G929" t="s">
        <v>38</v>
      </c>
      <c r="H929" t="s">
        <v>142</v>
      </c>
      <c r="I929" t="s">
        <v>143</v>
      </c>
      <c r="J929" t="s">
        <v>144</v>
      </c>
      <c r="K929" t="s">
        <v>145</v>
      </c>
      <c r="L929" t="s">
        <v>2019</v>
      </c>
      <c r="M929" t="s">
        <v>63</v>
      </c>
      <c r="N929" t="s">
        <v>110</v>
      </c>
      <c r="O929" t="s">
        <v>94</v>
      </c>
      <c r="P929" t="s">
        <v>95</v>
      </c>
      <c r="Q929" t="s">
        <v>66</v>
      </c>
      <c r="R929" t="s">
        <v>67</v>
      </c>
      <c r="S929">
        <v>3</v>
      </c>
      <c r="T929" s="14">
        <v>65.7</v>
      </c>
      <c r="U929" s="7">
        <v>12</v>
      </c>
      <c r="V929" s="7">
        <v>22</v>
      </c>
      <c r="W929" s="14">
        <v>99.7</v>
      </c>
      <c r="X929" s="14">
        <v>219</v>
      </c>
      <c r="Y929" s="16">
        <v>5</v>
      </c>
      <c r="Z929" s="12">
        <v>624.15</v>
      </c>
      <c r="AA929" s="5">
        <v>325.05</v>
      </c>
      <c r="AB929" s="18">
        <v>52.08</v>
      </c>
      <c r="AC929" t="s">
        <v>104</v>
      </c>
      <c r="AD929" t="s">
        <v>86</v>
      </c>
      <c r="AE929" t="s">
        <v>68</v>
      </c>
      <c r="AF929">
        <v>5</v>
      </c>
      <c r="AG929" t="s">
        <v>53</v>
      </c>
    </row>
    <row r="930" spans="1:33">
      <c r="A930" t="s">
        <v>2020</v>
      </c>
      <c r="B930" s="10">
        <v>45857</v>
      </c>
      <c r="C930" s="3" t="s">
        <v>55</v>
      </c>
      <c r="D930" t="s">
        <v>71</v>
      </c>
      <c r="E930" t="s">
        <v>114</v>
      </c>
      <c r="F930" t="s">
        <v>73</v>
      </c>
      <c r="G930" t="s">
        <v>74</v>
      </c>
      <c r="H930" t="s">
        <v>142</v>
      </c>
      <c r="I930" t="s">
        <v>143</v>
      </c>
      <c r="J930" t="s">
        <v>144</v>
      </c>
      <c r="K930" t="s">
        <v>145</v>
      </c>
      <c r="L930" t="s">
        <v>2021</v>
      </c>
      <c r="M930" t="s">
        <v>63</v>
      </c>
      <c r="N930" t="s">
        <v>45</v>
      </c>
      <c r="O930" t="s">
        <v>176</v>
      </c>
      <c r="P930" t="s">
        <v>177</v>
      </c>
      <c r="Q930" t="s">
        <v>66</v>
      </c>
      <c r="R930" t="s">
        <v>67</v>
      </c>
      <c r="S930">
        <v>2</v>
      </c>
      <c r="T930" s="14">
        <v>50.7</v>
      </c>
      <c r="U930" s="7">
        <v>12</v>
      </c>
      <c r="V930" s="7">
        <v>22</v>
      </c>
      <c r="W930" s="14">
        <v>84.7</v>
      </c>
      <c r="X930" s="14">
        <v>169</v>
      </c>
      <c r="Y930" s="16">
        <v>15</v>
      </c>
      <c r="Z930" s="12">
        <v>287.3</v>
      </c>
      <c r="AA930" s="5">
        <v>117.9</v>
      </c>
      <c r="AB930" s="18">
        <v>41.04</v>
      </c>
      <c r="AC930" t="s">
        <v>50</v>
      </c>
      <c r="AD930" t="s">
        <v>51</v>
      </c>
      <c r="AE930" t="s">
        <v>105</v>
      </c>
      <c r="AF930">
        <v>5</v>
      </c>
      <c r="AG930" t="s">
        <v>53</v>
      </c>
    </row>
    <row r="931" spans="1:33">
      <c r="A931" t="s">
        <v>2022</v>
      </c>
      <c r="B931" s="10">
        <v>45914</v>
      </c>
      <c r="C931" s="3" t="s">
        <v>390</v>
      </c>
      <c r="D931" t="s">
        <v>89</v>
      </c>
      <c r="E931" t="s">
        <v>72</v>
      </c>
      <c r="F931" t="s">
        <v>73</v>
      </c>
      <c r="G931" t="s">
        <v>74</v>
      </c>
      <c r="H931" t="s">
        <v>75</v>
      </c>
      <c r="I931" t="s">
        <v>76</v>
      </c>
      <c r="J931" t="s">
        <v>77</v>
      </c>
      <c r="K931" t="s">
        <v>78</v>
      </c>
      <c r="L931" t="s">
        <v>2023</v>
      </c>
      <c r="M931" t="s">
        <v>63</v>
      </c>
      <c r="N931" t="s">
        <v>81</v>
      </c>
      <c r="O931" t="s">
        <v>275</v>
      </c>
      <c r="P931" t="s">
        <v>276</v>
      </c>
      <c r="Q931" t="s">
        <v>125</v>
      </c>
      <c r="R931" t="s">
        <v>67</v>
      </c>
      <c r="S931">
        <v>3</v>
      </c>
      <c r="T931" s="14">
        <v>68.7</v>
      </c>
      <c r="U931" s="7">
        <v>12</v>
      </c>
      <c r="V931" s="7">
        <v>22</v>
      </c>
      <c r="W931" s="14">
        <v>102.7</v>
      </c>
      <c r="X931" s="14">
        <v>229</v>
      </c>
      <c r="Y931" s="16">
        <v>15</v>
      </c>
      <c r="Z931" s="12">
        <v>583.95000000000005</v>
      </c>
      <c r="AA931" s="5">
        <v>275.85000000000002</v>
      </c>
      <c r="AB931" s="18">
        <v>47.24</v>
      </c>
      <c r="AC931" t="s">
        <v>50</v>
      </c>
      <c r="AD931" t="s">
        <v>51</v>
      </c>
      <c r="AE931" t="s">
        <v>96</v>
      </c>
      <c r="AF931">
        <v>4</v>
      </c>
      <c r="AG931" t="s">
        <v>53</v>
      </c>
    </row>
    <row r="932" spans="1:33">
      <c r="A932" t="s">
        <v>2024</v>
      </c>
      <c r="B932" s="10">
        <v>45714</v>
      </c>
      <c r="C932" s="3" t="s">
        <v>179</v>
      </c>
      <c r="D932" t="s">
        <v>129</v>
      </c>
      <c r="E932" t="s">
        <v>90</v>
      </c>
      <c r="F932" t="s">
        <v>91</v>
      </c>
      <c r="G932" t="s">
        <v>92</v>
      </c>
      <c r="H932" t="s">
        <v>142</v>
      </c>
      <c r="I932" t="s">
        <v>143</v>
      </c>
      <c r="J932" t="s">
        <v>144</v>
      </c>
      <c r="K932" t="s">
        <v>145</v>
      </c>
      <c r="L932" t="s">
        <v>2025</v>
      </c>
      <c r="M932" t="s">
        <v>44</v>
      </c>
      <c r="N932" t="s">
        <v>81</v>
      </c>
      <c r="O932" t="s">
        <v>101</v>
      </c>
      <c r="P932" t="s">
        <v>102</v>
      </c>
      <c r="Q932" t="s">
        <v>103</v>
      </c>
      <c r="R932" t="s">
        <v>49</v>
      </c>
      <c r="S932">
        <v>2</v>
      </c>
      <c r="T932" s="14">
        <v>62.58</v>
      </c>
      <c r="U932" s="7">
        <v>12</v>
      </c>
      <c r="V932" s="7">
        <v>22</v>
      </c>
      <c r="W932" s="14">
        <v>96.58</v>
      </c>
      <c r="X932" s="14">
        <v>208.6</v>
      </c>
      <c r="Y932" s="16">
        <v>0</v>
      </c>
      <c r="Z932" s="12">
        <v>417.2</v>
      </c>
      <c r="AA932" s="5">
        <v>224.04</v>
      </c>
      <c r="AB932" s="18">
        <v>53.7</v>
      </c>
      <c r="AC932" t="s">
        <v>111</v>
      </c>
      <c r="AD932" t="s">
        <v>51</v>
      </c>
      <c r="AE932" t="s">
        <v>105</v>
      </c>
      <c r="AF932">
        <v>3</v>
      </c>
      <c r="AG932" t="s">
        <v>53</v>
      </c>
    </row>
    <row r="933" spans="1:33">
      <c r="A933" t="s">
        <v>2026</v>
      </c>
      <c r="B933" s="10">
        <v>45772</v>
      </c>
      <c r="C933" s="3" t="s">
        <v>390</v>
      </c>
      <c r="D933" t="s">
        <v>35</v>
      </c>
      <c r="E933" t="s">
        <v>280</v>
      </c>
      <c r="F933" t="s">
        <v>131</v>
      </c>
      <c r="G933" t="s">
        <v>132</v>
      </c>
      <c r="H933" t="s">
        <v>115</v>
      </c>
      <c r="I933" t="s">
        <v>116</v>
      </c>
      <c r="J933" t="s">
        <v>117</v>
      </c>
      <c r="K933" t="s">
        <v>61</v>
      </c>
      <c r="L933" t="s">
        <v>2027</v>
      </c>
      <c r="M933" t="s">
        <v>80</v>
      </c>
      <c r="N933" t="s">
        <v>81</v>
      </c>
      <c r="O933" t="s">
        <v>176</v>
      </c>
      <c r="P933" t="s">
        <v>177</v>
      </c>
      <c r="Q933" t="s">
        <v>66</v>
      </c>
      <c r="R933" t="s">
        <v>49</v>
      </c>
      <c r="S933">
        <v>3</v>
      </c>
      <c r="T933" s="14">
        <v>70.98</v>
      </c>
      <c r="U933" s="7">
        <v>12</v>
      </c>
      <c r="V933" s="7">
        <v>22</v>
      </c>
      <c r="W933" s="14">
        <v>104.98</v>
      </c>
      <c r="X933" s="14">
        <v>236.6</v>
      </c>
      <c r="Y933" s="16">
        <v>5</v>
      </c>
      <c r="Z933" s="12">
        <v>674.31</v>
      </c>
      <c r="AA933" s="5">
        <v>359.37</v>
      </c>
      <c r="AB933" s="18">
        <v>53.29</v>
      </c>
      <c r="AC933" t="s">
        <v>85</v>
      </c>
      <c r="AD933" t="s">
        <v>158</v>
      </c>
      <c r="AE933" t="s">
        <v>52</v>
      </c>
      <c r="AF933">
        <v>4</v>
      </c>
      <c r="AG933" t="s">
        <v>53</v>
      </c>
    </row>
    <row r="934" spans="1:33">
      <c r="A934" t="s">
        <v>2028</v>
      </c>
      <c r="B934" s="10">
        <v>45913</v>
      </c>
      <c r="C934" s="3" t="s">
        <v>307</v>
      </c>
      <c r="D934" t="s">
        <v>71</v>
      </c>
      <c r="E934" t="s">
        <v>72</v>
      </c>
      <c r="F934" t="s">
        <v>73</v>
      </c>
      <c r="G934" t="s">
        <v>74</v>
      </c>
      <c r="H934" t="s">
        <v>58</v>
      </c>
      <c r="I934" t="s">
        <v>59</v>
      </c>
      <c r="J934" t="s">
        <v>60</v>
      </c>
      <c r="K934" t="s">
        <v>61</v>
      </c>
      <c r="L934" t="s">
        <v>2029</v>
      </c>
      <c r="M934" t="s">
        <v>80</v>
      </c>
      <c r="N934" t="s">
        <v>45</v>
      </c>
      <c r="O934" t="s">
        <v>162</v>
      </c>
      <c r="P934" t="s">
        <v>163</v>
      </c>
      <c r="Q934" t="s">
        <v>48</v>
      </c>
      <c r="R934" t="s">
        <v>67</v>
      </c>
      <c r="S934">
        <v>3</v>
      </c>
      <c r="T934" s="14">
        <v>74.7</v>
      </c>
      <c r="U934" s="7">
        <v>12</v>
      </c>
      <c r="V934" s="7">
        <v>22</v>
      </c>
      <c r="W934" s="14">
        <v>108.7</v>
      </c>
      <c r="X934" s="14">
        <v>249</v>
      </c>
      <c r="Y934" s="16">
        <v>10</v>
      </c>
      <c r="Z934" s="12">
        <v>672.3</v>
      </c>
      <c r="AA934" s="5">
        <v>346.2</v>
      </c>
      <c r="AB934" s="18">
        <v>51.49</v>
      </c>
      <c r="AC934" t="s">
        <v>85</v>
      </c>
      <c r="AD934" t="s">
        <v>86</v>
      </c>
      <c r="AE934" t="s">
        <v>96</v>
      </c>
      <c r="AF934">
        <v>5</v>
      </c>
      <c r="AG934" t="s">
        <v>53</v>
      </c>
    </row>
    <row r="935" spans="1:33">
      <c r="A935" t="s">
        <v>2030</v>
      </c>
      <c r="B935" s="10">
        <v>45822</v>
      </c>
      <c r="C935" s="3" t="s">
        <v>148</v>
      </c>
      <c r="D935" t="s">
        <v>71</v>
      </c>
      <c r="E935" t="s">
        <v>174</v>
      </c>
      <c r="F935" t="s">
        <v>131</v>
      </c>
      <c r="G935" t="s">
        <v>132</v>
      </c>
      <c r="H935" t="s">
        <v>142</v>
      </c>
      <c r="I935" t="s">
        <v>143</v>
      </c>
      <c r="J935" t="s">
        <v>144</v>
      </c>
      <c r="K935" t="s">
        <v>145</v>
      </c>
      <c r="L935" t="s">
        <v>2031</v>
      </c>
      <c r="M935" t="s">
        <v>44</v>
      </c>
      <c r="N935" t="s">
        <v>45</v>
      </c>
      <c r="O935" t="s">
        <v>119</v>
      </c>
      <c r="P935" t="s">
        <v>120</v>
      </c>
      <c r="Q935" t="s">
        <v>103</v>
      </c>
      <c r="R935" t="s">
        <v>49</v>
      </c>
      <c r="S935">
        <v>1</v>
      </c>
      <c r="T935" s="14">
        <v>54.18</v>
      </c>
      <c r="U935" s="7">
        <v>12</v>
      </c>
      <c r="V935" s="7">
        <v>22</v>
      </c>
      <c r="W935" s="14">
        <v>88.18</v>
      </c>
      <c r="X935" s="14">
        <v>180.6</v>
      </c>
      <c r="Y935" s="16">
        <v>15</v>
      </c>
      <c r="Z935" s="12">
        <v>153.51</v>
      </c>
      <c r="AA935" s="5">
        <v>65.33</v>
      </c>
      <c r="AB935" s="18">
        <v>42.56</v>
      </c>
      <c r="AC935" t="s">
        <v>111</v>
      </c>
      <c r="AD935" t="s">
        <v>86</v>
      </c>
      <c r="AE935" t="s">
        <v>105</v>
      </c>
      <c r="AF935">
        <v>5</v>
      </c>
      <c r="AG935" t="s">
        <v>53</v>
      </c>
    </row>
    <row r="936" spans="1:33">
      <c r="A936" t="s">
        <v>2032</v>
      </c>
      <c r="B936" s="10">
        <v>45874</v>
      </c>
      <c r="C936" s="3" t="s">
        <v>128</v>
      </c>
      <c r="D936" t="s">
        <v>156</v>
      </c>
      <c r="E936" t="s">
        <v>99</v>
      </c>
      <c r="F936" t="s">
        <v>73</v>
      </c>
      <c r="G936" t="s">
        <v>74</v>
      </c>
      <c r="H936" t="s">
        <v>142</v>
      </c>
      <c r="I936" t="s">
        <v>143</v>
      </c>
      <c r="J936" t="s">
        <v>144</v>
      </c>
      <c r="K936" t="s">
        <v>145</v>
      </c>
      <c r="L936" t="s">
        <v>2033</v>
      </c>
      <c r="M936" t="s">
        <v>44</v>
      </c>
      <c r="N936" t="s">
        <v>81</v>
      </c>
      <c r="O936" t="s">
        <v>176</v>
      </c>
      <c r="P936" t="s">
        <v>177</v>
      </c>
      <c r="Q936" t="s">
        <v>66</v>
      </c>
      <c r="R936" t="s">
        <v>67</v>
      </c>
      <c r="S936">
        <v>3</v>
      </c>
      <c r="T936" s="14">
        <v>50.7</v>
      </c>
      <c r="U936" s="7">
        <v>12</v>
      </c>
      <c r="V936" s="7">
        <v>22</v>
      </c>
      <c r="W936" s="14">
        <v>84.7</v>
      </c>
      <c r="X936" s="14">
        <v>169</v>
      </c>
      <c r="Y936" s="16">
        <v>5</v>
      </c>
      <c r="Z936" s="12">
        <v>481.65</v>
      </c>
      <c r="AA936" s="5">
        <v>227.55</v>
      </c>
      <c r="AB936" s="18">
        <v>47.24</v>
      </c>
      <c r="AC936" t="s">
        <v>50</v>
      </c>
      <c r="AD936" t="s">
        <v>51</v>
      </c>
      <c r="AE936" t="s">
        <v>52</v>
      </c>
      <c r="AF936">
        <v>5</v>
      </c>
      <c r="AG936" t="s">
        <v>53</v>
      </c>
    </row>
    <row r="937" spans="1:33">
      <c r="A937" t="s">
        <v>2034</v>
      </c>
      <c r="B937" s="10">
        <v>45735</v>
      </c>
      <c r="C937" s="3" t="s">
        <v>211</v>
      </c>
      <c r="D937" t="s">
        <v>129</v>
      </c>
      <c r="E937" t="s">
        <v>108</v>
      </c>
      <c r="F937" t="s">
        <v>91</v>
      </c>
      <c r="G937" t="s">
        <v>38</v>
      </c>
      <c r="H937" t="s">
        <v>142</v>
      </c>
      <c r="I937" t="s">
        <v>143</v>
      </c>
      <c r="J937" t="s">
        <v>144</v>
      </c>
      <c r="K937" t="s">
        <v>145</v>
      </c>
      <c r="L937" t="s">
        <v>2035</v>
      </c>
      <c r="M937" t="s">
        <v>80</v>
      </c>
      <c r="N937" t="s">
        <v>45</v>
      </c>
      <c r="O937" t="s">
        <v>94</v>
      </c>
      <c r="P937" t="s">
        <v>95</v>
      </c>
      <c r="Q937" t="s">
        <v>66</v>
      </c>
      <c r="R937" t="s">
        <v>67</v>
      </c>
      <c r="S937">
        <v>1</v>
      </c>
      <c r="T937" s="14">
        <v>65.7</v>
      </c>
      <c r="U937" s="7">
        <v>12</v>
      </c>
      <c r="V937" s="7">
        <v>22</v>
      </c>
      <c r="W937" s="14">
        <v>99.7</v>
      </c>
      <c r="X937" s="14">
        <v>219</v>
      </c>
      <c r="Y937" s="16">
        <v>5</v>
      </c>
      <c r="Z937" s="12">
        <v>208.05</v>
      </c>
      <c r="AA937" s="5">
        <v>108.35</v>
      </c>
      <c r="AB937" s="18">
        <v>52.08</v>
      </c>
      <c r="AC937" t="s">
        <v>85</v>
      </c>
      <c r="AD937" t="s">
        <v>158</v>
      </c>
      <c r="AE937" t="s">
        <v>126</v>
      </c>
      <c r="AF937">
        <v>5</v>
      </c>
      <c r="AG937" t="s">
        <v>53</v>
      </c>
    </row>
    <row r="938" spans="1:33">
      <c r="A938" t="s">
        <v>2036</v>
      </c>
      <c r="B938" s="10">
        <v>45695</v>
      </c>
      <c r="C938" s="3" t="s">
        <v>141</v>
      </c>
      <c r="D938" t="s">
        <v>35</v>
      </c>
      <c r="E938" t="s">
        <v>90</v>
      </c>
      <c r="F938" t="s">
        <v>91</v>
      </c>
      <c r="G938" t="s">
        <v>92</v>
      </c>
      <c r="H938" t="s">
        <v>58</v>
      </c>
      <c r="I938" t="s">
        <v>59</v>
      </c>
      <c r="J938" t="s">
        <v>60</v>
      </c>
      <c r="K938" t="s">
        <v>61</v>
      </c>
      <c r="L938" t="s">
        <v>2037</v>
      </c>
      <c r="M938" t="s">
        <v>80</v>
      </c>
      <c r="N938" t="s">
        <v>45</v>
      </c>
      <c r="O938" t="s">
        <v>176</v>
      </c>
      <c r="P938" t="s">
        <v>177</v>
      </c>
      <c r="Q938" t="s">
        <v>66</v>
      </c>
      <c r="R938" t="s">
        <v>84</v>
      </c>
      <c r="S938">
        <v>3</v>
      </c>
      <c r="T938" s="14">
        <v>60.84</v>
      </c>
      <c r="U938" s="7">
        <v>12</v>
      </c>
      <c r="V938" s="7">
        <v>22</v>
      </c>
      <c r="W938" s="14">
        <v>94.84</v>
      </c>
      <c r="X938" s="14">
        <v>202.8</v>
      </c>
      <c r="Y938" s="16">
        <v>0</v>
      </c>
      <c r="Z938" s="12">
        <v>608.4</v>
      </c>
      <c r="AA938" s="5">
        <v>323.88</v>
      </c>
      <c r="AB938" s="18">
        <v>53.23</v>
      </c>
      <c r="AC938" t="s">
        <v>111</v>
      </c>
      <c r="AD938" t="s">
        <v>51</v>
      </c>
      <c r="AE938" t="s">
        <v>52</v>
      </c>
      <c r="AF938">
        <v>5</v>
      </c>
      <c r="AG938" t="s">
        <v>53</v>
      </c>
    </row>
    <row r="939" spans="1:33">
      <c r="A939" t="s">
        <v>2038</v>
      </c>
      <c r="B939" s="10">
        <v>45739</v>
      </c>
      <c r="C939" s="3" t="s">
        <v>55</v>
      </c>
      <c r="D939" t="s">
        <v>89</v>
      </c>
      <c r="E939" t="s">
        <v>108</v>
      </c>
      <c r="F939" t="s">
        <v>91</v>
      </c>
      <c r="G939" t="s">
        <v>38</v>
      </c>
      <c r="H939" t="s">
        <v>58</v>
      </c>
      <c r="I939" t="s">
        <v>59</v>
      </c>
      <c r="J939" t="s">
        <v>60</v>
      </c>
      <c r="K939" t="s">
        <v>61</v>
      </c>
      <c r="L939" t="s">
        <v>2039</v>
      </c>
      <c r="M939" t="s">
        <v>80</v>
      </c>
      <c r="N939" t="s">
        <v>81</v>
      </c>
      <c r="O939" t="s">
        <v>94</v>
      </c>
      <c r="P939" t="s">
        <v>95</v>
      </c>
      <c r="Q939" t="s">
        <v>66</v>
      </c>
      <c r="R939" t="s">
        <v>67</v>
      </c>
      <c r="S939">
        <v>3</v>
      </c>
      <c r="T939" s="14">
        <v>65.7</v>
      </c>
      <c r="U939" s="7">
        <v>12</v>
      </c>
      <c r="V939" s="7">
        <v>22</v>
      </c>
      <c r="W939" s="14">
        <v>99.7</v>
      </c>
      <c r="X939" s="14">
        <v>219</v>
      </c>
      <c r="Y939" s="16">
        <v>15</v>
      </c>
      <c r="Z939" s="12">
        <v>558.45000000000005</v>
      </c>
      <c r="AA939" s="5">
        <v>259.35000000000002</v>
      </c>
      <c r="AB939" s="18">
        <v>46.44</v>
      </c>
      <c r="AC939" t="s">
        <v>50</v>
      </c>
      <c r="AD939" t="s">
        <v>51</v>
      </c>
      <c r="AE939" t="s">
        <v>96</v>
      </c>
      <c r="AF939">
        <v>5</v>
      </c>
      <c r="AG939" t="s">
        <v>53</v>
      </c>
    </row>
    <row r="940" spans="1:33">
      <c r="A940" t="s">
        <v>2040</v>
      </c>
      <c r="B940" s="10">
        <v>45690</v>
      </c>
      <c r="C940" s="3" t="s">
        <v>88</v>
      </c>
      <c r="D940" t="s">
        <v>89</v>
      </c>
      <c r="E940" t="s">
        <v>90</v>
      </c>
      <c r="F940" t="s">
        <v>91</v>
      </c>
      <c r="G940" t="s">
        <v>92</v>
      </c>
      <c r="H940" t="s">
        <v>75</v>
      </c>
      <c r="I940" t="s">
        <v>76</v>
      </c>
      <c r="J940" t="s">
        <v>77</v>
      </c>
      <c r="K940" t="s">
        <v>78</v>
      </c>
      <c r="L940" t="s">
        <v>2041</v>
      </c>
      <c r="M940" t="s">
        <v>63</v>
      </c>
      <c r="N940" t="s">
        <v>81</v>
      </c>
      <c r="O940" t="s">
        <v>162</v>
      </c>
      <c r="P940" t="s">
        <v>163</v>
      </c>
      <c r="Q940" t="s">
        <v>48</v>
      </c>
      <c r="R940" t="s">
        <v>84</v>
      </c>
      <c r="S940">
        <v>1</v>
      </c>
      <c r="T940" s="14">
        <v>89.64</v>
      </c>
      <c r="U940" s="7">
        <v>12</v>
      </c>
      <c r="V940" s="7">
        <v>22</v>
      </c>
      <c r="W940" s="14">
        <v>123.64</v>
      </c>
      <c r="X940" s="14">
        <v>298.8</v>
      </c>
      <c r="Y940" s="16">
        <v>15</v>
      </c>
      <c r="Z940" s="12">
        <v>253.98</v>
      </c>
      <c r="AA940" s="5">
        <v>130.34</v>
      </c>
      <c r="AB940" s="18">
        <v>51.32</v>
      </c>
      <c r="AC940" t="s">
        <v>104</v>
      </c>
      <c r="AD940" t="s">
        <v>158</v>
      </c>
      <c r="AE940" t="s">
        <v>68</v>
      </c>
      <c r="AF940">
        <v>5</v>
      </c>
      <c r="AG940" t="s">
        <v>53</v>
      </c>
    </row>
    <row r="941" spans="1:33">
      <c r="A941" t="s">
        <v>2042</v>
      </c>
      <c r="B941" s="10">
        <v>45947</v>
      </c>
      <c r="C941" s="3" t="s">
        <v>155</v>
      </c>
      <c r="D941" t="s">
        <v>35</v>
      </c>
      <c r="E941" t="s">
        <v>36</v>
      </c>
      <c r="F941" t="s">
        <v>37</v>
      </c>
      <c r="G941" t="s">
        <v>38</v>
      </c>
      <c r="H941" t="s">
        <v>115</v>
      </c>
      <c r="I941" t="s">
        <v>116</v>
      </c>
      <c r="J941" t="s">
        <v>117</v>
      </c>
      <c r="K941" t="s">
        <v>61</v>
      </c>
      <c r="L941" t="s">
        <v>2043</v>
      </c>
      <c r="M941" t="s">
        <v>63</v>
      </c>
      <c r="N941" t="s">
        <v>45</v>
      </c>
      <c r="O941" t="s">
        <v>94</v>
      </c>
      <c r="P941" t="s">
        <v>95</v>
      </c>
      <c r="Q941" t="s">
        <v>66</v>
      </c>
      <c r="R941" t="s">
        <v>67</v>
      </c>
      <c r="S941">
        <v>2</v>
      </c>
      <c r="T941" s="14">
        <v>65.7</v>
      </c>
      <c r="U941" s="7">
        <v>12</v>
      </c>
      <c r="V941" s="7">
        <v>22</v>
      </c>
      <c r="W941" s="14">
        <v>99.7</v>
      </c>
      <c r="X941" s="14">
        <v>219</v>
      </c>
      <c r="Y941" s="16">
        <v>10</v>
      </c>
      <c r="Z941" s="12">
        <v>394.2</v>
      </c>
      <c r="AA941" s="5">
        <v>194.8</v>
      </c>
      <c r="AB941" s="18">
        <v>49.42</v>
      </c>
      <c r="AC941" t="s">
        <v>104</v>
      </c>
      <c r="AD941" t="s">
        <v>51</v>
      </c>
      <c r="AE941" t="s">
        <v>105</v>
      </c>
      <c r="AF941">
        <v>4</v>
      </c>
      <c r="AG941" t="s">
        <v>53</v>
      </c>
    </row>
    <row r="942" spans="1:33">
      <c r="A942" t="s">
        <v>2044</v>
      </c>
      <c r="B942" s="10">
        <v>45669</v>
      </c>
      <c r="C942" s="3" t="s">
        <v>185</v>
      </c>
      <c r="D942" t="s">
        <v>89</v>
      </c>
      <c r="E942" t="s">
        <v>152</v>
      </c>
      <c r="F942" t="s">
        <v>91</v>
      </c>
      <c r="G942" t="s">
        <v>92</v>
      </c>
      <c r="H942" t="s">
        <v>58</v>
      </c>
      <c r="I942" t="s">
        <v>59</v>
      </c>
      <c r="J942" t="s">
        <v>60</v>
      </c>
      <c r="K942" t="s">
        <v>61</v>
      </c>
      <c r="L942" t="s">
        <v>2045</v>
      </c>
      <c r="M942" t="s">
        <v>80</v>
      </c>
      <c r="N942" t="s">
        <v>110</v>
      </c>
      <c r="O942" t="s">
        <v>64</v>
      </c>
      <c r="P942" t="s">
        <v>65</v>
      </c>
      <c r="Q942" t="s">
        <v>66</v>
      </c>
      <c r="R942" t="s">
        <v>84</v>
      </c>
      <c r="S942">
        <v>2</v>
      </c>
      <c r="T942" s="14">
        <v>53.64</v>
      </c>
      <c r="U942" s="7">
        <v>12</v>
      </c>
      <c r="V942" s="7">
        <v>22</v>
      </c>
      <c r="W942" s="14">
        <v>87.64</v>
      </c>
      <c r="X942" s="14">
        <v>178.8</v>
      </c>
      <c r="Y942" s="16">
        <v>10</v>
      </c>
      <c r="Z942" s="12">
        <v>321.83999999999997</v>
      </c>
      <c r="AA942" s="5">
        <v>146.56</v>
      </c>
      <c r="AB942" s="18">
        <v>45.54</v>
      </c>
      <c r="AC942" t="s">
        <v>50</v>
      </c>
      <c r="AD942" t="s">
        <v>86</v>
      </c>
      <c r="AE942" t="s">
        <v>126</v>
      </c>
      <c r="AF942">
        <v>5</v>
      </c>
      <c r="AG942" t="s">
        <v>53</v>
      </c>
    </row>
    <row r="943" spans="1:33">
      <c r="A943" t="s">
        <v>2046</v>
      </c>
      <c r="B943" s="10">
        <v>45759</v>
      </c>
      <c r="C943" s="3" t="s">
        <v>141</v>
      </c>
      <c r="D943" t="s">
        <v>71</v>
      </c>
      <c r="E943" t="s">
        <v>280</v>
      </c>
      <c r="F943" t="s">
        <v>131</v>
      </c>
      <c r="G943" t="s">
        <v>132</v>
      </c>
      <c r="H943" t="s">
        <v>115</v>
      </c>
      <c r="I943" t="s">
        <v>116</v>
      </c>
      <c r="J943" t="s">
        <v>117</v>
      </c>
      <c r="K943" t="s">
        <v>61</v>
      </c>
      <c r="L943" t="s">
        <v>2047</v>
      </c>
      <c r="M943" t="s">
        <v>63</v>
      </c>
      <c r="N943" t="s">
        <v>45</v>
      </c>
      <c r="O943" t="s">
        <v>94</v>
      </c>
      <c r="P943" t="s">
        <v>95</v>
      </c>
      <c r="Q943" t="s">
        <v>66</v>
      </c>
      <c r="R943" t="s">
        <v>67</v>
      </c>
      <c r="S943">
        <v>1</v>
      </c>
      <c r="T943" s="14">
        <v>65.7</v>
      </c>
      <c r="U943" s="7">
        <v>12</v>
      </c>
      <c r="V943" s="7">
        <v>22</v>
      </c>
      <c r="W943" s="14">
        <v>99.7</v>
      </c>
      <c r="X943" s="14">
        <v>219</v>
      </c>
      <c r="Y943" s="16">
        <v>10</v>
      </c>
      <c r="Z943" s="12">
        <v>197.1</v>
      </c>
      <c r="AA943" s="5">
        <v>97.4</v>
      </c>
      <c r="AB943" s="18">
        <v>49.42</v>
      </c>
      <c r="AC943" t="s">
        <v>104</v>
      </c>
      <c r="AD943" t="s">
        <v>51</v>
      </c>
      <c r="AE943" t="s">
        <v>105</v>
      </c>
      <c r="AF943">
        <v>5</v>
      </c>
      <c r="AG943" t="s">
        <v>53</v>
      </c>
    </row>
    <row r="944" spans="1:33">
      <c r="A944" t="s">
        <v>2048</v>
      </c>
      <c r="B944" s="10">
        <v>45921</v>
      </c>
      <c r="C944" s="3" t="s">
        <v>148</v>
      </c>
      <c r="D944" t="s">
        <v>89</v>
      </c>
      <c r="E944" t="s">
        <v>72</v>
      </c>
      <c r="F944" t="s">
        <v>73</v>
      </c>
      <c r="G944" t="s">
        <v>74</v>
      </c>
      <c r="H944" t="s">
        <v>58</v>
      </c>
      <c r="I944" t="s">
        <v>59</v>
      </c>
      <c r="J944" t="s">
        <v>60</v>
      </c>
      <c r="K944" t="s">
        <v>61</v>
      </c>
      <c r="L944" t="s">
        <v>2049</v>
      </c>
      <c r="M944" t="s">
        <v>63</v>
      </c>
      <c r="N944" t="s">
        <v>110</v>
      </c>
      <c r="O944" t="s">
        <v>119</v>
      </c>
      <c r="P944" t="s">
        <v>120</v>
      </c>
      <c r="Q944" t="s">
        <v>103</v>
      </c>
      <c r="R944" t="s">
        <v>49</v>
      </c>
      <c r="S944">
        <v>1</v>
      </c>
      <c r="T944" s="14">
        <v>54.18</v>
      </c>
      <c r="U944" s="7">
        <v>12</v>
      </c>
      <c r="V944" s="7">
        <v>22</v>
      </c>
      <c r="W944" s="14">
        <v>88.18</v>
      </c>
      <c r="X944" s="14">
        <v>180.6</v>
      </c>
      <c r="Y944" s="16">
        <v>10</v>
      </c>
      <c r="Z944" s="12">
        <v>162.54</v>
      </c>
      <c r="AA944" s="5">
        <v>74.36</v>
      </c>
      <c r="AB944" s="18">
        <v>45.75</v>
      </c>
      <c r="AC944" t="s">
        <v>104</v>
      </c>
      <c r="AD944" t="s">
        <v>86</v>
      </c>
      <c r="AE944" t="s">
        <v>68</v>
      </c>
      <c r="AF944">
        <v>5</v>
      </c>
      <c r="AG944" t="s">
        <v>53</v>
      </c>
    </row>
    <row r="945" spans="1:33">
      <c r="A945" t="s">
        <v>2050</v>
      </c>
      <c r="B945" s="10">
        <v>45946</v>
      </c>
      <c r="C945" s="3" t="s">
        <v>307</v>
      </c>
      <c r="D945" t="s">
        <v>56</v>
      </c>
      <c r="E945" t="s">
        <v>36</v>
      </c>
      <c r="F945" t="s">
        <v>37</v>
      </c>
      <c r="G945" t="s">
        <v>38</v>
      </c>
      <c r="H945" t="s">
        <v>58</v>
      </c>
      <c r="I945" t="s">
        <v>59</v>
      </c>
      <c r="J945" t="s">
        <v>60</v>
      </c>
      <c r="K945" t="s">
        <v>61</v>
      </c>
      <c r="L945" t="s">
        <v>2051</v>
      </c>
      <c r="M945" t="s">
        <v>63</v>
      </c>
      <c r="N945" t="s">
        <v>45</v>
      </c>
      <c r="O945" t="s">
        <v>123</v>
      </c>
      <c r="P945" t="s">
        <v>124</v>
      </c>
      <c r="Q945" t="s">
        <v>125</v>
      </c>
      <c r="R945" t="s">
        <v>49</v>
      </c>
      <c r="S945">
        <v>3</v>
      </c>
      <c r="T945" s="14">
        <v>104.58</v>
      </c>
      <c r="U945" s="7">
        <v>12</v>
      </c>
      <c r="V945" s="7">
        <v>22</v>
      </c>
      <c r="W945" s="14">
        <v>138.58000000000001</v>
      </c>
      <c r="X945" s="14">
        <v>348.6</v>
      </c>
      <c r="Y945" s="16">
        <v>5</v>
      </c>
      <c r="Z945" s="12">
        <v>993.51</v>
      </c>
      <c r="AA945" s="5">
        <v>577.77</v>
      </c>
      <c r="AB945" s="18">
        <v>58.15</v>
      </c>
      <c r="AC945" t="s">
        <v>111</v>
      </c>
      <c r="AD945" t="s">
        <v>51</v>
      </c>
      <c r="AE945" t="s">
        <v>52</v>
      </c>
      <c r="AF945">
        <v>3</v>
      </c>
      <c r="AG945" t="s">
        <v>53</v>
      </c>
    </row>
    <row r="946" spans="1:33">
      <c r="A946" t="s">
        <v>2052</v>
      </c>
      <c r="B946" s="10">
        <v>45731</v>
      </c>
      <c r="C946" s="3" t="s">
        <v>98</v>
      </c>
      <c r="D946" t="s">
        <v>71</v>
      </c>
      <c r="E946" t="s">
        <v>108</v>
      </c>
      <c r="F946" t="s">
        <v>91</v>
      </c>
      <c r="G946" t="s">
        <v>38</v>
      </c>
      <c r="H946" t="s">
        <v>75</v>
      </c>
      <c r="I946" t="s">
        <v>76</v>
      </c>
      <c r="J946" t="s">
        <v>77</v>
      </c>
      <c r="K946" t="s">
        <v>78</v>
      </c>
      <c r="L946" t="s">
        <v>2053</v>
      </c>
      <c r="M946" t="s">
        <v>44</v>
      </c>
      <c r="N946" t="s">
        <v>45</v>
      </c>
      <c r="O946" t="s">
        <v>452</v>
      </c>
      <c r="P946" t="s">
        <v>453</v>
      </c>
      <c r="Q946" t="s">
        <v>215</v>
      </c>
      <c r="R946" t="s">
        <v>67</v>
      </c>
      <c r="S946">
        <v>1</v>
      </c>
      <c r="T946" s="14">
        <v>98.7</v>
      </c>
      <c r="U946" s="7">
        <v>12</v>
      </c>
      <c r="V946" s="7">
        <v>22</v>
      </c>
      <c r="W946" s="14">
        <v>132.69999999999999</v>
      </c>
      <c r="X946" s="14">
        <v>329</v>
      </c>
      <c r="Y946" s="16">
        <v>10</v>
      </c>
      <c r="Z946" s="12">
        <v>296.10000000000002</v>
      </c>
      <c r="AA946" s="5">
        <v>163.4</v>
      </c>
      <c r="AB946" s="18">
        <v>55.18</v>
      </c>
      <c r="AC946" t="s">
        <v>50</v>
      </c>
      <c r="AD946" t="s">
        <v>86</v>
      </c>
      <c r="AE946" t="s">
        <v>52</v>
      </c>
      <c r="AF946">
        <v>5</v>
      </c>
      <c r="AG946" t="s">
        <v>53</v>
      </c>
    </row>
    <row r="947" spans="1:33">
      <c r="A947" t="s">
        <v>2054</v>
      </c>
      <c r="B947" s="10">
        <v>45888</v>
      </c>
      <c r="C947" s="3" t="s">
        <v>34</v>
      </c>
      <c r="D947" t="s">
        <v>156</v>
      </c>
      <c r="E947" t="s">
        <v>99</v>
      </c>
      <c r="F947" t="s">
        <v>73</v>
      </c>
      <c r="G947" t="s">
        <v>74</v>
      </c>
      <c r="H947" t="s">
        <v>75</v>
      </c>
      <c r="I947" t="s">
        <v>76</v>
      </c>
      <c r="J947" t="s">
        <v>77</v>
      </c>
      <c r="K947" t="s">
        <v>78</v>
      </c>
      <c r="L947" t="s">
        <v>2055</v>
      </c>
      <c r="M947" t="s">
        <v>80</v>
      </c>
      <c r="N947" t="s">
        <v>45</v>
      </c>
      <c r="O947" t="s">
        <v>101</v>
      </c>
      <c r="P947" t="s">
        <v>102</v>
      </c>
      <c r="Q947" t="s">
        <v>103</v>
      </c>
      <c r="R947" t="s">
        <v>67</v>
      </c>
      <c r="S947">
        <v>3</v>
      </c>
      <c r="T947" s="14">
        <v>44.7</v>
      </c>
      <c r="U947" s="7">
        <v>12</v>
      </c>
      <c r="V947" s="7">
        <v>22</v>
      </c>
      <c r="W947" s="14">
        <v>78.7</v>
      </c>
      <c r="X947" s="14">
        <v>149</v>
      </c>
      <c r="Y947" s="16">
        <v>0</v>
      </c>
      <c r="Z947" s="12">
        <v>447</v>
      </c>
      <c r="AA947" s="5">
        <v>210.9</v>
      </c>
      <c r="AB947" s="18">
        <v>47.18</v>
      </c>
      <c r="AC947" t="s">
        <v>85</v>
      </c>
      <c r="AD947" t="s">
        <v>86</v>
      </c>
      <c r="AE947" t="s">
        <v>105</v>
      </c>
      <c r="AF947">
        <v>4</v>
      </c>
      <c r="AG947" t="s">
        <v>53</v>
      </c>
    </row>
    <row r="948" spans="1:33">
      <c r="A948" t="s">
        <v>2056</v>
      </c>
      <c r="B948" s="10">
        <v>45725</v>
      </c>
      <c r="C948" s="3" t="s">
        <v>182</v>
      </c>
      <c r="D948" t="s">
        <v>89</v>
      </c>
      <c r="E948" t="s">
        <v>108</v>
      </c>
      <c r="F948" t="s">
        <v>91</v>
      </c>
      <c r="G948" t="s">
        <v>38</v>
      </c>
      <c r="H948" t="s">
        <v>39</v>
      </c>
      <c r="I948" t="s">
        <v>2143</v>
      </c>
      <c r="J948" t="s">
        <v>41</v>
      </c>
      <c r="K948" t="s">
        <v>42</v>
      </c>
      <c r="L948" t="s">
        <v>2057</v>
      </c>
      <c r="M948" t="s">
        <v>80</v>
      </c>
      <c r="N948" t="s">
        <v>45</v>
      </c>
      <c r="O948" t="s">
        <v>162</v>
      </c>
      <c r="P948" t="s">
        <v>163</v>
      </c>
      <c r="Q948" t="s">
        <v>48</v>
      </c>
      <c r="R948" t="s">
        <v>49</v>
      </c>
      <c r="S948">
        <v>3</v>
      </c>
      <c r="T948" s="14">
        <v>104.58</v>
      </c>
      <c r="U948" s="7">
        <v>12</v>
      </c>
      <c r="V948" s="7">
        <v>22</v>
      </c>
      <c r="W948" s="14">
        <v>138.58000000000001</v>
      </c>
      <c r="X948" s="14">
        <v>348.6</v>
      </c>
      <c r="Y948" s="16">
        <v>15</v>
      </c>
      <c r="Z948" s="12">
        <v>888.93</v>
      </c>
      <c r="AA948" s="5">
        <v>473.19</v>
      </c>
      <c r="AB948" s="18">
        <v>53.23</v>
      </c>
      <c r="AC948" t="s">
        <v>104</v>
      </c>
      <c r="AD948" t="s">
        <v>51</v>
      </c>
      <c r="AE948" t="s">
        <v>126</v>
      </c>
      <c r="AF948">
        <v>4</v>
      </c>
      <c r="AG948" t="s">
        <v>53</v>
      </c>
    </row>
    <row r="949" spans="1:33">
      <c r="A949" t="s">
        <v>2058</v>
      </c>
      <c r="B949" s="10">
        <v>45915</v>
      </c>
      <c r="C949" s="3" t="s">
        <v>113</v>
      </c>
      <c r="D949" t="s">
        <v>206</v>
      </c>
      <c r="E949" t="s">
        <v>72</v>
      </c>
      <c r="F949" t="s">
        <v>73</v>
      </c>
      <c r="G949" t="s">
        <v>74</v>
      </c>
      <c r="H949" t="s">
        <v>58</v>
      </c>
      <c r="I949" t="s">
        <v>59</v>
      </c>
      <c r="J949" t="s">
        <v>60</v>
      </c>
      <c r="K949" t="s">
        <v>61</v>
      </c>
      <c r="L949" t="s">
        <v>2059</v>
      </c>
      <c r="M949" t="s">
        <v>80</v>
      </c>
      <c r="N949" t="s">
        <v>81</v>
      </c>
      <c r="O949" t="s">
        <v>101</v>
      </c>
      <c r="P949" t="s">
        <v>102</v>
      </c>
      <c r="Q949" t="s">
        <v>103</v>
      </c>
      <c r="R949" t="s">
        <v>67</v>
      </c>
      <c r="S949">
        <v>2</v>
      </c>
      <c r="T949" s="14">
        <v>44.7</v>
      </c>
      <c r="U949" s="7">
        <v>12</v>
      </c>
      <c r="V949" s="7">
        <v>22</v>
      </c>
      <c r="W949" s="14">
        <v>78.7</v>
      </c>
      <c r="X949" s="14">
        <v>149</v>
      </c>
      <c r="Y949" s="16">
        <v>5</v>
      </c>
      <c r="Z949" s="12">
        <v>283.10000000000002</v>
      </c>
      <c r="AA949" s="5">
        <v>125.7</v>
      </c>
      <c r="AB949" s="18">
        <v>44.4</v>
      </c>
      <c r="AC949" t="s">
        <v>111</v>
      </c>
      <c r="AD949" t="s">
        <v>158</v>
      </c>
      <c r="AE949" t="s">
        <v>68</v>
      </c>
      <c r="AF949">
        <v>5</v>
      </c>
      <c r="AG949" t="s">
        <v>53</v>
      </c>
    </row>
    <row r="950" spans="1:33">
      <c r="A950" t="s">
        <v>2060</v>
      </c>
      <c r="B950" s="10">
        <v>45897</v>
      </c>
      <c r="C950" s="3" t="s">
        <v>339</v>
      </c>
      <c r="D950" t="s">
        <v>56</v>
      </c>
      <c r="E950" t="s">
        <v>99</v>
      </c>
      <c r="F950" t="s">
        <v>73</v>
      </c>
      <c r="G950" t="s">
        <v>74</v>
      </c>
      <c r="H950" t="s">
        <v>133</v>
      </c>
      <c r="I950" t="s">
        <v>134</v>
      </c>
      <c r="J950" t="s">
        <v>135</v>
      </c>
      <c r="K950" t="s">
        <v>42</v>
      </c>
      <c r="L950" t="s">
        <v>2061</v>
      </c>
      <c r="M950" t="s">
        <v>44</v>
      </c>
      <c r="N950" t="s">
        <v>45</v>
      </c>
      <c r="O950" t="s">
        <v>94</v>
      </c>
      <c r="P950" t="s">
        <v>95</v>
      </c>
      <c r="Q950" t="s">
        <v>66</v>
      </c>
      <c r="R950" t="s">
        <v>49</v>
      </c>
      <c r="S950">
        <v>1</v>
      </c>
      <c r="T950" s="14">
        <v>91.98</v>
      </c>
      <c r="U950" s="7">
        <v>12</v>
      </c>
      <c r="V950" s="7">
        <v>22</v>
      </c>
      <c r="W950" s="14">
        <v>125.98</v>
      </c>
      <c r="X950" s="14">
        <v>306.60000000000002</v>
      </c>
      <c r="Y950" s="16">
        <v>10</v>
      </c>
      <c r="Z950" s="12">
        <v>275.94</v>
      </c>
      <c r="AA950" s="5">
        <v>149.96</v>
      </c>
      <c r="AB950" s="18">
        <v>54.35</v>
      </c>
      <c r="AC950" t="s">
        <v>104</v>
      </c>
      <c r="AD950" t="s">
        <v>86</v>
      </c>
      <c r="AE950" t="s">
        <v>105</v>
      </c>
      <c r="AF950">
        <v>3</v>
      </c>
      <c r="AG950" t="s">
        <v>53</v>
      </c>
    </row>
    <row r="951" spans="1:33">
      <c r="A951" t="s">
        <v>2062</v>
      </c>
      <c r="B951" s="10">
        <v>45865</v>
      </c>
      <c r="C951" s="3" t="s">
        <v>171</v>
      </c>
      <c r="D951" t="s">
        <v>89</v>
      </c>
      <c r="E951" t="s">
        <v>114</v>
      </c>
      <c r="F951" t="s">
        <v>73</v>
      </c>
      <c r="G951" t="s">
        <v>74</v>
      </c>
      <c r="H951" t="s">
        <v>58</v>
      </c>
      <c r="I951" t="s">
        <v>59</v>
      </c>
      <c r="J951" t="s">
        <v>60</v>
      </c>
      <c r="K951" t="s">
        <v>61</v>
      </c>
      <c r="L951" t="s">
        <v>2063</v>
      </c>
      <c r="M951" t="s">
        <v>63</v>
      </c>
      <c r="N951" t="s">
        <v>110</v>
      </c>
      <c r="O951" t="s">
        <v>452</v>
      </c>
      <c r="P951" t="s">
        <v>453</v>
      </c>
      <c r="Q951" t="s">
        <v>215</v>
      </c>
      <c r="R951" t="s">
        <v>84</v>
      </c>
      <c r="S951">
        <v>1</v>
      </c>
      <c r="T951" s="14">
        <v>118.44</v>
      </c>
      <c r="U951" s="7">
        <v>12</v>
      </c>
      <c r="V951" s="7">
        <v>22</v>
      </c>
      <c r="W951" s="14">
        <v>152.44</v>
      </c>
      <c r="X951" s="14">
        <v>394.8</v>
      </c>
      <c r="Y951" s="16">
        <v>15</v>
      </c>
      <c r="Z951" s="12">
        <v>335.58</v>
      </c>
      <c r="AA951" s="5">
        <v>183.14</v>
      </c>
      <c r="AB951" s="18">
        <v>54.57</v>
      </c>
      <c r="AC951" t="s">
        <v>50</v>
      </c>
      <c r="AD951" t="s">
        <v>51</v>
      </c>
      <c r="AE951" t="s">
        <v>96</v>
      </c>
      <c r="AF951">
        <v>5</v>
      </c>
      <c r="AG951" t="s">
        <v>53</v>
      </c>
    </row>
    <row r="952" spans="1:33">
      <c r="A952" t="s">
        <v>2064</v>
      </c>
      <c r="B952" s="10">
        <v>46003</v>
      </c>
      <c r="C952" s="3" t="s">
        <v>219</v>
      </c>
      <c r="D952" t="s">
        <v>35</v>
      </c>
      <c r="E952" t="s">
        <v>149</v>
      </c>
      <c r="F952" t="s">
        <v>37</v>
      </c>
      <c r="G952" t="s">
        <v>92</v>
      </c>
      <c r="H952" t="s">
        <v>39</v>
      </c>
      <c r="I952" t="s">
        <v>2143</v>
      </c>
      <c r="J952" t="s">
        <v>41</v>
      </c>
      <c r="K952" t="s">
        <v>42</v>
      </c>
      <c r="L952" t="s">
        <v>2065</v>
      </c>
      <c r="M952" t="s">
        <v>63</v>
      </c>
      <c r="N952" t="s">
        <v>81</v>
      </c>
      <c r="O952" t="s">
        <v>94</v>
      </c>
      <c r="P952" t="s">
        <v>95</v>
      </c>
      <c r="Q952" t="s">
        <v>66</v>
      </c>
      <c r="R952" t="s">
        <v>84</v>
      </c>
      <c r="S952">
        <v>2</v>
      </c>
      <c r="T952" s="14">
        <v>78.84</v>
      </c>
      <c r="U952" s="7">
        <v>12</v>
      </c>
      <c r="V952" s="7">
        <v>22</v>
      </c>
      <c r="W952" s="14">
        <v>112.84</v>
      </c>
      <c r="X952" s="14">
        <v>262.8</v>
      </c>
      <c r="Y952" s="16">
        <v>5</v>
      </c>
      <c r="Z952" s="12">
        <v>499.32</v>
      </c>
      <c r="AA952" s="5">
        <v>273.64</v>
      </c>
      <c r="AB952" s="18">
        <v>54.8</v>
      </c>
      <c r="AC952" t="s">
        <v>50</v>
      </c>
      <c r="AD952" t="s">
        <v>86</v>
      </c>
      <c r="AE952" t="s">
        <v>96</v>
      </c>
      <c r="AF952">
        <v>5</v>
      </c>
      <c r="AG952" t="s">
        <v>53</v>
      </c>
    </row>
    <row r="953" spans="1:33">
      <c r="A953" t="s">
        <v>2066</v>
      </c>
      <c r="B953" s="10">
        <v>45941</v>
      </c>
      <c r="C953" s="3" t="s">
        <v>148</v>
      </c>
      <c r="D953" t="s">
        <v>71</v>
      </c>
      <c r="E953" t="s">
        <v>36</v>
      </c>
      <c r="F953" t="s">
        <v>37</v>
      </c>
      <c r="G953" t="s">
        <v>38</v>
      </c>
      <c r="H953" t="s">
        <v>75</v>
      </c>
      <c r="I953" t="s">
        <v>76</v>
      </c>
      <c r="J953" t="s">
        <v>77</v>
      </c>
      <c r="K953" t="s">
        <v>78</v>
      </c>
      <c r="L953" t="s">
        <v>2067</v>
      </c>
      <c r="M953" t="s">
        <v>80</v>
      </c>
      <c r="N953" t="s">
        <v>110</v>
      </c>
      <c r="O953" t="s">
        <v>213</v>
      </c>
      <c r="P953" t="s">
        <v>214</v>
      </c>
      <c r="Q953" t="s">
        <v>215</v>
      </c>
      <c r="R953" t="s">
        <v>49</v>
      </c>
      <c r="S953">
        <v>2</v>
      </c>
      <c r="T953" s="14">
        <v>125.58</v>
      </c>
      <c r="U953" s="7">
        <v>12</v>
      </c>
      <c r="V953" s="7">
        <v>22</v>
      </c>
      <c r="W953" s="14">
        <v>159.58000000000001</v>
      </c>
      <c r="X953" s="14">
        <v>418.6</v>
      </c>
      <c r="Y953" s="16">
        <v>15</v>
      </c>
      <c r="Z953" s="12">
        <v>711.62</v>
      </c>
      <c r="AA953" s="5">
        <v>392.46</v>
      </c>
      <c r="AB953" s="18">
        <v>55.15</v>
      </c>
      <c r="AC953" t="s">
        <v>104</v>
      </c>
      <c r="AD953" t="s">
        <v>86</v>
      </c>
      <c r="AE953" t="s">
        <v>52</v>
      </c>
      <c r="AF953">
        <v>5</v>
      </c>
      <c r="AG953" t="s">
        <v>53</v>
      </c>
    </row>
    <row r="954" spans="1:33">
      <c r="A954" t="s">
        <v>2068</v>
      </c>
      <c r="B954" s="10">
        <v>45916</v>
      </c>
      <c r="C954" s="3" t="s">
        <v>155</v>
      </c>
      <c r="D954" t="s">
        <v>156</v>
      </c>
      <c r="E954" t="s">
        <v>72</v>
      </c>
      <c r="F954" t="s">
        <v>73</v>
      </c>
      <c r="G954" t="s">
        <v>74</v>
      </c>
      <c r="H954" t="s">
        <v>39</v>
      </c>
      <c r="I954" t="s">
        <v>2143</v>
      </c>
      <c r="J954" t="s">
        <v>41</v>
      </c>
      <c r="K954" t="s">
        <v>42</v>
      </c>
      <c r="L954" t="s">
        <v>2069</v>
      </c>
      <c r="M954" t="s">
        <v>44</v>
      </c>
      <c r="N954" t="s">
        <v>81</v>
      </c>
      <c r="O954" t="s">
        <v>119</v>
      </c>
      <c r="P954" t="s">
        <v>120</v>
      </c>
      <c r="Q954" t="s">
        <v>103</v>
      </c>
      <c r="R954" t="s">
        <v>67</v>
      </c>
      <c r="S954">
        <v>2</v>
      </c>
      <c r="T954" s="14">
        <v>38.700000000000003</v>
      </c>
      <c r="U954" s="7">
        <v>12</v>
      </c>
      <c r="V954" s="7">
        <v>22</v>
      </c>
      <c r="W954" s="14">
        <v>72.7</v>
      </c>
      <c r="X954" s="14">
        <v>129</v>
      </c>
      <c r="Y954" s="16">
        <v>10</v>
      </c>
      <c r="Z954" s="12">
        <v>232.2</v>
      </c>
      <c r="AA954" s="5">
        <v>86.8</v>
      </c>
      <c r="AB954" s="18">
        <v>37.380000000000003</v>
      </c>
      <c r="AC954" t="s">
        <v>111</v>
      </c>
      <c r="AD954" t="s">
        <v>158</v>
      </c>
      <c r="AE954" t="s">
        <v>68</v>
      </c>
      <c r="AF954" t="s">
        <v>2124</v>
      </c>
      <c r="AG954" t="s">
        <v>53</v>
      </c>
    </row>
    <row r="955" spans="1:33">
      <c r="A955" t="s">
        <v>2070</v>
      </c>
      <c r="B955" s="10">
        <v>45743</v>
      </c>
      <c r="C955" s="3" t="s">
        <v>310</v>
      </c>
      <c r="D955" t="s">
        <v>56</v>
      </c>
      <c r="E955" t="s">
        <v>108</v>
      </c>
      <c r="F955" t="s">
        <v>91</v>
      </c>
      <c r="G955" t="s">
        <v>38</v>
      </c>
      <c r="H955" t="s">
        <v>58</v>
      </c>
      <c r="I955" t="s">
        <v>59</v>
      </c>
      <c r="J955" t="s">
        <v>60</v>
      </c>
      <c r="K955" t="s">
        <v>61</v>
      </c>
      <c r="L955" t="s">
        <v>2071</v>
      </c>
      <c r="M955" t="s">
        <v>80</v>
      </c>
      <c r="N955" t="s">
        <v>81</v>
      </c>
      <c r="O955" t="s">
        <v>46</v>
      </c>
      <c r="P955" t="s">
        <v>47</v>
      </c>
      <c r="Q955" t="s">
        <v>48</v>
      </c>
      <c r="R955" t="s">
        <v>67</v>
      </c>
      <c r="S955">
        <v>1</v>
      </c>
      <c r="T955" s="14">
        <v>77.7</v>
      </c>
      <c r="U955" s="7">
        <v>12</v>
      </c>
      <c r="V955" s="7">
        <v>22</v>
      </c>
      <c r="W955" s="14">
        <v>111.7</v>
      </c>
      <c r="X955" s="14">
        <v>259</v>
      </c>
      <c r="Y955" s="16">
        <v>0</v>
      </c>
      <c r="Z955" s="12">
        <v>259</v>
      </c>
      <c r="AA955" s="5">
        <v>147.30000000000001</v>
      </c>
      <c r="AB955" s="18">
        <v>56.87</v>
      </c>
      <c r="AC955" t="s">
        <v>50</v>
      </c>
      <c r="AD955" t="s">
        <v>158</v>
      </c>
      <c r="AE955" t="s">
        <v>126</v>
      </c>
      <c r="AF955">
        <v>5</v>
      </c>
      <c r="AG955" t="s">
        <v>53</v>
      </c>
    </row>
    <row r="956" spans="1:33">
      <c r="A956" t="s">
        <v>2072</v>
      </c>
      <c r="B956" s="10">
        <v>45805</v>
      </c>
      <c r="C956" s="3" t="s">
        <v>194</v>
      </c>
      <c r="D956" t="s">
        <v>129</v>
      </c>
      <c r="E956" t="s">
        <v>130</v>
      </c>
      <c r="F956" t="s">
        <v>131</v>
      </c>
      <c r="G956" t="s">
        <v>132</v>
      </c>
      <c r="H956" t="s">
        <v>115</v>
      </c>
      <c r="I956" t="s">
        <v>116</v>
      </c>
      <c r="J956" t="s">
        <v>117</v>
      </c>
      <c r="K956" t="s">
        <v>61</v>
      </c>
      <c r="L956" t="s">
        <v>2073</v>
      </c>
      <c r="M956" t="s">
        <v>80</v>
      </c>
      <c r="N956" t="s">
        <v>110</v>
      </c>
      <c r="O956" t="s">
        <v>94</v>
      </c>
      <c r="P956" t="s">
        <v>95</v>
      </c>
      <c r="Q956" t="s">
        <v>66</v>
      </c>
      <c r="R956" t="s">
        <v>49</v>
      </c>
      <c r="S956">
        <v>1</v>
      </c>
      <c r="T956" s="14">
        <v>91.98</v>
      </c>
      <c r="U956" s="7">
        <v>12</v>
      </c>
      <c r="V956" s="7">
        <v>22</v>
      </c>
      <c r="W956" s="14">
        <v>125.98</v>
      </c>
      <c r="X956" s="14">
        <v>306.60000000000002</v>
      </c>
      <c r="Y956" s="16">
        <v>10</v>
      </c>
      <c r="Z956" s="12">
        <v>275.94</v>
      </c>
      <c r="AA956" s="5">
        <v>149.96</v>
      </c>
      <c r="AB956" s="18">
        <v>54.35</v>
      </c>
      <c r="AC956" t="s">
        <v>50</v>
      </c>
      <c r="AD956" t="s">
        <v>158</v>
      </c>
      <c r="AE956" t="s">
        <v>68</v>
      </c>
      <c r="AF956">
        <v>5</v>
      </c>
      <c r="AG956" t="s">
        <v>53</v>
      </c>
    </row>
    <row r="957" spans="1:33">
      <c r="A957" t="s">
        <v>2074</v>
      </c>
      <c r="B957" s="10">
        <v>45840</v>
      </c>
      <c r="C957" s="3" t="s">
        <v>199</v>
      </c>
      <c r="D957" t="s">
        <v>129</v>
      </c>
      <c r="E957" t="s">
        <v>114</v>
      </c>
      <c r="F957" t="s">
        <v>73</v>
      </c>
      <c r="G957" t="s">
        <v>74</v>
      </c>
      <c r="H957" t="s">
        <v>133</v>
      </c>
      <c r="I957" t="s">
        <v>134</v>
      </c>
      <c r="J957" t="s">
        <v>135</v>
      </c>
      <c r="K957" t="s">
        <v>42</v>
      </c>
      <c r="L957" t="s">
        <v>2075</v>
      </c>
      <c r="M957" t="s">
        <v>44</v>
      </c>
      <c r="N957" t="s">
        <v>110</v>
      </c>
      <c r="O957" t="s">
        <v>275</v>
      </c>
      <c r="P957" t="s">
        <v>276</v>
      </c>
      <c r="Q957" t="s">
        <v>125</v>
      </c>
      <c r="R957" t="s">
        <v>67</v>
      </c>
      <c r="S957">
        <v>3</v>
      </c>
      <c r="T957" s="14">
        <v>68.7</v>
      </c>
      <c r="U957" s="7">
        <v>12</v>
      </c>
      <c r="V957" s="7">
        <v>22</v>
      </c>
      <c r="W957" s="14">
        <v>102.7</v>
      </c>
      <c r="X957" s="14">
        <v>229</v>
      </c>
      <c r="Y957" s="16">
        <v>0</v>
      </c>
      <c r="Z957" s="12">
        <v>687</v>
      </c>
      <c r="AA957" s="5">
        <v>378.9</v>
      </c>
      <c r="AB957" s="18">
        <v>55.15</v>
      </c>
      <c r="AC957" t="s">
        <v>111</v>
      </c>
      <c r="AD957" t="s">
        <v>158</v>
      </c>
      <c r="AE957" t="s">
        <v>52</v>
      </c>
      <c r="AF957">
        <v>5</v>
      </c>
      <c r="AG957" t="s">
        <v>53</v>
      </c>
    </row>
    <row r="958" spans="1:33">
      <c r="A958" t="s">
        <v>2076</v>
      </c>
      <c r="B958" s="10">
        <v>45795</v>
      </c>
      <c r="C958" s="3" t="s">
        <v>194</v>
      </c>
      <c r="D958" t="s">
        <v>89</v>
      </c>
      <c r="E958" t="s">
        <v>130</v>
      </c>
      <c r="F958" t="s">
        <v>131</v>
      </c>
      <c r="G958" t="s">
        <v>132</v>
      </c>
      <c r="H958" t="s">
        <v>75</v>
      </c>
      <c r="I958" t="s">
        <v>76</v>
      </c>
      <c r="J958" t="s">
        <v>77</v>
      </c>
      <c r="K958" t="s">
        <v>78</v>
      </c>
      <c r="L958" t="s">
        <v>2077</v>
      </c>
      <c r="M958" t="s">
        <v>80</v>
      </c>
      <c r="N958" t="s">
        <v>81</v>
      </c>
      <c r="O958" t="s">
        <v>213</v>
      </c>
      <c r="P958" t="s">
        <v>214</v>
      </c>
      <c r="Q958" t="s">
        <v>215</v>
      </c>
      <c r="R958" t="s">
        <v>67</v>
      </c>
      <c r="S958">
        <v>2</v>
      </c>
      <c r="T958" s="14">
        <v>89.7</v>
      </c>
      <c r="U958" s="7">
        <v>12</v>
      </c>
      <c r="V958" s="7">
        <v>22</v>
      </c>
      <c r="W958" s="14">
        <v>123.7</v>
      </c>
      <c r="X958" s="14">
        <v>299</v>
      </c>
      <c r="Y958" s="16">
        <v>15</v>
      </c>
      <c r="Z958" s="12">
        <v>508.3</v>
      </c>
      <c r="AA958" s="5">
        <v>260.89999999999998</v>
      </c>
      <c r="AB958" s="18">
        <v>51.33</v>
      </c>
      <c r="AC958" t="s">
        <v>104</v>
      </c>
      <c r="AD958" t="s">
        <v>51</v>
      </c>
      <c r="AE958" t="s">
        <v>105</v>
      </c>
      <c r="AF958">
        <v>5</v>
      </c>
      <c r="AG958" t="s">
        <v>53</v>
      </c>
    </row>
    <row r="959" spans="1:33">
      <c r="A959" t="s">
        <v>2078</v>
      </c>
      <c r="B959" s="10">
        <v>45742</v>
      </c>
      <c r="C959" s="3" t="s">
        <v>390</v>
      </c>
      <c r="D959" t="s">
        <v>129</v>
      </c>
      <c r="E959" t="s">
        <v>108</v>
      </c>
      <c r="F959" t="s">
        <v>91</v>
      </c>
      <c r="G959" t="s">
        <v>38</v>
      </c>
      <c r="H959" t="s">
        <v>142</v>
      </c>
      <c r="I959" t="s">
        <v>143</v>
      </c>
      <c r="J959" t="s">
        <v>144</v>
      </c>
      <c r="K959" t="s">
        <v>145</v>
      </c>
      <c r="L959" t="s">
        <v>2079</v>
      </c>
      <c r="M959" t="s">
        <v>63</v>
      </c>
      <c r="N959" t="s">
        <v>45</v>
      </c>
      <c r="O959" t="s">
        <v>46</v>
      </c>
      <c r="P959" t="s">
        <v>47</v>
      </c>
      <c r="Q959" t="s">
        <v>48</v>
      </c>
      <c r="R959" t="s">
        <v>84</v>
      </c>
      <c r="S959">
        <v>2</v>
      </c>
      <c r="T959" s="14">
        <v>93.24</v>
      </c>
      <c r="U959" s="7">
        <v>12</v>
      </c>
      <c r="V959" s="7">
        <v>22</v>
      </c>
      <c r="W959" s="14">
        <v>127.24</v>
      </c>
      <c r="X959" s="14">
        <v>310.8</v>
      </c>
      <c r="Y959" s="16">
        <v>0</v>
      </c>
      <c r="Z959" s="12">
        <v>621.6</v>
      </c>
      <c r="AA959" s="5">
        <v>367.12</v>
      </c>
      <c r="AB959" s="18">
        <v>59.06</v>
      </c>
      <c r="AC959" t="s">
        <v>111</v>
      </c>
      <c r="AD959" t="s">
        <v>158</v>
      </c>
      <c r="AE959" t="s">
        <v>105</v>
      </c>
      <c r="AF959">
        <v>5</v>
      </c>
      <c r="AG959" t="s">
        <v>53</v>
      </c>
    </row>
    <row r="960" spans="1:33">
      <c r="A960" t="s">
        <v>2080</v>
      </c>
      <c r="B960" s="10">
        <v>45718</v>
      </c>
      <c r="C960" s="3" t="s">
        <v>55</v>
      </c>
      <c r="D960" t="s">
        <v>89</v>
      </c>
      <c r="E960" t="s">
        <v>108</v>
      </c>
      <c r="F960" t="s">
        <v>91</v>
      </c>
      <c r="G960" t="s">
        <v>38</v>
      </c>
      <c r="H960" t="s">
        <v>58</v>
      </c>
      <c r="I960" t="s">
        <v>59</v>
      </c>
      <c r="J960" t="s">
        <v>60</v>
      </c>
      <c r="K960" t="s">
        <v>61</v>
      </c>
      <c r="L960" t="s">
        <v>2081</v>
      </c>
      <c r="M960" t="s">
        <v>80</v>
      </c>
      <c r="N960" t="s">
        <v>81</v>
      </c>
      <c r="O960" t="s">
        <v>176</v>
      </c>
      <c r="P960" t="s">
        <v>177</v>
      </c>
      <c r="Q960" t="s">
        <v>66</v>
      </c>
      <c r="R960" t="s">
        <v>49</v>
      </c>
      <c r="S960">
        <v>2</v>
      </c>
      <c r="T960" s="14">
        <v>70.98</v>
      </c>
      <c r="U960" s="7">
        <v>12</v>
      </c>
      <c r="V960" s="7">
        <v>22</v>
      </c>
      <c r="W960" s="14">
        <v>104.98</v>
      </c>
      <c r="X960" s="14">
        <v>236.6</v>
      </c>
      <c r="Y960" s="16">
        <v>10</v>
      </c>
      <c r="Z960" s="12">
        <v>425.88</v>
      </c>
      <c r="AA960" s="5">
        <v>215.92</v>
      </c>
      <c r="AB960" s="18">
        <v>50.7</v>
      </c>
      <c r="AC960" t="s">
        <v>85</v>
      </c>
      <c r="AD960" t="s">
        <v>51</v>
      </c>
      <c r="AE960" t="s">
        <v>96</v>
      </c>
      <c r="AF960">
        <v>4</v>
      </c>
      <c r="AG960" t="s">
        <v>53</v>
      </c>
    </row>
    <row r="961" spans="1:33">
      <c r="A961" t="s">
        <v>2082</v>
      </c>
      <c r="B961" s="10">
        <v>45849</v>
      </c>
      <c r="C961" s="3" t="s">
        <v>141</v>
      </c>
      <c r="D961" t="s">
        <v>35</v>
      </c>
      <c r="E961" t="s">
        <v>114</v>
      </c>
      <c r="F961" t="s">
        <v>73</v>
      </c>
      <c r="G961" t="s">
        <v>74</v>
      </c>
      <c r="H961" t="s">
        <v>75</v>
      </c>
      <c r="I961" t="s">
        <v>76</v>
      </c>
      <c r="J961" t="s">
        <v>77</v>
      </c>
      <c r="K961" t="s">
        <v>78</v>
      </c>
      <c r="L961" t="s">
        <v>2083</v>
      </c>
      <c r="M961" t="s">
        <v>63</v>
      </c>
      <c r="N961" t="s">
        <v>110</v>
      </c>
      <c r="O961" t="s">
        <v>137</v>
      </c>
      <c r="P961" t="s">
        <v>138</v>
      </c>
      <c r="Q961" t="s">
        <v>139</v>
      </c>
      <c r="R961" t="s">
        <v>84</v>
      </c>
      <c r="S961">
        <v>2</v>
      </c>
      <c r="T961" s="14">
        <v>71.64</v>
      </c>
      <c r="U961" s="7">
        <v>12</v>
      </c>
      <c r="V961" s="7">
        <v>22</v>
      </c>
      <c r="W961" s="14">
        <v>105.64</v>
      </c>
      <c r="X961" s="14">
        <v>238.8</v>
      </c>
      <c r="Y961" s="16">
        <v>0</v>
      </c>
      <c r="Z961" s="12">
        <v>477.6</v>
      </c>
      <c r="AA961" s="5">
        <v>266.32</v>
      </c>
      <c r="AB961" s="18">
        <v>55.76</v>
      </c>
      <c r="AC961" t="s">
        <v>111</v>
      </c>
      <c r="AD961" t="s">
        <v>51</v>
      </c>
      <c r="AE961" t="s">
        <v>96</v>
      </c>
      <c r="AF961">
        <v>5</v>
      </c>
      <c r="AG961" t="s">
        <v>53</v>
      </c>
    </row>
    <row r="962" spans="1:33">
      <c r="A962" t="s">
        <v>2084</v>
      </c>
      <c r="B962" s="10">
        <v>45673</v>
      </c>
      <c r="C962" s="3" t="s">
        <v>141</v>
      </c>
      <c r="D962" t="s">
        <v>56</v>
      </c>
      <c r="E962" t="s">
        <v>152</v>
      </c>
      <c r="F962" t="s">
        <v>91</v>
      </c>
      <c r="G962" t="s">
        <v>92</v>
      </c>
      <c r="H962" t="s">
        <v>115</v>
      </c>
      <c r="I962" t="s">
        <v>116</v>
      </c>
      <c r="J962" t="s">
        <v>117</v>
      </c>
      <c r="K962" t="s">
        <v>61</v>
      </c>
      <c r="L962" t="s">
        <v>2085</v>
      </c>
      <c r="M962" t="s">
        <v>44</v>
      </c>
      <c r="N962" t="s">
        <v>45</v>
      </c>
      <c r="O962" t="s">
        <v>94</v>
      </c>
      <c r="P962" t="s">
        <v>95</v>
      </c>
      <c r="Q962" t="s">
        <v>66</v>
      </c>
      <c r="R962" t="s">
        <v>84</v>
      </c>
      <c r="S962">
        <v>3</v>
      </c>
      <c r="T962" s="14">
        <v>78.84</v>
      </c>
      <c r="U962" s="7">
        <v>12</v>
      </c>
      <c r="V962" s="7">
        <v>22</v>
      </c>
      <c r="W962" s="14">
        <v>112.84</v>
      </c>
      <c r="X962" s="14">
        <v>262.8</v>
      </c>
      <c r="Y962" s="16">
        <v>10</v>
      </c>
      <c r="Z962" s="12">
        <v>709.56</v>
      </c>
      <c r="AA962" s="5">
        <v>371.04</v>
      </c>
      <c r="AB962" s="18">
        <v>52.29</v>
      </c>
      <c r="AC962" t="s">
        <v>111</v>
      </c>
      <c r="AD962" t="s">
        <v>86</v>
      </c>
      <c r="AE962" t="s">
        <v>68</v>
      </c>
      <c r="AF962">
        <v>5</v>
      </c>
      <c r="AG962" t="s">
        <v>53</v>
      </c>
    </row>
    <row r="963" spans="1:33">
      <c r="A963" t="s">
        <v>2086</v>
      </c>
      <c r="B963" s="10">
        <v>45943</v>
      </c>
      <c r="C963" s="3" t="s">
        <v>88</v>
      </c>
      <c r="D963" t="s">
        <v>206</v>
      </c>
      <c r="E963" t="s">
        <v>36</v>
      </c>
      <c r="F963" t="s">
        <v>37</v>
      </c>
      <c r="G963" t="s">
        <v>38</v>
      </c>
      <c r="H963" t="s">
        <v>142</v>
      </c>
      <c r="I963" t="s">
        <v>143</v>
      </c>
      <c r="J963" t="s">
        <v>144</v>
      </c>
      <c r="K963" t="s">
        <v>145</v>
      </c>
      <c r="L963" t="s">
        <v>2087</v>
      </c>
      <c r="M963" t="s">
        <v>63</v>
      </c>
      <c r="N963" t="s">
        <v>81</v>
      </c>
      <c r="O963" t="s">
        <v>94</v>
      </c>
      <c r="P963" t="s">
        <v>95</v>
      </c>
      <c r="Q963" t="s">
        <v>66</v>
      </c>
      <c r="R963" t="s">
        <v>49</v>
      </c>
      <c r="S963">
        <v>3</v>
      </c>
      <c r="T963" s="14">
        <v>91.98</v>
      </c>
      <c r="U963" s="7">
        <v>12</v>
      </c>
      <c r="V963" s="7">
        <v>22</v>
      </c>
      <c r="W963" s="14">
        <v>125.98</v>
      </c>
      <c r="X963" s="14">
        <v>306.60000000000002</v>
      </c>
      <c r="Y963" s="16">
        <v>5</v>
      </c>
      <c r="Z963" s="12">
        <v>873.81</v>
      </c>
      <c r="AA963" s="5">
        <v>495.87</v>
      </c>
      <c r="AB963" s="18">
        <v>56.75</v>
      </c>
      <c r="AC963" t="s">
        <v>104</v>
      </c>
      <c r="AD963" t="s">
        <v>51</v>
      </c>
      <c r="AE963" t="s">
        <v>96</v>
      </c>
      <c r="AF963">
        <v>5</v>
      </c>
      <c r="AG963" t="s">
        <v>53</v>
      </c>
    </row>
    <row r="964" spans="1:33">
      <c r="A964" t="s">
        <v>2088</v>
      </c>
      <c r="B964" s="10">
        <v>45900</v>
      </c>
      <c r="C964" s="3" t="s">
        <v>113</v>
      </c>
      <c r="D964" t="s">
        <v>89</v>
      </c>
      <c r="E964" t="s">
        <v>99</v>
      </c>
      <c r="F964" t="s">
        <v>73</v>
      </c>
      <c r="G964" t="s">
        <v>74</v>
      </c>
      <c r="H964" t="s">
        <v>39</v>
      </c>
      <c r="I964" t="s">
        <v>2143</v>
      </c>
      <c r="J964" t="s">
        <v>41</v>
      </c>
      <c r="K964" t="s">
        <v>42</v>
      </c>
      <c r="L964" t="s">
        <v>2089</v>
      </c>
      <c r="M964" t="s">
        <v>44</v>
      </c>
      <c r="N964" t="s">
        <v>45</v>
      </c>
      <c r="O964" t="s">
        <v>452</v>
      </c>
      <c r="P964" t="s">
        <v>453</v>
      </c>
      <c r="Q964" t="s">
        <v>215</v>
      </c>
      <c r="R964" t="s">
        <v>67</v>
      </c>
      <c r="S964">
        <v>2</v>
      </c>
      <c r="T964" s="14">
        <v>98.7</v>
      </c>
      <c r="U964" s="7">
        <v>12</v>
      </c>
      <c r="V964" s="7">
        <v>22</v>
      </c>
      <c r="W964" s="14">
        <v>132.69999999999999</v>
      </c>
      <c r="X964" s="14">
        <v>329</v>
      </c>
      <c r="Y964" s="16">
        <v>10</v>
      </c>
      <c r="Z964" s="12">
        <v>592.20000000000005</v>
      </c>
      <c r="AA964" s="5">
        <v>326.8</v>
      </c>
      <c r="AB964" s="18">
        <v>55.18</v>
      </c>
      <c r="AC964" t="s">
        <v>85</v>
      </c>
      <c r="AD964" t="s">
        <v>86</v>
      </c>
      <c r="AE964" t="s">
        <v>126</v>
      </c>
      <c r="AF964">
        <v>5</v>
      </c>
      <c r="AG964" t="s">
        <v>53</v>
      </c>
    </row>
    <row r="965" spans="1:33">
      <c r="A965" t="s">
        <v>2090</v>
      </c>
      <c r="B965" s="10">
        <v>45818</v>
      </c>
      <c r="C965" s="3" t="s">
        <v>310</v>
      </c>
      <c r="D965" t="s">
        <v>156</v>
      </c>
      <c r="E965" t="s">
        <v>174</v>
      </c>
      <c r="F965" t="s">
        <v>131</v>
      </c>
      <c r="G965" t="s">
        <v>132</v>
      </c>
      <c r="H965" t="s">
        <v>58</v>
      </c>
      <c r="I965" t="s">
        <v>59</v>
      </c>
      <c r="J965" t="s">
        <v>60</v>
      </c>
      <c r="K965" t="s">
        <v>61</v>
      </c>
      <c r="L965" t="s">
        <v>2091</v>
      </c>
      <c r="M965" t="s">
        <v>44</v>
      </c>
      <c r="N965" t="s">
        <v>81</v>
      </c>
      <c r="O965" t="s">
        <v>275</v>
      </c>
      <c r="P965" t="s">
        <v>276</v>
      </c>
      <c r="Q965" t="s">
        <v>125</v>
      </c>
      <c r="R965" t="s">
        <v>49</v>
      </c>
      <c r="S965">
        <v>2</v>
      </c>
      <c r="T965" s="14">
        <v>96.18</v>
      </c>
      <c r="U965" s="7">
        <v>12</v>
      </c>
      <c r="V965" s="7">
        <v>22</v>
      </c>
      <c r="W965" s="14">
        <v>130.18</v>
      </c>
      <c r="X965" s="14">
        <v>320.60000000000002</v>
      </c>
      <c r="Y965" s="16">
        <v>0</v>
      </c>
      <c r="Z965" s="12">
        <v>641.20000000000005</v>
      </c>
      <c r="AA965" s="5">
        <v>380.84</v>
      </c>
      <c r="AB965" s="18">
        <v>59.39</v>
      </c>
      <c r="AC965" t="s">
        <v>85</v>
      </c>
      <c r="AD965" t="s">
        <v>51</v>
      </c>
      <c r="AE965" t="s">
        <v>96</v>
      </c>
      <c r="AF965">
        <v>5</v>
      </c>
      <c r="AG965" t="s">
        <v>53</v>
      </c>
    </row>
    <row r="966" spans="1:33">
      <c r="A966" t="s">
        <v>2092</v>
      </c>
      <c r="B966" s="10">
        <v>45687</v>
      </c>
      <c r="C966" s="3" t="s">
        <v>148</v>
      </c>
      <c r="D966" t="s">
        <v>56</v>
      </c>
      <c r="E966" t="s">
        <v>152</v>
      </c>
      <c r="F966" t="s">
        <v>91</v>
      </c>
      <c r="G966" t="s">
        <v>92</v>
      </c>
      <c r="H966" t="s">
        <v>142</v>
      </c>
      <c r="I966" t="s">
        <v>143</v>
      </c>
      <c r="J966" t="s">
        <v>144</v>
      </c>
      <c r="K966" t="s">
        <v>145</v>
      </c>
      <c r="L966" t="s">
        <v>2093</v>
      </c>
      <c r="M966" t="s">
        <v>44</v>
      </c>
      <c r="N966" t="s">
        <v>45</v>
      </c>
      <c r="O966" t="s">
        <v>176</v>
      </c>
      <c r="P966" t="s">
        <v>177</v>
      </c>
      <c r="Q966" t="s">
        <v>66</v>
      </c>
      <c r="R966" t="s">
        <v>67</v>
      </c>
      <c r="S966">
        <v>1</v>
      </c>
      <c r="T966" s="14">
        <v>50.7</v>
      </c>
      <c r="U966" s="7">
        <v>12</v>
      </c>
      <c r="V966" s="7">
        <v>22</v>
      </c>
      <c r="W966" s="14">
        <v>84.7</v>
      </c>
      <c r="X966" s="14">
        <v>169</v>
      </c>
      <c r="Y966" s="16">
        <v>5</v>
      </c>
      <c r="Z966" s="12">
        <v>160.55000000000001</v>
      </c>
      <c r="AA966" s="5">
        <v>75.849999999999994</v>
      </c>
      <c r="AB966" s="18">
        <v>47.24</v>
      </c>
      <c r="AC966" t="s">
        <v>111</v>
      </c>
      <c r="AD966" t="s">
        <v>86</v>
      </c>
      <c r="AE966" t="s">
        <v>96</v>
      </c>
      <c r="AF966">
        <v>4</v>
      </c>
      <c r="AG966" t="s">
        <v>53</v>
      </c>
    </row>
    <row r="967" spans="1:33">
      <c r="A967" t="s">
        <v>2094</v>
      </c>
      <c r="B967" s="10">
        <v>46007</v>
      </c>
      <c r="C967" s="3" t="s">
        <v>88</v>
      </c>
      <c r="D967" t="s">
        <v>156</v>
      </c>
      <c r="E967" t="s">
        <v>149</v>
      </c>
      <c r="F967" t="s">
        <v>37</v>
      </c>
      <c r="G967" t="s">
        <v>92</v>
      </c>
      <c r="H967" t="s">
        <v>115</v>
      </c>
      <c r="I967" t="s">
        <v>116</v>
      </c>
      <c r="J967" t="s">
        <v>117</v>
      </c>
      <c r="K967" t="s">
        <v>61</v>
      </c>
      <c r="L967" t="s">
        <v>2095</v>
      </c>
      <c r="M967" t="s">
        <v>44</v>
      </c>
      <c r="N967" t="s">
        <v>81</v>
      </c>
      <c r="O967" t="s">
        <v>82</v>
      </c>
      <c r="P967" t="s">
        <v>83</v>
      </c>
      <c r="Q967" t="s">
        <v>66</v>
      </c>
      <c r="R967" t="s">
        <v>49</v>
      </c>
      <c r="S967">
        <v>2</v>
      </c>
      <c r="T967" s="14">
        <v>100.38</v>
      </c>
      <c r="U967" s="7">
        <v>12</v>
      </c>
      <c r="V967" s="7">
        <v>22</v>
      </c>
      <c r="W967" s="14">
        <v>134.38</v>
      </c>
      <c r="X967" s="14">
        <v>334.6</v>
      </c>
      <c r="Y967" s="16">
        <v>5</v>
      </c>
      <c r="Z967" s="12">
        <v>635.74</v>
      </c>
      <c r="AA967" s="5">
        <v>366.98</v>
      </c>
      <c r="AB967" s="18">
        <v>57.72</v>
      </c>
      <c r="AC967" t="s">
        <v>50</v>
      </c>
      <c r="AD967" t="s">
        <v>51</v>
      </c>
      <c r="AE967" t="s">
        <v>68</v>
      </c>
      <c r="AF967">
        <v>4</v>
      </c>
      <c r="AG967" t="s">
        <v>53</v>
      </c>
    </row>
    <row r="968" spans="1:33">
      <c r="A968" t="s">
        <v>2096</v>
      </c>
      <c r="B968" s="10">
        <v>45687</v>
      </c>
      <c r="C968" s="3" t="s">
        <v>199</v>
      </c>
      <c r="D968" t="s">
        <v>56</v>
      </c>
      <c r="E968" t="s">
        <v>152</v>
      </c>
      <c r="F968" t="s">
        <v>91</v>
      </c>
      <c r="G968" t="s">
        <v>92</v>
      </c>
      <c r="H968" t="s">
        <v>115</v>
      </c>
      <c r="I968" t="s">
        <v>116</v>
      </c>
      <c r="J968" t="s">
        <v>117</v>
      </c>
      <c r="K968" t="s">
        <v>61</v>
      </c>
      <c r="L968" t="s">
        <v>2097</v>
      </c>
      <c r="M968" t="s">
        <v>63</v>
      </c>
      <c r="N968" t="s">
        <v>81</v>
      </c>
      <c r="O968" t="s">
        <v>46</v>
      </c>
      <c r="P968" t="s">
        <v>47</v>
      </c>
      <c r="Q968" t="s">
        <v>48</v>
      </c>
      <c r="R968" t="s">
        <v>67</v>
      </c>
      <c r="S968">
        <v>1</v>
      </c>
      <c r="T968" s="14">
        <v>77.7</v>
      </c>
      <c r="U968" s="7">
        <v>12</v>
      </c>
      <c r="V968" s="7">
        <v>22</v>
      </c>
      <c r="W968" s="14">
        <v>111.7</v>
      </c>
      <c r="X968" s="14">
        <v>259</v>
      </c>
      <c r="Y968" s="16">
        <v>0</v>
      </c>
      <c r="Z968" s="12">
        <v>259</v>
      </c>
      <c r="AA968" s="5">
        <v>147.30000000000001</v>
      </c>
      <c r="AB968" s="18">
        <v>56.87</v>
      </c>
      <c r="AC968" t="s">
        <v>104</v>
      </c>
      <c r="AD968" t="s">
        <v>158</v>
      </c>
      <c r="AE968" t="s">
        <v>96</v>
      </c>
      <c r="AF968">
        <v>4</v>
      </c>
      <c r="AG968" t="s">
        <v>53</v>
      </c>
    </row>
    <row r="969" spans="1:33">
      <c r="A969" t="s">
        <v>2098</v>
      </c>
      <c r="B969" s="10">
        <v>45874</v>
      </c>
      <c r="C969" s="3" t="s">
        <v>171</v>
      </c>
      <c r="D969" t="s">
        <v>156</v>
      </c>
      <c r="E969" t="s">
        <v>99</v>
      </c>
      <c r="F969" t="s">
        <v>73</v>
      </c>
      <c r="G969" t="s">
        <v>74</v>
      </c>
      <c r="H969" t="s">
        <v>115</v>
      </c>
      <c r="I969" t="s">
        <v>116</v>
      </c>
      <c r="J969" t="s">
        <v>117</v>
      </c>
      <c r="K969" t="s">
        <v>61</v>
      </c>
      <c r="L969" t="s">
        <v>2099</v>
      </c>
      <c r="M969" t="s">
        <v>80</v>
      </c>
      <c r="N969" t="s">
        <v>110</v>
      </c>
      <c r="O969" t="s">
        <v>82</v>
      </c>
      <c r="P969" t="s">
        <v>83</v>
      </c>
      <c r="Q969" t="s">
        <v>66</v>
      </c>
      <c r="R969" t="s">
        <v>49</v>
      </c>
      <c r="S969">
        <v>2</v>
      </c>
      <c r="T969" s="14">
        <v>100.38</v>
      </c>
      <c r="U969" s="7">
        <v>12</v>
      </c>
      <c r="V969" s="7">
        <v>22</v>
      </c>
      <c r="W969" s="14">
        <v>134.38</v>
      </c>
      <c r="X969" s="14">
        <v>334.6</v>
      </c>
      <c r="Y969" s="16">
        <v>5</v>
      </c>
      <c r="Z969" s="12">
        <v>635.74</v>
      </c>
      <c r="AA969" s="5">
        <v>366.98</v>
      </c>
      <c r="AB969" s="18">
        <v>57.72</v>
      </c>
      <c r="AC969" t="s">
        <v>50</v>
      </c>
      <c r="AD969" t="s">
        <v>86</v>
      </c>
      <c r="AE969" t="s">
        <v>96</v>
      </c>
      <c r="AF969">
        <v>5</v>
      </c>
      <c r="AG969" t="s">
        <v>53</v>
      </c>
    </row>
    <row r="970" spans="1:33">
      <c r="A970" t="s">
        <v>2100</v>
      </c>
      <c r="B970" s="10">
        <v>45905</v>
      </c>
      <c r="C970" s="3" t="s">
        <v>55</v>
      </c>
      <c r="D970" t="s">
        <v>35</v>
      </c>
      <c r="E970" t="s">
        <v>72</v>
      </c>
      <c r="F970" t="s">
        <v>73</v>
      </c>
      <c r="G970" t="s">
        <v>74</v>
      </c>
      <c r="H970" t="s">
        <v>133</v>
      </c>
      <c r="I970" t="s">
        <v>134</v>
      </c>
      <c r="J970" t="s">
        <v>135</v>
      </c>
      <c r="K970" t="s">
        <v>42</v>
      </c>
      <c r="L970" t="s">
        <v>2101</v>
      </c>
      <c r="M970" t="s">
        <v>44</v>
      </c>
      <c r="N970" t="s">
        <v>45</v>
      </c>
      <c r="O970" t="s">
        <v>82</v>
      </c>
      <c r="P970" t="s">
        <v>83</v>
      </c>
      <c r="Q970" t="s">
        <v>66</v>
      </c>
      <c r="R970" t="s">
        <v>84</v>
      </c>
      <c r="S970">
        <v>1</v>
      </c>
      <c r="T970" s="14">
        <v>86.04</v>
      </c>
      <c r="U970" s="7">
        <v>12</v>
      </c>
      <c r="V970" s="7">
        <v>22</v>
      </c>
      <c r="W970" s="14">
        <v>120.04</v>
      </c>
      <c r="X970" s="14">
        <v>286.8</v>
      </c>
      <c r="Y970" s="16">
        <v>10</v>
      </c>
      <c r="Z970" s="12">
        <v>258.12</v>
      </c>
      <c r="AA970" s="5">
        <v>138.08000000000001</v>
      </c>
      <c r="AB970" s="18">
        <v>53.49</v>
      </c>
      <c r="AC970" t="s">
        <v>85</v>
      </c>
      <c r="AD970" t="s">
        <v>158</v>
      </c>
      <c r="AE970" t="s">
        <v>52</v>
      </c>
      <c r="AF970">
        <v>4</v>
      </c>
      <c r="AG970" t="s">
        <v>53</v>
      </c>
    </row>
    <row r="971" spans="1:33">
      <c r="A971" t="s">
        <v>2102</v>
      </c>
      <c r="B971" s="10">
        <v>45919</v>
      </c>
      <c r="C971" s="3" t="s">
        <v>185</v>
      </c>
      <c r="D971" t="s">
        <v>35</v>
      </c>
      <c r="E971" t="s">
        <v>72</v>
      </c>
      <c r="F971" t="s">
        <v>73</v>
      </c>
      <c r="G971" t="s">
        <v>74</v>
      </c>
      <c r="H971" t="s">
        <v>133</v>
      </c>
      <c r="I971" t="s">
        <v>134</v>
      </c>
      <c r="J971" t="s">
        <v>135</v>
      </c>
      <c r="K971" t="s">
        <v>42</v>
      </c>
      <c r="L971" t="s">
        <v>2103</v>
      </c>
      <c r="M971" t="s">
        <v>80</v>
      </c>
      <c r="N971" t="s">
        <v>81</v>
      </c>
      <c r="O971" t="s">
        <v>94</v>
      </c>
      <c r="P971" t="s">
        <v>95</v>
      </c>
      <c r="Q971" t="s">
        <v>66</v>
      </c>
      <c r="R971" t="s">
        <v>49</v>
      </c>
      <c r="S971">
        <v>2</v>
      </c>
      <c r="T971" s="14">
        <v>91.98</v>
      </c>
      <c r="U971" s="7">
        <v>12</v>
      </c>
      <c r="V971" s="7">
        <v>22</v>
      </c>
      <c r="W971" s="14">
        <v>125.98</v>
      </c>
      <c r="X971" s="14">
        <v>306.60000000000002</v>
      </c>
      <c r="Y971" s="16">
        <v>0</v>
      </c>
      <c r="Z971" s="12">
        <v>613.20000000000005</v>
      </c>
      <c r="AA971" s="5">
        <v>361.24</v>
      </c>
      <c r="AB971" s="18">
        <v>58.91</v>
      </c>
      <c r="AC971" t="s">
        <v>50</v>
      </c>
      <c r="AD971" t="s">
        <v>86</v>
      </c>
      <c r="AE971" t="s">
        <v>52</v>
      </c>
      <c r="AF971">
        <v>5</v>
      </c>
      <c r="AG971" t="s">
        <v>53</v>
      </c>
    </row>
    <row r="972" spans="1:33">
      <c r="A972" t="s">
        <v>2104</v>
      </c>
      <c r="B972" s="10">
        <v>45886</v>
      </c>
      <c r="C972" s="3" t="s">
        <v>141</v>
      </c>
      <c r="D972" t="s">
        <v>89</v>
      </c>
      <c r="E972" t="s">
        <v>99</v>
      </c>
      <c r="F972" t="s">
        <v>73</v>
      </c>
      <c r="G972" t="s">
        <v>74</v>
      </c>
      <c r="H972" t="s">
        <v>133</v>
      </c>
      <c r="I972" t="s">
        <v>134</v>
      </c>
      <c r="J972" t="s">
        <v>135</v>
      </c>
      <c r="K972" t="s">
        <v>42</v>
      </c>
      <c r="L972" t="s">
        <v>2105</v>
      </c>
      <c r="M972" t="s">
        <v>63</v>
      </c>
      <c r="N972" t="s">
        <v>45</v>
      </c>
      <c r="O972" t="s">
        <v>213</v>
      </c>
      <c r="P972" t="s">
        <v>214</v>
      </c>
      <c r="Q972" t="s">
        <v>215</v>
      </c>
      <c r="R972" t="s">
        <v>49</v>
      </c>
      <c r="S972">
        <v>2</v>
      </c>
      <c r="T972" s="14">
        <v>125.58</v>
      </c>
      <c r="U972" s="7">
        <v>12</v>
      </c>
      <c r="V972" s="7">
        <v>22</v>
      </c>
      <c r="W972" s="14">
        <v>159.58000000000001</v>
      </c>
      <c r="X972" s="14">
        <v>418.6</v>
      </c>
      <c r="Y972" s="16">
        <v>15</v>
      </c>
      <c r="Z972" s="12">
        <v>711.62</v>
      </c>
      <c r="AA972" s="5">
        <v>392.46</v>
      </c>
      <c r="AB972" s="18">
        <v>55.15</v>
      </c>
      <c r="AC972" t="s">
        <v>50</v>
      </c>
      <c r="AD972" t="s">
        <v>51</v>
      </c>
      <c r="AE972" t="s">
        <v>96</v>
      </c>
      <c r="AF972">
        <v>5</v>
      </c>
      <c r="AG972" t="s">
        <v>53</v>
      </c>
    </row>
    <row r="973" spans="1:33">
      <c r="A973" t="s">
        <v>2106</v>
      </c>
      <c r="B973" s="10">
        <v>45920</v>
      </c>
      <c r="C973" s="3" t="s">
        <v>141</v>
      </c>
      <c r="D973" t="s">
        <v>71</v>
      </c>
      <c r="E973" t="s">
        <v>72</v>
      </c>
      <c r="F973" t="s">
        <v>73</v>
      </c>
      <c r="G973" t="s">
        <v>74</v>
      </c>
      <c r="H973" t="s">
        <v>58</v>
      </c>
      <c r="I973" t="s">
        <v>59</v>
      </c>
      <c r="J973" t="s">
        <v>60</v>
      </c>
      <c r="K973" t="s">
        <v>61</v>
      </c>
      <c r="L973" t="s">
        <v>2107</v>
      </c>
      <c r="M973" t="s">
        <v>80</v>
      </c>
      <c r="N973" t="s">
        <v>81</v>
      </c>
      <c r="O973" t="s">
        <v>82</v>
      </c>
      <c r="P973" t="s">
        <v>83</v>
      </c>
      <c r="Q973" t="s">
        <v>66</v>
      </c>
      <c r="R973" t="s">
        <v>84</v>
      </c>
      <c r="S973">
        <v>4</v>
      </c>
      <c r="T973" s="14">
        <v>86.04</v>
      </c>
      <c r="U973" s="7">
        <v>12</v>
      </c>
      <c r="V973" s="7">
        <v>22</v>
      </c>
      <c r="W973" s="14">
        <v>120.04</v>
      </c>
      <c r="X973" s="14">
        <v>286.8</v>
      </c>
      <c r="Y973" s="16">
        <v>10</v>
      </c>
      <c r="Z973" s="12">
        <v>1032.48</v>
      </c>
      <c r="AA973" s="5">
        <v>552.32000000000005</v>
      </c>
      <c r="AB973" s="18">
        <v>53.49</v>
      </c>
      <c r="AC973" t="s">
        <v>111</v>
      </c>
      <c r="AD973" t="s">
        <v>158</v>
      </c>
      <c r="AE973" t="s">
        <v>68</v>
      </c>
      <c r="AF973">
        <v>3</v>
      </c>
      <c r="AG973" t="s">
        <v>53</v>
      </c>
    </row>
    <row r="974" spans="1:33">
      <c r="A974" t="s">
        <v>2108</v>
      </c>
      <c r="B974" s="10">
        <v>45726</v>
      </c>
      <c r="C974" s="3" t="s">
        <v>219</v>
      </c>
      <c r="D974" t="s">
        <v>206</v>
      </c>
      <c r="E974" t="s">
        <v>108</v>
      </c>
      <c r="F974" t="s">
        <v>91</v>
      </c>
      <c r="G974" t="s">
        <v>38</v>
      </c>
      <c r="H974" t="s">
        <v>115</v>
      </c>
      <c r="I974" t="s">
        <v>116</v>
      </c>
      <c r="J974" t="s">
        <v>117</v>
      </c>
      <c r="K974" t="s">
        <v>61</v>
      </c>
      <c r="L974" t="s">
        <v>2109</v>
      </c>
      <c r="M974" t="s">
        <v>44</v>
      </c>
      <c r="N974" t="s">
        <v>45</v>
      </c>
      <c r="O974" t="s">
        <v>176</v>
      </c>
      <c r="P974" t="s">
        <v>177</v>
      </c>
      <c r="Q974" t="s">
        <v>66</v>
      </c>
      <c r="R974" t="s">
        <v>67</v>
      </c>
      <c r="S974">
        <v>1</v>
      </c>
      <c r="T974" s="14">
        <v>50.7</v>
      </c>
      <c r="U974" s="7">
        <v>12</v>
      </c>
      <c r="V974" s="7">
        <v>22</v>
      </c>
      <c r="W974" s="14">
        <v>84.7</v>
      </c>
      <c r="X974" s="14">
        <v>169</v>
      </c>
      <c r="Y974" s="16">
        <v>0</v>
      </c>
      <c r="Z974" s="12">
        <v>169</v>
      </c>
      <c r="AA974" s="5">
        <v>84.3</v>
      </c>
      <c r="AB974" s="18">
        <v>49.88</v>
      </c>
      <c r="AC974" t="s">
        <v>50</v>
      </c>
      <c r="AD974" t="s">
        <v>51</v>
      </c>
      <c r="AE974" t="s">
        <v>126</v>
      </c>
      <c r="AF974">
        <v>4</v>
      </c>
      <c r="AG974" t="s">
        <v>53</v>
      </c>
    </row>
    <row r="975" spans="1:33">
      <c r="A975" t="s">
        <v>2110</v>
      </c>
      <c r="B975" s="10">
        <v>46020</v>
      </c>
      <c r="C975" s="3" t="s">
        <v>34</v>
      </c>
      <c r="D975" t="s">
        <v>206</v>
      </c>
      <c r="E975" t="s">
        <v>149</v>
      </c>
      <c r="F975" t="s">
        <v>37</v>
      </c>
      <c r="G975" t="s">
        <v>92</v>
      </c>
      <c r="H975" t="s">
        <v>142</v>
      </c>
      <c r="I975" t="s">
        <v>143</v>
      </c>
      <c r="J975" t="s">
        <v>144</v>
      </c>
      <c r="K975" t="s">
        <v>145</v>
      </c>
      <c r="L975" t="s">
        <v>2111</v>
      </c>
      <c r="M975" t="s">
        <v>80</v>
      </c>
      <c r="N975" t="s">
        <v>110</v>
      </c>
      <c r="O975" t="s">
        <v>176</v>
      </c>
      <c r="P975" t="s">
        <v>177</v>
      </c>
      <c r="Q975" t="s">
        <v>66</v>
      </c>
      <c r="R975" t="s">
        <v>84</v>
      </c>
      <c r="S975">
        <v>1</v>
      </c>
      <c r="T975" s="14">
        <v>60.84</v>
      </c>
      <c r="U975" s="7">
        <v>12</v>
      </c>
      <c r="V975" s="7">
        <v>22</v>
      </c>
      <c r="W975" s="14">
        <v>94.84</v>
      </c>
      <c r="X975" s="14">
        <v>202.8</v>
      </c>
      <c r="Y975" s="16">
        <v>10</v>
      </c>
      <c r="Z975" s="12">
        <v>182.52</v>
      </c>
      <c r="AA975" s="5">
        <v>87.68</v>
      </c>
      <c r="AB975" s="18">
        <v>48.04</v>
      </c>
      <c r="AC975" t="s">
        <v>111</v>
      </c>
      <c r="AD975" t="s">
        <v>51</v>
      </c>
      <c r="AE975" t="s">
        <v>126</v>
      </c>
      <c r="AF975">
        <v>5</v>
      </c>
      <c r="AG975" t="s">
        <v>53</v>
      </c>
    </row>
    <row r="976" spans="1:33">
      <c r="A976" t="s">
        <v>2112</v>
      </c>
      <c r="B976" s="10">
        <v>45994</v>
      </c>
      <c r="C976" s="3" t="s">
        <v>113</v>
      </c>
      <c r="D976" t="s">
        <v>129</v>
      </c>
      <c r="E976" t="s">
        <v>149</v>
      </c>
      <c r="F976" t="s">
        <v>37</v>
      </c>
      <c r="G976" t="s">
        <v>92</v>
      </c>
      <c r="H976" t="s">
        <v>58</v>
      </c>
      <c r="I976" t="s">
        <v>59</v>
      </c>
      <c r="J976" t="s">
        <v>60</v>
      </c>
      <c r="K976" t="s">
        <v>61</v>
      </c>
      <c r="L976" t="s">
        <v>2113</v>
      </c>
      <c r="M976" t="s">
        <v>44</v>
      </c>
      <c r="N976" t="s">
        <v>81</v>
      </c>
      <c r="O976" t="s">
        <v>94</v>
      </c>
      <c r="P976" t="s">
        <v>95</v>
      </c>
      <c r="Q976" t="s">
        <v>66</v>
      </c>
      <c r="R976" t="s">
        <v>84</v>
      </c>
      <c r="S976">
        <v>2</v>
      </c>
      <c r="T976" s="14">
        <v>78.84</v>
      </c>
      <c r="U976" s="7">
        <v>12</v>
      </c>
      <c r="V976" s="7">
        <v>22</v>
      </c>
      <c r="W976" s="14">
        <v>112.84</v>
      </c>
      <c r="X976" s="14">
        <v>262.8</v>
      </c>
      <c r="Y976" s="16">
        <v>0</v>
      </c>
      <c r="Z976" s="12">
        <v>525.6</v>
      </c>
      <c r="AA976" s="5">
        <v>299.92</v>
      </c>
      <c r="AB976" s="18">
        <v>57.06</v>
      </c>
      <c r="AC976" t="s">
        <v>50</v>
      </c>
      <c r="AD976" t="s">
        <v>86</v>
      </c>
      <c r="AE976" t="s">
        <v>68</v>
      </c>
      <c r="AF976">
        <v>5</v>
      </c>
      <c r="AG976" t="s">
        <v>53</v>
      </c>
    </row>
    <row r="977" spans="1:33">
      <c r="A977" t="s">
        <v>2114</v>
      </c>
      <c r="B977" s="10">
        <v>45936</v>
      </c>
      <c r="C977" s="3" t="s">
        <v>211</v>
      </c>
      <c r="D977" t="s">
        <v>206</v>
      </c>
      <c r="E977" t="s">
        <v>36</v>
      </c>
      <c r="F977" t="s">
        <v>37</v>
      </c>
      <c r="G977" t="s">
        <v>38</v>
      </c>
      <c r="H977" t="s">
        <v>142</v>
      </c>
      <c r="I977" t="s">
        <v>143</v>
      </c>
      <c r="J977" t="s">
        <v>144</v>
      </c>
      <c r="K977" t="s">
        <v>145</v>
      </c>
      <c r="L977" t="s">
        <v>2115</v>
      </c>
      <c r="M977" t="s">
        <v>80</v>
      </c>
      <c r="N977" t="s">
        <v>110</v>
      </c>
      <c r="O977" t="s">
        <v>176</v>
      </c>
      <c r="P977" t="s">
        <v>177</v>
      </c>
      <c r="Q977" t="s">
        <v>66</v>
      </c>
      <c r="R977" t="s">
        <v>84</v>
      </c>
      <c r="S977">
        <v>2</v>
      </c>
      <c r="T977" s="14">
        <v>60.84</v>
      </c>
      <c r="U977" s="7">
        <v>12</v>
      </c>
      <c r="V977" s="7">
        <v>22</v>
      </c>
      <c r="W977" s="14">
        <v>94.84</v>
      </c>
      <c r="X977" s="14">
        <v>202.8</v>
      </c>
      <c r="Y977" s="16">
        <v>0</v>
      </c>
      <c r="Z977" s="12">
        <v>405.6</v>
      </c>
      <c r="AA977" s="5">
        <v>215.92</v>
      </c>
      <c r="AB977" s="18">
        <v>53.23</v>
      </c>
      <c r="AC977" t="s">
        <v>50</v>
      </c>
      <c r="AD977" t="s">
        <v>51</v>
      </c>
      <c r="AE977" t="s">
        <v>96</v>
      </c>
      <c r="AF977">
        <v>5</v>
      </c>
      <c r="AG977" t="s">
        <v>53</v>
      </c>
    </row>
    <row r="978" spans="1:33">
      <c r="A978" t="s">
        <v>2116</v>
      </c>
      <c r="B978" s="10">
        <v>45863</v>
      </c>
      <c r="C978" s="3" t="s">
        <v>141</v>
      </c>
      <c r="D978" t="s">
        <v>35</v>
      </c>
      <c r="E978" t="s">
        <v>114</v>
      </c>
      <c r="F978" t="s">
        <v>73</v>
      </c>
      <c r="G978" t="s">
        <v>74</v>
      </c>
      <c r="H978" t="s">
        <v>58</v>
      </c>
      <c r="I978" t="s">
        <v>59</v>
      </c>
      <c r="J978" t="s">
        <v>60</v>
      </c>
      <c r="K978" t="s">
        <v>61</v>
      </c>
      <c r="L978" t="s">
        <v>2117</v>
      </c>
      <c r="M978" t="s">
        <v>44</v>
      </c>
      <c r="N978" t="s">
        <v>110</v>
      </c>
      <c r="O978" t="s">
        <v>82</v>
      </c>
      <c r="P978" t="s">
        <v>83</v>
      </c>
      <c r="Q978" t="s">
        <v>66</v>
      </c>
      <c r="R978" t="s">
        <v>84</v>
      </c>
      <c r="S978">
        <v>3</v>
      </c>
      <c r="T978" s="14">
        <v>86.04</v>
      </c>
      <c r="U978" s="7">
        <v>12</v>
      </c>
      <c r="V978" s="7">
        <v>22</v>
      </c>
      <c r="W978" s="14">
        <v>120.04</v>
      </c>
      <c r="X978" s="14">
        <v>286.8</v>
      </c>
      <c r="Y978" s="16">
        <v>10</v>
      </c>
      <c r="Z978" s="12">
        <v>774.36</v>
      </c>
      <c r="AA978" s="5">
        <v>414.24</v>
      </c>
      <c r="AB978" s="18">
        <v>53.49</v>
      </c>
      <c r="AC978" t="s">
        <v>85</v>
      </c>
      <c r="AD978" t="s">
        <v>51</v>
      </c>
      <c r="AE978" t="s">
        <v>52</v>
      </c>
      <c r="AF978">
        <v>4</v>
      </c>
      <c r="AG978" t="s">
        <v>53</v>
      </c>
    </row>
    <row r="979" spans="1:33">
      <c r="A979" t="s">
        <v>2118</v>
      </c>
      <c r="B979" s="10">
        <v>45983</v>
      </c>
      <c r="C979" s="3" t="s">
        <v>199</v>
      </c>
      <c r="D979" t="s">
        <v>71</v>
      </c>
      <c r="E979" t="s">
        <v>57</v>
      </c>
      <c r="F979" t="s">
        <v>37</v>
      </c>
      <c r="G979" t="s">
        <v>38</v>
      </c>
      <c r="H979" t="s">
        <v>58</v>
      </c>
      <c r="I979" t="s">
        <v>59</v>
      </c>
      <c r="J979" t="s">
        <v>60</v>
      </c>
      <c r="K979" t="s">
        <v>61</v>
      </c>
      <c r="L979" t="s">
        <v>2119</v>
      </c>
      <c r="M979" t="s">
        <v>80</v>
      </c>
      <c r="N979" t="s">
        <v>45</v>
      </c>
      <c r="O979" t="s">
        <v>452</v>
      </c>
      <c r="P979" t="s">
        <v>453</v>
      </c>
      <c r="Q979" t="s">
        <v>215</v>
      </c>
      <c r="R979" t="s">
        <v>84</v>
      </c>
      <c r="S979">
        <v>4</v>
      </c>
      <c r="T979" s="14">
        <v>118.44</v>
      </c>
      <c r="U979" s="7">
        <v>12</v>
      </c>
      <c r="V979" s="7">
        <v>22</v>
      </c>
      <c r="W979" s="14">
        <v>152.44</v>
      </c>
      <c r="X979" s="14">
        <v>394.8</v>
      </c>
      <c r="Y979" s="16">
        <v>15</v>
      </c>
      <c r="Z979" s="12">
        <v>1342.32</v>
      </c>
      <c r="AA979" s="5">
        <v>732.56</v>
      </c>
      <c r="AB979" s="18">
        <v>54.57</v>
      </c>
      <c r="AC979" t="s">
        <v>85</v>
      </c>
      <c r="AD979" t="s">
        <v>51</v>
      </c>
      <c r="AE979" t="s">
        <v>52</v>
      </c>
      <c r="AF979">
        <v>4</v>
      </c>
      <c r="AG979" t="s">
        <v>53</v>
      </c>
    </row>
    <row r="980" spans="1:33">
      <c r="A980" t="s">
        <v>2120</v>
      </c>
      <c r="B980" s="10">
        <v>45738</v>
      </c>
      <c r="C980" s="3" t="s">
        <v>339</v>
      </c>
      <c r="D980" t="s">
        <v>71</v>
      </c>
      <c r="E980" t="s">
        <v>108</v>
      </c>
      <c r="F980" t="s">
        <v>91</v>
      </c>
      <c r="G980" t="s">
        <v>38</v>
      </c>
      <c r="H980" t="s">
        <v>75</v>
      </c>
      <c r="I980" t="s">
        <v>76</v>
      </c>
      <c r="J980" t="s">
        <v>77</v>
      </c>
      <c r="K980" t="s">
        <v>78</v>
      </c>
      <c r="L980" t="s">
        <v>2121</v>
      </c>
      <c r="M980" t="s">
        <v>80</v>
      </c>
      <c r="N980" t="s">
        <v>110</v>
      </c>
      <c r="O980" t="s">
        <v>176</v>
      </c>
      <c r="P980" t="s">
        <v>177</v>
      </c>
      <c r="Q980" t="s">
        <v>66</v>
      </c>
      <c r="R980" t="s">
        <v>84</v>
      </c>
      <c r="S980">
        <v>4</v>
      </c>
      <c r="T980" s="14">
        <v>60.84</v>
      </c>
      <c r="U980" s="7">
        <v>12</v>
      </c>
      <c r="V980" s="7">
        <v>22</v>
      </c>
      <c r="W980" s="14">
        <v>94.84</v>
      </c>
      <c r="X980" s="14">
        <v>202.8</v>
      </c>
      <c r="Y980" s="16">
        <v>15</v>
      </c>
      <c r="Z980" s="12">
        <v>689.52</v>
      </c>
      <c r="AA980" s="5">
        <v>310.16000000000003</v>
      </c>
      <c r="AB980" s="18">
        <v>44.98</v>
      </c>
      <c r="AC980" t="s">
        <v>85</v>
      </c>
      <c r="AD980" t="s">
        <v>51</v>
      </c>
      <c r="AE980" t="s">
        <v>52</v>
      </c>
      <c r="AF980">
        <v>4</v>
      </c>
      <c r="AG980" t="s">
        <v>53</v>
      </c>
    </row>
    <row r="981" spans="1:33">
      <c r="A981" t="s">
        <v>2122</v>
      </c>
      <c r="B981" s="10">
        <v>45682</v>
      </c>
      <c r="C981" s="3" t="s">
        <v>339</v>
      </c>
      <c r="D981" t="s">
        <v>71</v>
      </c>
      <c r="E981" t="s">
        <v>152</v>
      </c>
      <c r="F981" t="s">
        <v>91</v>
      </c>
      <c r="G981" t="s">
        <v>92</v>
      </c>
      <c r="H981" t="s">
        <v>133</v>
      </c>
      <c r="I981" t="s">
        <v>134</v>
      </c>
      <c r="J981" t="s">
        <v>135</v>
      </c>
      <c r="K981" t="s">
        <v>42</v>
      </c>
      <c r="L981" t="s">
        <v>2123</v>
      </c>
      <c r="M981" t="s">
        <v>44</v>
      </c>
      <c r="N981" t="s">
        <v>45</v>
      </c>
      <c r="O981" t="s">
        <v>176</v>
      </c>
      <c r="P981" t="s">
        <v>177</v>
      </c>
      <c r="Q981" t="s">
        <v>66</v>
      </c>
      <c r="R981" t="s">
        <v>67</v>
      </c>
      <c r="S981">
        <v>3</v>
      </c>
      <c r="T981" s="14">
        <v>50.7</v>
      </c>
      <c r="U981" s="7">
        <v>12</v>
      </c>
      <c r="V981" s="7">
        <v>22</v>
      </c>
      <c r="W981" s="14">
        <v>84.7</v>
      </c>
      <c r="X981" s="14">
        <v>169</v>
      </c>
      <c r="Y981" s="16">
        <v>15</v>
      </c>
      <c r="Z981" s="12">
        <v>430.95</v>
      </c>
      <c r="AA981" s="5">
        <v>176.85</v>
      </c>
      <c r="AB981" s="18">
        <v>41.04</v>
      </c>
      <c r="AC981" t="s">
        <v>111</v>
      </c>
      <c r="AD981" t="s">
        <v>86</v>
      </c>
      <c r="AE981" t="s">
        <v>126</v>
      </c>
      <c r="AF981">
        <v>5</v>
      </c>
      <c r="AG981" t="s">
        <v>53</v>
      </c>
    </row>
  </sheetData>
  <phoneticPr fontId="2"/>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24E72-1A9B-4539-81D9-12D93A90A183}">
  <sheetPr codeName="Sheet2"/>
  <dimension ref="A1:D16"/>
  <sheetViews>
    <sheetView workbookViewId="0">
      <selection activeCell="E30" sqref="E30"/>
    </sheetView>
  </sheetViews>
  <sheetFormatPr defaultRowHeight="12.75"/>
  <cols>
    <col min="2" max="2" width="15.265625" bestFit="1" customWidth="1"/>
  </cols>
  <sheetData>
    <row r="1" spans="1:4">
      <c r="A1" s="1" t="s">
        <v>7</v>
      </c>
      <c r="B1" s="1" t="s">
        <v>8</v>
      </c>
      <c r="C1" s="1" t="s">
        <v>9</v>
      </c>
      <c r="D1" s="1" t="s">
        <v>10</v>
      </c>
    </row>
    <row r="2" spans="1:4">
      <c r="A2" t="s">
        <v>39</v>
      </c>
      <c r="B2" t="s">
        <v>40</v>
      </c>
      <c r="C2" t="s">
        <v>41</v>
      </c>
      <c r="D2" t="s">
        <v>42</v>
      </c>
    </row>
    <row r="3" spans="1:4">
      <c r="A3" t="s">
        <v>2142</v>
      </c>
      <c r="B3" t="s">
        <v>2141</v>
      </c>
      <c r="C3" t="s">
        <v>41</v>
      </c>
      <c r="D3" t="s">
        <v>42</v>
      </c>
    </row>
    <row r="4" spans="1:4">
      <c r="A4" t="s">
        <v>2140</v>
      </c>
      <c r="B4" t="s">
        <v>2139</v>
      </c>
      <c r="C4" t="s">
        <v>41</v>
      </c>
      <c r="D4" t="s">
        <v>42</v>
      </c>
    </row>
    <row r="5" spans="1:4">
      <c r="A5" t="s">
        <v>142</v>
      </c>
      <c r="B5" t="s">
        <v>143</v>
      </c>
      <c r="C5" t="s">
        <v>144</v>
      </c>
      <c r="D5" t="s">
        <v>145</v>
      </c>
    </row>
    <row r="6" spans="1:4">
      <c r="A6" t="s">
        <v>2138</v>
      </c>
      <c r="B6" t="s">
        <v>2137</v>
      </c>
      <c r="C6" t="s">
        <v>144</v>
      </c>
      <c r="D6" t="s">
        <v>145</v>
      </c>
    </row>
    <row r="7" spans="1:4">
      <c r="A7" t="s">
        <v>2136</v>
      </c>
      <c r="B7" t="s">
        <v>2135</v>
      </c>
      <c r="C7" t="s">
        <v>144</v>
      </c>
      <c r="D7" t="s">
        <v>145</v>
      </c>
    </row>
    <row r="8" spans="1:4">
      <c r="A8" t="s">
        <v>115</v>
      </c>
      <c r="B8" t="s">
        <v>116</v>
      </c>
      <c r="C8" t="s">
        <v>117</v>
      </c>
      <c r="D8" t="s">
        <v>61</v>
      </c>
    </row>
    <row r="9" spans="1:4">
      <c r="A9" t="s">
        <v>2134</v>
      </c>
      <c r="B9" t="s">
        <v>2133</v>
      </c>
      <c r="C9" t="s">
        <v>117</v>
      </c>
      <c r="D9" t="s">
        <v>61</v>
      </c>
    </row>
    <row r="10" spans="1:4">
      <c r="A10" t="s">
        <v>2132</v>
      </c>
      <c r="B10" t="s">
        <v>2131</v>
      </c>
      <c r="C10" t="s">
        <v>117</v>
      </c>
      <c r="D10" t="s">
        <v>61</v>
      </c>
    </row>
    <row r="11" spans="1:4">
      <c r="A11" t="s">
        <v>58</v>
      </c>
      <c r="B11" t="s">
        <v>59</v>
      </c>
      <c r="C11" t="s">
        <v>60</v>
      </c>
      <c r="D11" t="s">
        <v>61</v>
      </c>
    </row>
    <row r="12" spans="1:4">
      <c r="A12" t="s">
        <v>2130</v>
      </c>
      <c r="B12" t="s">
        <v>2129</v>
      </c>
      <c r="C12" t="s">
        <v>60</v>
      </c>
      <c r="D12" t="s">
        <v>61</v>
      </c>
    </row>
    <row r="13" spans="1:4">
      <c r="A13" t="s">
        <v>75</v>
      </c>
      <c r="B13" t="s">
        <v>76</v>
      </c>
      <c r="C13" t="s">
        <v>77</v>
      </c>
      <c r="D13" t="s">
        <v>78</v>
      </c>
    </row>
    <row r="14" spans="1:4">
      <c r="A14" t="s">
        <v>2128</v>
      </c>
      <c r="B14" t="s">
        <v>2127</v>
      </c>
      <c r="C14" t="s">
        <v>77</v>
      </c>
      <c r="D14" t="s">
        <v>78</v>
      </c>
    </row>
    <row r="15" spans="1:4">
      <c r="A15" t="s">
        <v>133</v>
      </c>
      <c r="B15" t="s">
        <v>134</v>
      </c>
      <c r="C15" t="s">
        <v>135</v>
      </c>
      <c r="D15" t="s">
        <v>42</v>
      </c>
    </row>
    <row r="16" spans="1:4">
      <c r="A16" t="s">
        <v>2126</v>
      </c>
      <c r="B16" t="s">
        <v>2125</v>
      </c>
      <c r="C16" t="s">
        <v>135</v>
      </c>
      <c r="D16" t="s">
        <v>42</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7BBA5-9C2C-4177-A686-98596B1C2FDC}">
  <sheetPr codeName="Sheet3"/>
  <dimension ref="A3:S33"/>
  <sheetViews>
    <sheetView workbookViewId="0">
      <selection activeCell="R63" sqref="R63"/>
    </sheetView>
  </sheetViews>
  <sheetFormatPr defaultRowHeight="12.75"/>
  <cols>
    <col min="1" max="1" width="24.796875" bestFit="1" customWidth="1"/>
    <col min="2" max="2" width="9" customWidth="1"/>
    <col min="3" max="3" width="13.265625" bestFit="1" customWidth="1"/>
    <col min="4" max="4" width="12.73046875" bestFit="1" customWidth="1"/>
    <col min="6" max="6" width="13.265625" bestFit="1" customWidth="1"/>
    <col min="7" max="7" width="12.73046875" bestFit="1" customWidth="1"/>
    <col min="9" max="9" width="13.265625" bestFit="1" customWidth="1"/>
    <col min="10" max="10" width="12.73046875" bestFit="1" customWidth="1"/>
    <col min="12" max="12" width="14.9296875" bestFit="1" customWidth="1"/>
    <col min="13" max="14" width="13" bestFit="1" customWidth="1"/>
    <col min="15" max="15" width="13.265625" bestFit="1" customWidth="1"/>
    <col min="16" max="16" width="12.73046875" bestFit="1" customWidth="1"/>
    <col min="18" max="18" width="13.265625" bestFit="1" customWidth="1"/>
    <col min="19" max="19" width="12.73046875" bestFit="1" customWidth="1"/>
  </cols>
  <sheetData>
    <row r="3" spans="1:19">
      <c r="A3" t="s">
        <v>2146</v>
      </c>
      <c r="C3" s="19" t="s">
        <v>2148</v>
      </c>
      <c r="D3" t="s">
        <v>2146</v>
      </c>
      <c r="F3" s="19" t="s">
        <v>2148</v>
      </c>
      <c r="G3" t="s">
        <v>2146</v>
      </c>
      <c r="I3" s="19" t="s">
        <v>2148</v>
      </c>
      <c r="J3" t="s">
        <v>2146</v>
      </c>
      <c r="L3" s="19" t="s">
        <v>2148</v>
      </c>
      <c r="M3" t="s">
        <v>2147</v>
      </c>
      <c r="O3" s="19" t="s">
        <v>2148</v>
      </c>
      <c r="P3" t="s">
        <v>2146</v>
      </c>
      <c r="R3" s="19" t="s">
        <v>2148</v>
      </c>
      <c r="S3" t="s">
        <v>2146</v>
      </c>
    </row>
    <row r="4" spans="1:19">
      <c r="A4" s="12">
        <v>472936.55999999878</v>
      </c>
      <c r="C4" s="20" t="s">
        <v>152</v>
      </c>
      <c r="D4" s="12">
        <v>34413.229999999981</v>
      </c>
      <c r="F4" s="20" t="s">
        <v>139</v>
      </c>
      <c r="G4" s="12">
        <v>31483.59</v>
      </c>
      <c r="I4" s="20" t="s">
        <v>83</v>
      </c>
      <c r="J4" s="12">
        <v>71568.55</v>
      </c>
      <c r="L4" s="20" t="s">
        <v>76</v>
      </c>
      <c r="M4" s="5">
        <v>36716.009999999995</v>
      </c>
      <c r="O4" s="20" t="s">
        <v>111</v>
      </c>
      <c r="P4" s="12">
        <v>128088.13000000011</v>
      </c>
      <c r="R4" s="20" t="s">
        <v>80</v>
      </c>
      <c r="S4" s="12">
        <v>162206.51000000004</v>
      </c>
    </row>
    <row r="5" spans="1:19">
      <c r="C5" s="20" t="s">
        <v>90</v>
      </c>
      <c r="D5" s="12">
        <v>32970.529999999992</v>
      </c>
      <c r="F5" s="20" t="s">
        <v>125</v>
      </c>
      <c r="G5" s="12">
        <v>36442.759999999995</v>
      </c>
      <c r="I5" s="20" t="s">
        <v>95</v>
      </c>
      <c r="J5" s="12">
        <v>71001.990000000005</v>
      </c>
      <c r="L5" s="20" t="s">
        <v>2143</v>
      </c>
      <c r="M5" s="5">
        <v>38555.879999999997</v>
      </c>
      <c r="O5" s="20" t="s">
        <v>85</v>
      </c>
      <c r="P5" s="12">
        <v>122424.96000000002</v>
      </c>
      <c r="R5" s="20" t="s">
        <v>44</v>
      </c>
      <c r="S5" s="12">
        <v>138291.65000000014</v>
      </c>
    </row>
    <row r="6" spans="1:19">
      <c r="C6" s="20" t="s">
        <v>108</v>
      </c>
      <c r="D6" s="12">
        <v>45058.719999999987</v>
      </c>
      <c r="F6" s="20" t="s">
        <v>103</v>
      </c>
      <c r="G6" s="12">
        <v>41175.72</v>
      </c>
      <c r="I6" s="20" t="s">
        <v>177</v>
      </c>
      <c r="J6" s="12">
        <v>46150.51999999999</v>
      </c>
      <c r="L6" s="20" t="s">
        <v>59</v>
      </c>
      <c r="M6" s="5">
        <v>40259.129999999976</v>
      </c>
      <c r="O6" s="20" t="s">
        <v>2144</v>
      </c>
      <c r="P6" s="12">
        <v>6436.75</v>
      </c>
      <c r="R6" s="20" t="s">
        <v>63</v>
      </c>
      <c r="S6" s="12">
        <v>172438.39999999997</v>
      </c>
    </row>
    <row r="7" spans="1:19">
      <c r="A7" t="s">
        <v>2147</v>
      </c>
      <c r="C7" s="20" t="s">
        <v>280</v>
      </c>
      <c r="D7" s="12">
        <v>30285.46</v>
      </c>
      <c r="F7" s="20" t="s">
        <v>215</v>
      </c>
      <c r="G7" s="12">
        <v>54756.72</v>
      </c>
      <c r="I7" s="20" t="s">
        <v>65</v>
      </c>
      <c r="J7" s="12">
        <v>38368.989999999976</v>
      </c>
      <c r="L7" s="20" t="s">
        <v>143</v>
      </c>
      <c r="M7" s="5">
        <v>41755.520000000011</v>
      </c>
      <c r="O7" s="20" t="s">
        <v>104</v>
      </c>
      <c r="P7" s="12">
        <v>111873.99000000002</v>
      </c>
      <c r="R7" s="20" t="s">
        <v>2149</v>
      </c>
      <c r="S7" s="12">
        <v>472936.56000000011</v>
      </c>
    </row>
    <row r="8" spans="1:19">
      <c r="A8" s="5">
        <v>251383.65999999965</v>
      </c>
      <c r="C8" s="20" t="s">
        <v>130</v>
      </c>
      <c r="D8" s="12">
        <v>43666.94000000001</v>
      </c>
      <c r="F8" s="20" t="s">
        <v>48</v>
      </c>
      <c r="G8" s="12">
        <v>81987.72</v>
      </c>
      <c r="I8" s="20" t="s">
        <v>47</v>
      </c>
      <c r="J8" s="12">
        <v>31546.2</v>
      </c>
      <c r="L8" s="20" t="s">
        <v>134</v>
      </c>
      <c r="M8" s="5">
        <v>43465.220000000008</v>
      </c>
      <c r="O8" s="20" t="s">
        <v>50</v>
      </c>
      <c r="P8" s="12">
        <v>104112.73000000011</v>
      </c>
    </row>
    <row r="9" spans="1:19">
      <c r="C9" s="20" t="s">
        <v>174</v>
      </c>
      <c r="D9" s="12">
        <v>40333.499999999993</v>
      </c>
      <c r="F9" s="20" t="s">
        <v>66</v>
      </c>
      <c r="G9" s="12">
        <v>227090.05000000005</v>
      </c>
      <c r="I9" s="20" t="s">
        <v>2149</v>
      </c>
      <c r="J9" s="12">
        <v>258636.25</v>
      </c>
      <c r="L9" s="20" t="s">
        <v>116</v>
      </c>
      <c r="M9" s="5">
        <v>50631.900000000038</v>
      </c>
      <c r="O9" s="20" t="s">
        <v>2149</v>
      </c>
      <c r="P9" s="12">
        <v>472936.56000000029</v>
      </c>
    </row>
    <row r="10" spans="1:19">
      <c r="C10" s="20" t="s">
        <v>114</v>
      </c>
      <c r="D10" s="12">
        <v>42490.83</v>
      </c>
      <c r="F10" s="20" t="s">
        <v>2149</v>
      </c>
      <c r="G10" s="12">
        <v>472936.56000000006</v>
      </c>
      <c r="L10" s="20" t="s">
        <v>2149</v>
      </c>
      <c r="M10" s="5">
        <v>251383.66000000003</v>
      </c>
    </row>
    <row r="11" spans="1:19">
      <c r="A11" t="s">
        <v>2150</v>
      </c>
      <c r="C11" s="20" t="s">
        <v>99</v>
      </c>
      <c r="D11" s="12">
        <v>40295.809999999983</v>
      </c>
    </row>
    <row r="12" spans="1:19">
      <c r="A12">
        <v>980</v>
      </c>
      <c r="C12" s="20" t="s">
        <v>72</v>
      </c>
      <c r="D12" s="12">
        <v>38358.870000000003</v>
      </c>
    </row>
    <row r="13" spans="1:19">
      <c r="C13" s="20" t="s">
        <v>36</v>
      </c>
      <c r="D13" s="12">
        <v>39737.07</v>
      </c>
    </row>
    <row r="14" spans="1:19">
      <c r="C14" s="20" t="s">
        <v>57</v>
      </c>
      <c r="D14" s="12">
        <v>42186.669999999991</v>
      </c>
    </row>
    <row r="15" spans="1:19">
      <c r="A15" t="s">
        <v>2151</v>
      </c>
      <c r="C15" s="20" t="s">
        <v>149</v>
      </c>
      <c r="D15" s="12">
        <v>43138.93</v>
      </c>
    </row>
    <row r="16" spans="1:19">
      <c r="A16">
        <v>980</v>
      </c>
      <c r="C16" s="20" t="s">
        <v>2149</v>
      </c>
      <c r="D16" s="12">
        <v>472936.55999999994</v>
      </c>
    </row>
    <row r="17" spans="1:1">
      <c r="A17" t="s">
        <v>2152</v>
      </c>
    </row>
    <row r="18" spans="1:1">
      <c r="A18" s="21">
        <f xml:space="preserve"> AVERAGEIFS(Table2[Customer_Rating],Table2[Customer_Rating],"&gt;=1")</f>
        <v>4.5072916666666663</v>
      </c>
    </row>
    <row r="20" spans="1:1">
      <c r="A20" t="s">
        <v>2153</v>
      </c>
    </row>
    <row r="21" spans="1:1">
      <c r="A21" s="22">
        <f xml:space="preserve"> GETPIVOTDATA("Sales",Sheet2!$A$3)/GETPIVOTDATA("Order_ID",Sheet2!$A$11)</f>
        <v>482.58832653061097</v>
      </c>
    </row>
    <row r="23" spans="1:1">
      <c r="A23" t="s">
        <v>2154</v>
      </c>
    </row>
    <row r="24" spans="1:1">
      <c r="A24" s="8">
        <f>GETPIVOTDATA("Profit",$A$7)/GETPIVOTDATA("Sales",$A$3)</f>
        <v>0.53153780287148933</v>
      </c>
    </row>
    <row r="26" spans="1:1">
      <c r="A26" t="s">
        <v>2155</v>
      </c>
    </row>
    <row r="27" spans="1:1">
      <c r="A27" s="22">
        <f>GETPIVOTDATA("Sales",$A$3)</f>
        <v>472936.55999999878</v>
      </c>
    </row>
    <row r="29" spans="1:1">
      <c r="A29" t="s">
        <v>2156</v>
      </c>
    </row>
    <row r="30" spans="1:1">
      <c r="A30" s="23">
        <f>GETPIVOTDATA("Profit",$A$7)</f>
        <v>251383.65999999965</v>
      </c>
    </row>
    <row r="32" spans="1:1">
      <c r="A32" t="s">
        <v>2157</v>
      </c>
    </row>
    <row r="33" spans="1:1">
      <c r="A33">
        <f>GETPIVOTDATA("Order_ID",$A$11)</f>
        <v>980</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EFA96-5C40-4468-875C-D36342E13BDE}">
  <sheetPr codeName="Sheet4"/>
  <dimension ref="A1"/>
  <sheetViews>
    <sheetView showGridLines="0" zoomScale="72" zoomScaleNormal="80" workbookViewId="0">
      <selection activeCell="AL40" sqref="AL40"/>
    </sheetView>
  </sheetViews>
  <sheetFormatPr defaultRowHeight="12.75"/>
  <sheetData/>
  <phoneticPr fontId="2"/>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79DD6-63C5-4423-88C8-6D97B13A6D3D}">
  <sheetPr codeName="Sheet5"/>
  <dimension ref="A1"/>
  <sheetViews>
    <sheetView showGridLines="0" tabSelected="1" zoomScale="93" workbookViewId="0">
      <selection sqref="A1:W36"/>
    </sheetView>
  </sheetViews>
  <sheetFormatPr defaultRowHeight="12.75"/>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Store_Master</vt:lpstr>
      <vt:lpstr>Sheet2</vt:lpstr>
      <vt:lpstr>DASHBOARD</vt:lpstr>
      <vt:lpstr>BUSINESS 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Riya Rawat</cp:lastModifiedBy>
  <dcterms:created xsi:type="dcterms:W3CDTF">2026-08-06T09:43:41Z</dcterms:created>
  <dcterms:modified xsi:type="dcterms:W3CDTF">2026-09-28T09:26:13Z</dcterms:modified>
</cp:coreProperties>
</file>